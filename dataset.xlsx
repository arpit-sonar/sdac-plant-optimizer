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CT project\dataset and code\dataset and code\"/>
    </mc:Choice>
  </mc:AlternateContent>
  <xr:revisionPtr revIDLastSave="0" documentId="8_{4EDBC8AF-34F1-3B4E-A274-2B3739B59CEF}" xr6:coauthVersionLast="47" xr6:coauthVersionMax="47" xr10:uidLastSave="{00000000-0000-0000-0000-000000000000}"/>
  <bookViews>
    <workbookView xWindow="-108" yWindow="-108" windowWidth="23256" windowHeight="12456" tabRatio="771" xr2:uid="{D6F82420-B5CE-4474-AB27-E917A1C2B737}"/>
  </bookViews>
  <sheets>
    <sheet name="Main Dataset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63" i="11" l="1"/>
  <c r="T962" i="11"/>
  <c r="T961" i="11"/>
  <c r="T960" i="11"/>
  <c r="T959" i="11"/>
  <c r="T958" i="11"/>
  <c r="T957" i="11"/>
  <c r="T956" i="11"/>
  <c r="T955" i="11"/>
  <c r="T954" i="11"/>
  <c r="T953" i="11"/>
  <c r="T952" i="11"/>
  <c r="T951" i="11"/>
  <c r="T950" i="11"/>
  <c r="T949" i="11"/>
  <c r="T948" i="11"/>
  <c r="T947" i="11"/>
  <c r="T946" i="11"/>
  <c r="T945" i="11"/>
  <c r="T944" i="11"/>
  <c r="T943" i="11"/>
  <c r="T942" i="11"/>
  <c r="T941" i="11"/>
  <c r="T940" i="11"/>
  <c r="T939" i="11"/>
  <c r="T938" i="11"/>
  <c r="T937" i="11"/>
  <c r="T936" i="11"/>
  <c r="T935" i="11"/>
  <c r="T934" i="11"/>
  <c r="T933" i="11"/>
  <c r="T932" i="11"/>
  <c r="T931" i="11"/>
  <c r="T930" i="11"/>
  <c r="T929" i="11"/>
  <c r="T928" i="11"/>
  <c r="T927" i="11"/>
  <c r="T926" i="11"/>
  <c r="T925" i="11"/>
  <c r="T924" i="11"/>
  <c r="T923" i="11"/>
  <c r="T922" i="11"/>
  <c r="T921" i="11"/>
  <c r="T920" i="11"/>
  <c r="T919" i="11"/>
  <c r="T918" i="11"/>
  <c r="T917" i="11"/>
  <c r="T916" i="11"/>
  <c r="T834" i="11"/>
  <c r="T833" i="11"/>
  <c r="T832" i="11"/>
  <c r="T831" i="11"/>
  <c r="T830" i="11"/>
  <c r="T829" i="11"/>
  <c r="T828" i="11"/>
  <c r="F2" i="11"/>
  <c r="F646" i="11"/>
  <c r="F3" i="11"/>
  <c r="F487" i="11"/>
  <c r="F775" i="11"/>
  <c r="T176" i="11" l="1"/>
  <c r="T177" i="11"/>
  <c r="T175" i="11"/>
  <c r="T174" i="11"/>
  <c r="T173" i="11"/>
  <c r="T172" i="11"/>
  <c r="T171" i="11"/>
  <c r="T170" i="11"/>
  <c r="T168" i="11"/>
  <c r="T167" i="11"/>
  <c r="T166" i="11"/>
  <c r="T165" i="11"/>
  <c r="T164" i="11"/>
  <c r="T163" i="11"/>
  <c r="T162" i="11"/>
  <c r="T161" i="11"/>
  <c r="T160" i="11"/>
  <c r="T159" i="11"/>
  <c r="T158" i="11"/>
  <c r="T157" i="11"/>
  <c r="T156" i="11"/>
  <c r="T155" i="11"/>
  <c r="T154" i="11"/>
  <c r="K379" i="11" l="1"/>
  <c r="I451" i="11"/>
  <c r="I450" i="11"/>
  <c r="I480" i="11"/>
  <c r="I479" i="11"/>
  <c r="I478" i="11"/>
  <c r="I477" i="11"/>
  <c r="I476" i="11"/>
  <c r="I475" i="11"/>
  <c r="I474" i="11"/>
  <c r="I473" i="11"/>
  <c r="I472" i="11"/>
  <c r="I471" i="11"/>
  <c r="I470" i="11"/>
  <c r="I469" i="11"/>
  <c r="I468" i="11"/>
  <c r="I467" i="11"/>
  <c r="I466" i="11"/>
  <c r="I449" i="11"/>
  <c r="K840" i="11"/>
  <c r="K841" i="11"/>
  <c r="K851" i="11"/>
  <c r="K838" i="11"/>
  <c r="K292" i="11" l="1"/>
  <c r="K857" i="11"/>
  <c r="K319" i="11"/>
  <c r="K294" i="11"/>
  <c r="K376" i="11"/>
  <c r="J383" i="11" l="1"/>
  <c r="I380" i="11"/>
  <c r="K176" i="11"/>
  <c r="I33" i="11"/>
  <c r="U373" i="11"/>
  <c r="I401" i="11"/>
  <c r="J401" i="11"/>
  <c r="K381" i="11"/>
  <c r="K378" i="11"/>
  <c r="J385" i="11"/>
  <c r="K298" i="11"/>
  <c r="K297" i="11"/>
  <c r="K295" i="11"/>
  <c r="K296" i="11"/>
  <c r="K293" i="11"/>
  <c r="K301" i="11"/>
  <c r="K302" i="11"/>
  <c r="K304" i="11"/>
  <c r="K305" i="11"/>
  <c r="K306" i="11"/>
  <c r="K311" i="11"/>
  <c r="K312" i="11"/>
  <c r="K313" i="11"/>
  <c r="K314" i="11"/>
  <c r="K315" i="11"/>
  <c r="K321" i="11"/>
  <c r="K320" i="11"/>
  <c r="K318" i="11"/>
  <c r="K317" i="11"/>
  <c r="F365" i="11"/>
  <c r="F1265" i="11" l="1"/>
  <c r="F1337" i="11"/>
  <c r="F1336" i="11"/>
  <c r="F1335" i="11"/>
  <c r="F1334" i="11"/>
  <c r="F1333" i="11"/>
  <c r="F1332" i="11"/>
  <c r="F1331" i="11"/>
  <c r="F1330" i="11"/>
  <c r="F1329" i="11"/>
  <c r="F1328" i="11"/>
  <c r="F1327" i="11"/>
  <c r="F1326" i="11"/>
  <c r="F1325" i="11"/>
  <c r="F1324" i="11"/>
  <c r="F1323" i="11"/>
  <c r="F1322" i="11"/>
  <c r="F1321" i="11"/>
  <c r="F1320" i="11"/>
  <c r="F1319" i="11"/>
  <c r="F1318" i="11"/>
  <c r="F1317" i="11"/>
  <c r="F1316" i="11"/>
  <c r="F1315" i="11"/>
  <c r="F1314" i="11"/>
  <c r="F1313" i="11"/>
  <c r="F1312" i="11"/>
  <c r="F1311" i="11"/>
  <c r="F1310" i="11"/>
  <c r="F1309" i="11"/>
  <c r="F1308" i="11"/>
  <c r="F1307" i="11"/>
  <c r="F1306" i="11"/>
  <c r="F1305" i="11"/>
  <c r="F1304" i="11"/>
  <c r="F1303" i="11"/>
  <c r="F1302" i="11"/>
  <c r="F1004" i="11"/>
  <c r="F1003" i="11"/>
  <c r="F1002" i="11"/>
  <c r="F1001" i="11"/>
  <c r="F1000" i="11"/>
  <c r="F999" i="11"/>
  <c r="F998" i="11"/>
  <c r="F997" i="11"/>
  <c r="F996" i="11"/>
  <c r="F995" i="11"/>
  <c r="F994" i="11"/>
  <c r="F993" i="11"/>
  <c r="F992" i="11"/>
  <c r="F991" i="11"/>
  <c r="F990" i="11"/>
  <c r="F989" i="11"/>
  <c r="F988" i="11"/>
  <c r="F987" i="11"/>
  <c r="F986" i="11"/>
  <c r="F985" i="11"/>
  <c r="F984" i="11"/>
  <c r="F983" i="11"/>
  <c r="F982" i="11"/>
  <c r="F981" i="11"/>
  <c r="F980" i="11"/>
  <c r="F979" i="11"/>
  <c r="F978" i="11"/>
  <c r="F977" i="11"/>
  <c r="F976" i="11"/>
  <c r="F975" i="11"/>
  <c r="F974" i="11"/>
  <c r="F973" i="11"/>
  <c r="F972" i="11"/>
  <c r="F971" i="11"/>
  <c r="F970" i="11"/>
  <c r="F967" i="11"/>
  <c r="F966" i="11"/>
  <c r="F965" i="11"/>
  <c r="F964" i="11"/>
  <c r="F963" i="11"/>
  <c r="F962" i="11"/>
  <c r="F961" i="11"/>
  <c r="F960" i="11"/>
  <c r="F959" i="11"/>
  <c r="F958" i="11"/>
  <c r="F957" i="11"/>
  <c r="F956" i="11"/>
  <c r="F955" i="11"/>
  <c r="F954" i="11"/>
  <c r="F953" i="11"/>
  <c r="F952" i="11"/>
  <c r="F951" i="11"/>
  <c r="F950" i="11"/>
  <c r="F949" i="11"/>
  <c r="F948" i="11"/>
  <c r="F947" i="11"/>
  <c r="F946" i="11"/>
  <c r="F945" i="11"/>
  <c r="F944" i="11"/>
  <c r="F943" i="11"/>
  <c r="F942" i="11"/>
  <c r="F941" i="11"/>
  <c r="F940" i="11"/>
  <c r="F937" i="11"/>
  <c r="F938" i="11"/>
  <c r="F939" i="11"/>
  <c r="F936" i="11"/>
  <c r="F926" i="11"/>
  <c r="F927" i="11"/>
  <c r="F928" i="11"/>
  <c r="F929" i="11"/>
  <c r="F930" i="11"/>
  <c r="F931" i="11"/>
  <c r="F932" i="11"/>
  <c r="F933" i="11"/>
  <c r="F934" i="11"/>
  <c r="F935" i="11"/>
  <c r="F917" i="11"/>
  <c r="F918" i="11"/>
  <c r="F919" i="11"/>
  <c r="F920" i="11"/>
  <c r="F921" i="11"/>
  <c r="F922" i="11"/>
  <c r="F923" i="11"/>
  <c r="F924" i="11"/>
  <c r="F925" i="11"/>
  <c r="F916" i="11"/>
  <c r="F915" i="11"/>
  <c r="F914" i="11"/>
  <c r="F913" i="11"/>
  <c r="F912" i="11"/>
  <c r="F911" i="11"/>
  <c r="F910" i="11"/>
  <c r="F909" i="11"/>
  <c r="F908" i="11"/>
  <c r="F907" i="11"/>
  <c r="F906" i="11"/>
  <c r="F905" i="11"/>
  <c r="F904" i="11"/>
  <c r="F903" i="11"/>
  <c r="F902" i="11"/>
  <c r="F901" i="11"/>
  <c r="F900" i="11"/>
  <c r="F899" i="11"/>
  <c r="F898" i="11"/>
  <c r="F897" i="11"/>
  <c r="F896" i="11"/>
  <c r="F894" i="11"/>
  <c r="F888" i="11"/>
  <c r="F893" i="11"/>
  <c r="F895" i="11"/>
  <c r="F890" i="11"/>
  <c r="F891" i="11"/>
  <c r="F892" i="11"/>
  <c r="F887" i="11"/>
  <c r="F889" i="11"/>
  <c r="F881" i="11"/>
  <c r="F882" i="11"/>
  <c r="F883" i="11"/>
  <c r="F884" i="11"/>
  <c r="F885" i="11"/>
  <c r="F886" i="11"/>
  <c r="F880" i="11"/>
  <c r="F879" i="11"/>
  <c r="F878" i="11"/>
  <c r="F877" i="11"/>
  <c r="F876" i="11"/>
  <c r="F875" i="11"/>
  <c r="F873" i="11"/>
  <c r="F874" i="11"/>
  <c r="F872" i="11"/>
  <c r="F871" i="11"/>
  <c r="F870" i="11"/>
  <c r="F869" i="11"/>
  <c r="F868" i="11"/>
  <c r="F867" i="11"/>
  <c r="F866" i="11"/>
  <c r="F865" i="11"/>
  <c r="F864" i="11"/>
  <c r="F814" i="11"/>
  <c r="F813" i="11"/>
  <c r="F812" i="11"/>
  <c r="F811" i="11"/>
  <c r="F810" i="11"/>
  <c r="F809" i="11"/>
  <c r="F808" i="11"/>
  <c r="F807" i="11"/>
  <c r="F806" i="11"/>
  <c r="F805" i="11"/>
  <c r="F804" i="11"/>
  <c r="F803" i="11"/>
  <c r="F802" i="11"/>
  <c r="F801" i="11"/>
  <c r="F800" i="11"/>
  <c r="F799" i="11"/>
  <c r="F798" i="11"/>
  <c r="F797" i="11"/>
  <c r="F796" i="11"/>
  <c r="F795" i="11"/>
  <c r="F794" i="11"/>
  <c r="F793" i="11"/>
  <c r="F792" i="11"/>
  <c r="F791" i="11"/>
  <c r="F790" i="11"/>
  <c r="F789" i="11"/>
  <c r="F773" i="11"/>
  <c r="F772" i="11"/>
  <c r="F771" i="11"/>
  <c r="F770" i="11"/>
  <c r="F769" i="11"/>
  <c r="F768" i="11"/>
  <c r="F767" i="11"/>
  <c r="F766" i="11"/>
  <c r="F765" i="11"/>
  <c r="F764" i="11"/>
  <c r="F763" i="11"/>
  <c r="F762" i="11"/>
  <c r="F761" i="11"/>
  <c r="F760" i="11"/>
  <c r="F759" i="11"/>
  <c r="F758" i="11"/>
  <c r="F757" i="11"/>
  <c r="F756" i="11"/>
  <c r="F755" i="11"/>
  <c r="F754" i="11"/>
  <c r="F753" i="11"/>
  <c r="F752" i="11"/>
  <c r="F751" i="11"/>
  <c r="F750" i="11"/>
  <c r="F749" i="11"/>
  <c r="F748" i="11"/>
  <c r="F747" i="11"/>
  <c r="F746" i="11"/>
  <c r="F745" i="11"/>
  <c r="F744" i="11"/>
  <c r="F743" i="11"/>
  <c r="F742" i="11"/>
  <c r="F741" i="11"/>
  <c r="F740" i="11"/>
  <c r="F739" i="11"/>
  <c r="F738" i="11"/>
  <c r="F737" i="11"/>
  <c r="F736" i="11"/>
  <c r="F735" i="11"/>
  <c r="F734" i="11"/>
  <c r="F733" i="11"/>
  <c r="F732" i="11"/>
  <c r="K732" i="11" s="1"/>
  <c r="F731" i="11"/>
  <c r="F730" i="11"/>
  <c r="F729" i="11"/>
  <c r="F728" i="11"/>
  <c r="F727" i="11"/>
  <c r="F726" i="11"/>
  <c r="F725" i="11"/>
  <c r="F724" i="11"/>
  <c r="F723" i="11"/>
  <c r="F722" i="11"/>
  <c r="F721" i="11"/>
  <c r="F720" i="11"/>
  <c r="F719" i="11"/>
  <c r="F718" i="11"/>
  <c r="F717" i="11"/>
  <c r="F716" i="11"/>
  <c r="F715" i="11"/>
  <c r="F714" i="11"/>
  <c r="F713" i="11"/>
  <c r="F712" i="11"/>
  <c r="F711" i="11"/>
  <c r="F710" i="11"/>
  <c r="F709" i="11"/>
  <c r="F708" i="11"/>
  <c r="F707" i="11"/>
  <c r="F706" i="11"/>
  <c r="F705" i="11"/>
  <c r="F701" i="11"/>
  <c r="F700" i="11"/>
  <c r="F699" i="11"/>
  <c r="F698" i="11"/>
  <c r="F697" i="11"/>
  <c r="F696" i="11"/>
  <c r="F695" i="11"/>
  <c r="F694" i="11"/>
  <c r="F693" i="11"/>
  <c r="F692" i="11"/>
  <c r="F691" i="11"/>
  <c r="F690" i="11"/>
  <c r="F685" i="11"/>
  <c r="F684" i="11"/>
  <c r="F683" i="11"/>
  <c r="F682" i="11"/>
  <c r="F681" i="11"/>
  <c r="F680" i="11"/>
  <c r="F679" i="11"/>
  <c r="F678" i="11"/>
  <c r="F677" i="11"/>
  <c r="F676" i="11"/>
  <c r="F675" i="11"/>
  <c r="F674" i="11"/>
  <c r="F673" i="11"/>
  <c r="F672" i="11"/>
  <c r="F671" i="11"/>
  <c r="F670" i="11"/>
  <c r="F669" i="11"/>
  <c r="F668" i="11"/>
  <c r="F667" i="11"/>
  <c r="F666" i="11"/>
  <c r="F665" i="11"/>
  <c r="F664" i="11"/>
  <c r="F663" i="11"/>
  <c r="F662" i="11"/>
  <c r="F661" i="11"/>
  <c r="F655" i="11"/>
  <c r="F654" i="11"/>
  <c r="F653" i="11"/>
  <c r="F652" i="11"/>
  <c r="F651" i="11"/>
  <c r="F650" i="11"/>
  <c r="F649" i="11"/>
  <c r="F648" i="11"/>
  <c r="F647" i="11"/>
  <c r="F645" i="11"/>
  <c r="F644" i="11"/>
  <c r="F643" i="11"/>
  <c r="F642" i="11"/>
  <c r="F641" i="11"/>
  <c r="F640" i="11"/>
  <c r="F639" i="11"/>
  <c r="F638" i="11"/>
  <c r="F637" i="11"/>
  <c r="F636" i="11"/>
  <c r="F635" i="11"/>
  <c r="F634" i="11"/>
  <c r="F633" i="11"/>
  <c r="F632" i="11"/>
  <c r="F631" i="11"/>
  <c r="F630" i="11"/>
  <c r="F629" i="11"/>
  <c r="F628" i="11"/>
  <c r="F627" i="11"/>
  <c r="F626" i="11"/>
  <c r="F625" i="11"/>
  <c r="F624" i="11"/>
  <c r="F623" i="11"/>
  <c r="F622" i="11"/>
  <c r="F621" i="11"/>
  <c r="T535" i="11"/>
  <c r="T534" i="11"/>
  <c r="T533" i="11"/>
  <c r="T532" i="11"/>
  <c r="T531" i="11"/>
  <c r="F531" i="11"/>
  <c r="F481" i="11"/>
  <c r="F480" i="11"/>
  <c r="F479" i="11"/>
  <c r="F478" i="11"/>
  <c r="F477" i="11"/>
  <c r="F476" i="11"/>
  <c r="F475" i="11"/>
  <c r="F474" i="11"/>
  <c r="F473" i="11"/>
  <c r="F472" i="11"/>
  <c r="F471" i="11"/>
  <c r="F470" i="11"/>
  <c r="F469" i="11"/>
  <c r="F468" i="11"/>
  <c r="F467" i="11"/>
  <c r="F466" i="11"/>
  <c r="F426" i="11"/>
  <c r="F425" i="11"/>
  <c r="F424" i="11"/>
  <c r="F413" i="11"/>
  <c r="F41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149" i="11"/>
  <c r="N1192" i="11" l="1"/>
  <c r="N1190" i="11"/>
  <c r="N1193" i="11"/>
  <c r="N1191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5" i="11"/>
  <c r="F1046" i="11"/>
  <c r="F1047" i="11"/>
  <c r="F1048" i="11"/>
  <c r="F1022" i="11"/>
  <c r="U916" i="11"/>
  <c r="T998" i="11" l="1"/>
  <c r="T997" i="11"/>
  <c r="U983" i="11"/>
  <c r="U982" i="11"/>
  <c r="U981" i="11"/>
  <c r="U980" i="11"/>
  <c r="U979" i="11"/>
  <c r="U978" i="11"/>
  <c r="U977" i="11"/>
  <c r="U976" i="11"/>
  <c r="U975" i="11"/>
  <c r="U974" i="11"/>
  <c r="U973" i="11"/>
  <c r="U972" i="11"/>
  <c r="U971" i="11"/>
  <c r="U970" i="11"/>
  <c r="U969" i="11"/>
  <c r="U968" i="11"/>
  <c r="U967" i="11"/>
  <c r="U966" i="11"/>
  <c r="U965" i="11"/>
  <c r="U964" i="11"/>
  <c r="U915" i="11"/>
  <c r="U914" i="11"/>
  <c r="U913" i="11"/>
  <c r="U912" i="11"/>
  <c r="U911" i="11"/>
  <c r="U910" i="11"/>
  <c r="U909" i="11"/>
  <c r="U908" i="11"/>
  <c r="U907" i="11"/>
  <c r="U906" i="11"/>
  <c r="U905" i="11"/>
  <c r="U904" i="11"/>
  <c r="U903" i="11"/>
  <c r="U902" i="11"/>
  <c r="U901" i="11"/>
  <c r="U900" i="11"/>
  <c r="U899" i="11"/>
  <c r="U898" i="11"/>
  <c r="U897" i="11"/>
  <c r="U896" i="11"/>
  <c r="U895" i="11"/>
  <c r="U894" i="11"/>
  <c r="U893" i="11"/>
  <c r="U892" i="11"/>
  <c r="U891" i="11"/>
  <c r="U890" i="11"/>
  <c r="U889" i="11"/>
  <c r="U888" i="11"/>
  <c r="U886" i="11"/>
  <c r="U884" i="11"/>
  <c r="U882" i="11"/>
  <c r="U880" i="11"/>
  <c r="U879" i="11"/>
  <c r="U873" i="11"/>
  <c r="U871" i="11"/>
  <c r="U870" i="11"/>
  <c r="U869" i="11"/>
  <c r="U866" i="11"/>
  <c r="U864" i="11"/>
  <c r="K863" i="11"/>
  <c r="I863" i="11"/>
  <c r="K862" i="11"/>
  <c r="I862" i="11"/>
  <c r="K861" i="11"/>
  <c r="I861" i="11"/>
  <c r="K860" i="11"/>
  <c r="I860" i="11"/>
  <c r="K859" i="11"/>
  <c r="I859" i="11"/>
  <c r="K858" i="11"/>
  <c r="I858" i="11"/>
  <c r="I857" i="11"/>
  <c r="K856" i="11"/>
  <c r="I856" i="11"/>
  <c r="K855" i="11"/>
  <c r="I855" i="11"/>
  <c r="K854" i="11"/>
  <c r="I854" i="11"/>
  <c r="K853" i="11"/>
  <c r="I853" i="11"/>
  <c r="K852" i="11"/>
  <c r="I852" i="11"/>
  <c r="I851" i="11"/>
  <c r="K850" i="11"/>
  <c r="I850" i="11"/>
  <c r="K839" i="11"/>
  <c r="I839" i="11"/>
  <c r="I838" i="11"/>
  <c r="K837" i="11"/>
  <c r="I837" i="11"/>
  <c r="K836" i="11"/>
  <c r="I836" i="11"/>
  <c r="D834" i="11"/>
  <c r="D833" i="11"/>
  <c r="D832" i="11"/>
  <c r="D831" i="11"/>
  <c r="D830" i="11"/>
  <c r="D829" i="11"/>
  <c r="U827" i="11"/>
  <c r="U826" i="11"/>
  <c r="U825" i="11"/>
  <c r="U824" i="11"/>
  <c r="U823" i="11"/>
  <c r="U822" i="11"/>
  <c r="U820" i="11"/>
  <c r="U819" i="11"/>
  <c r="U818" i="11"/>
  <c r="U814" i="11"/>
  <c r="U813" i="11"/>
  <c r="U812" i="11"/>
  <c r="U811" i="11"/>
  <c r="U810" i="11"/>
  <c r="U809" i="11"/>
  <c r="U808" i="11"/>
  <c r="U807" i="11"/>
  <c r="U806" i="11"/>
  <c r="U805" i="11"/>
  <c r="U801" i="11"/>
  <c r="U800" i="11"/>
  <c r="U799" i="11"/>
  <c r="U798" i="11"/>
  <c r="U796" i="11"/>
  <c r="U795" i="11"/>
  <c r="U794" i="11"/>
  <c r="U793" i="11"/>
  <c r="U792" i="11"/>
  <c r="U791" i="11"/>
  <c r="U789" i="11"/>
  <c r="F788" i="11"/>
  <c r="U788" i="11" s="1"/>
  <c r="F787" i="11"/>
  <c r="U787" i="11" s="1"/>
  <c r="F786" i="11"/>
  <c r="U786" i="11" s="1"/>
  <c r="F785" i="11"/>
  <c r="F783" i="11"/>
  <c r="U782" i="11"/>
  <c r="U781" i="11"/>
  <c r="U772" i="11"/>
  <c r="U771" i="11"/>
  <c r="U770" i="11"/>
  <c r="U758" i="11"/>
  <c r="U757" i="11"/>
  <c r="U756" i="11"/>
  <c r="U755" i="11"/>
  <c r="U734" i="11"/>
  <c r="U733" i="11"/>
  <c r="U732" i="11"/>
  <c r="U731" i="11"/>
  <c r="U730" i="11"/>
  <c r="U729" i="11"/>
  <c r="U728" i="11"/>
  <c r="U727" i="11"/>
  <c r="U726" i="11"/>
  <c r="U725" i="11"/>
  <c r="U724" i="11"/>
  <c r="U723" i="11"/>
  <c r="U722" i="11"/>
  <c r="U721" i="11"/>
  <c r="U720" i="11"/>
  <c r="U719" i="11"/>
  <c r="U718" i="11"/>
  <c r="U717" i="11"/>
  <c r="U716" i="11"/>
  <c r="U715" i="11"/>
  <c r="U714" i="11"/>
  <c r="U713" i="11"/>
  <c r="U712" i="11"/>
  <c r="U711" i="11"/>
  <c r="U710" i="11"/>
  <c r="U709" i="11"/>
  <c r="U708" i="11"/>
  <c r="K707" i="11"/>
  <c r="U706" i="11"/>
  <c r="U705" i="11"/>
  <c r="U704" i="11"/>
  <c r="U703" i="11"/>
  <c r="D702" i="11"/>
  <c r="U701" i="11"/>
  <c r="U700" i="11"/>
  <c r="U699" i="11"/>
  <c r="U698" i="11"/>
  <c r="U697" i="11"/>
  <c r="U696" i="11"/>
  <c r="U695" i="11"/>
  <c r="U694" i="11"/>
  <c r="U693" i="11"/>
  <c r="U692" i="11"/>
  <c r="U691" i="11"/>
  <c r="U690" i="11"/>
  <c r="D689" i="11"/>
  <c r="D688" i="11"/>
  <c r="F688" i="11" s="1"/>
  <c r="D687" i="11"/>
  <c r="D686" i="11"/>
  <c r="F686" i="11" s="1"/>
  <c r="U685" i="11"/>
  <c r="D685" i="11"/>
  <c r="U684" i="11"/>
  <c r="D684" i="11"/>
  <c r="U683" i="11"/>
  <c r="D683" i="11"/>
  <c r="K683" i="11" s="1"/>
  <c r="U682" i="11"/>
  <c r="D682" i="11"/>
  <c r="K682" i="11" s="1"/>
  <c r="U681" i="11"/>
  <c r="U680" i="11"/>
  <c r="U679" i="11"/>
  <c r="U678" i="11"/>
  <c r="U677" i="11"/>
  <c r="U676" i="11"/>
  <c r="U675" i="11"/>
  <c r="U674" i="11"/>
  <c r="U673" i="11"/>
  <c r="D673" i="11"/>
  <c r="D672" i="11"/>
  <c r="K672" i="11" s="1"/>
  <c r="U671" i="11"/>
  <c r="D671" i="11"/>
  <c r="U670" i="11"/>
  <c r="D670" i="11"/>
  <c r="K670" i="11" s="1"/>
  <c r="U669" i="11"/>
  <c r="D669" i="11"/>
  <c r="U668" i="11"/>
  <c r="U667" i="11"/>
  <c r="U666" i="11"/>
  <c r="U665" i="11"/>
  <c r="U664" i="11"/>
  <c r="U663" i="11"/>
  <c r="U662" i="11"/>
  <c r="U661" i="11"/>
  <c r="U648" i="11"/>
  <c r="U646" i="11"/>
  <c r="F566" i="11"/>
  <c r="F565" i="11"/>
  <c r="F564" i="11"/>
  <c r="F563" i="11"/>
  <c r="F562" i="11"/>
  <c r="F561" i="11"/>
  <c r="F560" i="11"/>
  <c r="F559" i="11"/>
  <c r="F558" i="11"/>
  <c r="F557" i="11"/>
  <c r="F556" i="11"/>
  <c r="F555" i="11"/>
  <c r="F554" i="11"/>
  <c r="F553" i="11"/>
  <c r="F552" i="11"/>
  <c r="F551" i="11"/>
  <c r="F550" i="11"/>
  <c r="F549" i="11"/>
  <c r="F548" i="11"/>
  <c r="F547" i="11"/>
  <c r="F546" i="11"/>
  <c r="F535" i="11"/>
  <c r="F534" i="11"/>
  <c r="F533" i="11"/>
  <c r="F532" i="11"/>
  <c r="F530" i="11"/>
  <c r="F529" i="11"/>
  <c r="F528" i="11"/>
  <c r="F527" i="11"/>
  <c r="F526" i="11"/>
  <c r="F525" i="11"/>
  <c r="F524" i="11"/>
  <c r="F523" i="11"/>
  <c r="F522" i="11"/>
  <c r="F521" i="11"/>
  <c r="F520" i="11"/>
  <c r="F519" i="11"/>
  <c r="F518" i="11"/>
  <c r="F517" i="11"/>
  <c r="F516" i="11"/>
  <c r="F515" i="11"/>
  <c r="F514" i="11"/>
  <c r="F513" i="11"/>
  <c r="F512" i="11"/>
  <c r="F511" i="11"/>
  <c r="F510" i="11"/>
  <c r="F509" i="11"/>
  <c r="F508" i="11"/>
  <c r="F507" i="11"/>
  <c r="F506" i="11"/>
  <c r="F505" i="11"/>
  <c r="F504" i="11"/>
  <c r="F503" i="11"/>
  <c r="F502" i="11"/>
  <c r="F501" i="11"/>
  <c r="F500" i="11"/>
  <c r="F499" i="11"/>
  <c r="F498" i="11"/>
  <c r="F497" i="11"/>
  <c r="F496" i="11"/>
  <c r="F495" i="11"/>
  <c r="I494" i="11"/>
  <c r="F494" i="11"/>
  <c r="I493" i="11"/>
  <c r="F493" i="11"/>
  <c r="I492" i="11"/>
  <c r="F492" i="11"/>
  <c r="I491" i="11"/>
  <c r="F491" i="11"/>
  <c r="I490" i="11"/>
  <c r="F490" i="11"/>
  <c r="I489" i="11"/>
  <c r="F489" i="11"/>
  <c r="I488" i="11"/>
  <c r="F488" i="11"/>
  <c r="I487" i="11"/>
  <c r="I486" i="11"/>
  <c r="F486" i="11"/>
  <c r="I485" i="11"/>
  <c r="F485" i="11"/>
  <c r="I484" i="11"/>
  <c r="F484" i="11"/>
  <c r="I483" i="11"/>
  <c r="F483" i="11"/>
  <c r="I482" i="11"/>
  <c r="F482" i="11"/>
  <c r="U480" i="11"/>
  <c r="U478" i="11"/>
  <c r="U477" i="11"/>
  <c r="U474" i="11"/>
  <c r="U473" i="11"/>
  <c r="U470" i="11"/>
  <c r="U469" i="11"/>
  <c r="U468" i="11"/>
  <c r="U467" i="11"/>
  <c r="F448" i="11"/>
  <c r="U447" i="11"/>
  <c r="U446" i="11"/>
  <c r="U445" i="11"/>
  <c r="U444" i="11"/>
  <c r="U443" i="11"/>
  <c r="U442" i="11"/>
  <c r="U441" i="11"/>
  <c r="F440" i="11"/>
  <c r="F439" i="11"/>
  <c r="F438" i="11"/>
  <c r="F437" i="11"/>
  <c r="U436" i="11"/>
  <c r="U435" i="11"/>
  <c r="U434" i="11"/>
  <c r="U433" i="11"/>
  <c r="U432" i="11"/>
  <c r="U431" i="11"/>
  <c r="U430" i="11"/>
  <c r="F429" i="11"/>
  <c r="F428" i="11"/>
  <c r="F427" i="11"/>
  <c r="U426" i="11"/>
  <c r="U425" i="11"/>
  <c r="U424" i="11"/>
  <c r="T423" i="11"/>
  <c r="U423" i="11" s="1"/>
  <c r="T422" i="11"/>
  <c r="U422" i="11" s="1"/>
  <c r="T421" i="11"/>
  <c r="U421" i="11" s="1"/>
  <c r="T420" i="11"/>
  <c r="U420" i="11" s="1"/>
  <c r="T419" i="11"/>
  <c r="U419" i="11" s="1"/>
  <c r="T418" i="11"/>
  <c r="U418" i="11" s="1"/>
  <c r="T417" i="11"/>
  <c r="U417" i="11" s="1"/>
  <c r="F411" i="11"/>
  <c r="I410" i="11"/>
  <c r="I409" i="11"/>
  <c r="I407" i="11"/>
  <c r="F407" i="11"/>
  <c r="I406" i="11"/>
  <c r="F406" i="11"/>
  <c r="I405" i="11"/>
  <c r="F405" i="11"/>
  <c r="I404" i="11"/>
  <c r="F404" i="11"/>
  <c r="J403" i="11"/>
  <c r="I403" i="11"/>
  <c r="F403" i="11"/>
  <c r="J402" i="11"/>
  <c r="I402" i="11"/>
  <c r="F402" i="11"/>
  <c r="F401" i="11"/>
  <c r="J400" i="11"/>
  <c r="I400" i="11"/>
  <c r="F400" i="11"/>
  <c r="U399" i="11"/>
  <c r="I395" i="11"/>
  <c r="I394" i="11"/>
  <c r="I393" i="11"/>
  <c r="I392" i="11"/>
  <c r="U390" i="11"/>
  <c r="I390" i="11"/>
  <c r="I389" i="11"/>
  <c r="I388" i="11"/>
  <c r="I387" i="11"/>
  <c r="U386" i="11"/>
  <c r="J386" i="11"/>
  <c r="I386" i="11"/>
  <c r="I385" i="11"/>
  <c r="J384" i="11"/>
  <c r="I384" i="11"/>
  <c r="I383" i="11"/>
  <c r="I382" i="11"/>
  <c r="I381" i="11"/>
  <c r="K380" i="11"/>
  <c r="I379" i="11"/>
  <c r="I378" i="11"/>
  <c r="I377" i="11"/>
  <c r="I376" i="11"/>
  <c r="I375" i="11"/>
  <c r="U372" i="11"/>
  <c r="U371" i="11"/>
  <c r="U370" i="11"/>
  <c r="U369" i="11"/>
  <c r="F368" i="11"/>
  <c r="U367" i="11"/>
  <c r="U366" i="11"/>
  <c r="U353" i="11"/>
  <c r="U352" i="11"/>
  <c r="F351" i="11"/>
  <c r="F350" i="11" s="1"/>
  <c r="U341" i="11"/>
  <c r="U340" i="11"/>
  <c r="U339" i="11"/>
  <c r="U338" i="11"/>
  <c r="U337" i="11"/>
  <c r="U336" i="11"/>
  <c r="U335" i="11"/>
  <c r="U334" i="11"/>
  <c r="U333" i="11"/>
  <c r="U332" i="11"/>
  <c r="U331" i="11"/>
  <c r="U330" i="11"/>
  <c r="U329" i="11"/>
  <c r="U328" i="11"/>
  <c r="U327" i="11"/>
  <c r="U326" i="11"/>
  <c r="U325" i="11"/>
  <c r="U324" i="11"/>
  <c r="U323" i="11"/>
  <c r="U322" i="11"/>
  <c r="K300" i="11"/>
  <c r="I291" i="11"/>
  <c r="K291" i="11" s="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U177" i="11"/>
  <c r="K177" i="11"/>
  <c r="U176" i="11"/>
  <c r="U175" i="11"/>
  <c r="K175" i="11"/>
  <c r="U174" i="11"/>
  <c r="K174" i="11"/>
  <c r="U173" i="11"/>
  <c r="K173" i="11"/>
  <c r="U172" i="11"/>
  <c r="K172" i="11"/>
  <c r="U171" i="11"/>
  <c r="K171" i="11"/>
  <c r="U170" i="11"/>
  <c r="U169" i="11"/>
  <c r="U168" i="11"/>
  <c r="U167" i="11"/>
  <c r="U166" i="11"/>
  <c r="U165" i="11"/>
  <c r="U164" i="11"/>
  <c r="U163" i="11"/>
  <c r="U162" i="11"/>
  <c r="U161" i="11"/>
  <c r="U160" i="11"/>
  <c r="U159" i="11"/>
  <c r="U158" i="11"/>
  <c r="U157" i="11"/>
  <c r="U156" i="11"/>
  <c r="U155" i="11"/>
  <c r="U154" i="11"/>
  <c r="F153" i="11"/>
  <c r="F152" i="11"/>
  <c r="F151" i="11"/>
  <c r="F150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I44" i="11"/>
  <c r="F44" i="11"/>
  <c r="I43" i="11"/>
  <c r="F43" i="11"/>
  <c r="I42" i="11"/>
  <c r="F42" i="11"/>
  <c r="I41" i="11"/>
  <c r="F41" i="11"/>
  <c r="I40" i="11"/>
  <c r="F40" i="11"/>
  <c r="I39" i="11"/>
  <c r="F39" i="11"/>
  <c r="I38" i="11"/>
  <c r="F38" i="11"/>
  <c r="I37" i="11"/>
  <c r="F37" i="11"/>
  <c r="I36" i="11"/>
  <c r="F36" i="11"/>
  <c r="I35" i="11"/>
  <c r="F35" i="11"/>
  <c r="I34" i="11"/>
  <c r="F34" i="11"/>
  <c r="F33" i="11"/>
  <c r="F32" i="11"/>
  <c r="U30" i="11"/>
  <c r="U28" i="11"/>
  <c r="U27" i="11"/>
  <c r="U26" i="11"/>
  <c r="U25" i="11"/>
  <c r="U24" i="11"/>
  <c r="U23" i="11"/>
  <c r="U21" i="11"/>
  <c r="U20" i="11"/>
  <c r="U19" i="11"/>
  <c r="U18" i="11"/>
  <c r="U17" i="11"/>
  <c r="U16" i="11"/>
  <c r="U15" i="11"/>
  <c r="U14" i="11"/>
  <c r="U12" i="11"/>
  <c r="U11" i="11"/>
  <c r="U10" i="11"/>
  <c r="U9" i="11"/>
  <c r="U8" i="11"/>
  <c r="U7" i="11"/>
  <c r="U6" i="11"/>
  <c r="U5" i="11"/>
  <c r="U4" i="11"/>
  <c r="U3" i="11"/>
  <c r="J2" i="11"/>
  <c r="U2" i="11"/>
  <c r="F702" i="11" l="1"/>
  <c r="U702" i="11" s="1"/>
  <c r="F687" i="11"/>
  <c r="K687" i="11" s="1"/>
  <c r="F689" i="11"/>
  <c r="U689" i="11" s="1"/>
  <c r="U948" i="11"/>
  <c r="U931" i="11"/>
  <c r="U652" i="11"/>
  <c r="U950" i="11"/>
  <c r="K685" i="11"/>
  <c r="U924" i="11"/>
  <c r="U955" i="11"/>
  <c r="U920" i="11"/>
  <c r="U944" i="11"/>
  <c r="U951" i="11"/>
  <c r="U466" i="11"/>
  <c r="U917" i="11"/>
  <c r="U929" i="11"/>
  <c r="U919" i="11"/>
  <c r="U936" i="11"/>
  <c r="U925" i="11"/>
  <c r="U959" i="11"/>
  <c r="U645" i="11"/>
  <c r="F354" i="11"/>
  <c r="U354" i="11" s="1"/>
  <c r="U945" i="11"/>
  <c r="U962" i="11"/>
  <c r="U963" i="11"/>
  <c r="U933" i="11"/>
  <c r="U647" i="11"/>
  <c r="U941" i="11"/>
  <c r="U927" i="11"/>
  <c r="U642" i="11"/>
  <c r="U475" i="11"/>
  <c r="U649" i="11"/>
  <c r="U650" i="11"/>
  <c r="U654" i="11"/>
  <c r="K722" i="11"/>
  <c r="U958" i="11"/>
  <c r="U707" i="11"/>
  <c r="U930" i="11"/>
  <c r="U644" i="11"/>
  <c r="U942" i="11"/>
  <c r="U947" i="11"/>
  <c r="U953" i="11"/>
  <c r="K708" i="11"/>
  <c r="U937" i="11"/>
  <c r="U479" i="11"/>
  <c r="U651" i="11"/>
  <c r="K709" i="11"/>
  <c r="U926" i="11"/>
  <c r="U932" i="11"/>
  <c r="U960" i="11"/>
  <c r="K669" i="11"/>
  <c r="K673" i="11"/>
  <c r="U653" i="11"/>
  <c r="U928" i="11"/>
  <c r="U939" i="11"/>
  <c r="U940" i="11"/>
  <c r="U655" i="11"/>
  <c r="U672" i="11"/>
  <c r="U921" i="11"/>
  <c r="U935" i="11"/>
  <c r="U949" i="11"/>
  <c r="U922" i="11"/>
  <c r="U946" i="11"/>
  <c r="U956" i="11"/>
  <c r="K671" i="11"/>
  <c r="U918" i="11"/>
  <c r="U923" i="11"/>
  <c r="U961" i="11"/>
  <c r="U957" i="11"/>
  <c r="U471" i="11"/>
  <c r="U952" i="11"/>
  <c r="K723" i="11"/>
  <c r="U938" i="11"/>
  <c r="U943" i="11"/>
  <c r="F349" i="11"/>
  <c r="U643" i="11"/>
  <c r="U934" i="11"/>
  <c r="K684" i="11"/>
  <c r="U688" i="11"/>
  <c r="U954" i="11"/>
  <c r="U686" i="11"/>
  <c r="K721" i="11"/>
  <c r="U476" i="11"/>
  <c r="U13" i="11"/>
  <c r="U472" i="11"/>
  <c r="U687" i="11"/>
  <c r="K702" i="11" l="1"/>
  <c r="K689" i="11"/>
  <c r="F355" i="11"/>
  <c r="U355" i="11" s="1"/>
  <c r="U350" i="11"/>
  <c r="K688" i="11"/>
  <c r="F348" i="11"/>
  <c r="U349" i="11"/>
  <c r="K686" i="11"/>
  <c r="F356" i="11" l="1"/>
  <c r="U356" i="11" s="1"/>
  <c r="F347" i="11"/>
  <c r="F346" i="11" s="1"/>
  <c r="U348" i="11"/>
  <c r="F357" i="11" l="1"/>
  <c r="F358" i="11" s="1"/>
  <c r="F359" i="11" s="1"/>
  <c r="U347" i="11"/>
  <c r="U357" i="11" l="1"/>
  <c r="F345" i="11"/>
  <c r="U346" i="11"/>
  <c r="U358" i="11"/>
  <c r="F360" i="11" l="1"/>
  <c r="U359" i="11"/>
  <c r="F344" i="11"/>
  <c r="F343" i="11" s="1"/>
  <c r="F342" i="11" s="1"/>
  <c r="U345" i="11"/>
  <c r="F361" i="11" l="1"/>
  <c r="U360" i="11"/>
  <c r="U344" i="11"/>
  <c r="U342" i="11" l="1"/>
  <c r="U343" i="11"/>
  <c r="U361" i="11"/>
  <c r="F362" i="11"/>
  <c r="F363" i="11" l="1"/>
  <c r="U362" i="11"/>
  <c r="F364" i="11" l="1"/>
  <c r="U364" i="11" s="1"/>
  <c r="U363" i="11"/>
</calcChain>
</file>

<file path=xl/sharedStrings.xml><?xml version="1.0" encoding="utf-8"?>
<sst xmlns="http://schemas.openxmlformats.org/spreadsheetml/2006/main" count="13119" uniqueCount="303">
  <si>
    <t xml:space="preserve"> </t>
    <phoneticPr fontId="5" type="noConversion"/>
  </si>
  <si>
    <t>-</t>
    <phoneticPr fontId="5" type="noConversion"/>
  </si>
  <si>
    <t>Ph-3-ED</t>
    <phoneticPr fontId="5" type="noConversion"/>
  </si>
  <si>
    <t>TEPA</t>
    <phoneticPr fontId="5" type="noConversion"/>
  </si>
  <si>
    <t>TETA</t>
    <phoneticPr fontId="5" type="noConversion"/>
  </si>
  <si>
    <t xml:space="preserve"> -</t>
    <phoneticPr fontId="5" type="noConversion"/>
  </si>
  <si>
    <t>-</t>
  </si>
  <si>
    <t>SBA-15</t>
  </si>
  <si>
    <t>SBA-15</t>
    <phoneticPr fontId="5" type="noConversion"/>
  </si>
  <si>
    <t>https://doi.org/10.1016/j.cej.2021.131875</t>
  </si>
  <si>
    <t>https://doi.org/10.1016/j.cej.2021.131875</t>
    <phoneticPr fontId="5" type="noConversion"/>
  </si>
  <si>
    <t>https://doi.org/10.1016/j.jece.2022.107239</t>
  </si>
  <si>
    <t xml:space="preserve"> https://doi.org/10.1002/advs.202207253</t>
    <phoneticPr fontId="5" type="noConversion"/>
  </si>
  <si>
    <t>DETA</t>
    <phoneticPr fontId="5" type="noConversion"/>
  </si>
  <si>
    <t>https://doi.org/10.1016/j.seppur.2023.124346</t>
  </si>
  <si>
    <t>https://doi.org/10.1016/j.seppur.2023.124580</t>
  </si>
  <si>
    <t>MCM-41</t>
    <phoneticPr fontId="5" type="noConversion"/>
  </si>
  <si>
    <t>https://doi.org/10.1002/sus2.141</t>
  </si>
  <si>
    <t>https://doi.org/10.1016/j.seppur.2023.124346</t>
    <phoneticPr fontId="5" type="noConversion"/>
  </si>
  <si>
    <t>https://doi.org/10.1016/j.apenergy.2014.09.057</t>
  </si>
  <si>
    <t>https://doi.org/10.1016/j.seppur.2024.126735</t>
    <phoneticPr fontId="5" type="noConversion"/>
  </si>
  <si>
    <t>MCM-41</t>
  </si>
  <si>
    <t>MCM-48</t>
  </si>
  <si>
    <t>MCM-48</t>
    <phoneticPr fontId="5" type="noConversion"/>
  </si>
  <si>
    <t>https://doi.org/10.1016/j.seppur.2024.126735</t>
  </si>
  <si>
    <t>https://doi.org/10.1016/j.apenergy.2014.09.057</t>
    <phoneticPr fontId="5" type="noConversion"/>
  </si>
  <si>
    <t>https://dx.doi.org/10.1021/acssuschemeng.0c03706</t>
  </si>
  <si>
    <t>PEG200</t>
    <phoneticPr fontId="5" type="noConversion"/>
  </si>
  <si>
    <t>https://doi.org/10.1021/acsami.5b07545</t>
  </si>
  <si>
    <t>TEPA</t>
  </si>
  <si>
    <t>P123</t>
    <phoneticPr fontId="5" type="noConversion"/>
  </si>
  <si>
    <t>MMSN</t>
    <phoneticPr fontId="5" type="noConversion"/>
  </si>
  <si>
    <t>CTAC</t>
    <phoneticPr fontId="5" type="noConversion"/>
  </si>
  <si>
    <t>DPPD</t>
    <phoneticPr fontId="5" type="noConversion"/>
  </si>
  <si>
    <t>TBD</t>
    <phoneticPr fontId="5" type="noConversion"/>
  </si>
  <si>
    <t>DBPD</t>
    <phoneticPr fontId="5" type="noConversion"/>
  </si>
  <si>
    <t>BHT</t>
    <phoneticPr fontId="5" type="noConversion"/>
  </si>
  <si>
    <t>PET</t>
    <phoneticPr fontId="5" type="noConversion"/>
  </si>
  <si>
    <t>TDE</t>
    <phoneticPr fontId="5" type="noConversion"/>
  </si>
  <si>
    <t>HEDS</t>
    <phoneticPr fontId="5" type="noConversion"/>
  </si>
  <si>
    <t xml:space="preserve"> DTDP</t>
    <phoneticPr fontId="5" type="noConversion"/>
  </si>
  <si>
    <t>MMON</t>
    <phoneticPr fontId="5" type="noConversion"/>
  </si>
  <si>
    <t>CTAB</t>
  </si>
  <si>
    <t>CTAB</t>
    <phoneticPr fontId="5" type="noConversion"/>
  </si>
  <si>
    <t>SDS</t>
    <phoneticPr fontId="5" type="noConversion"/>
  </si>
  <si>
    <t>https://dx.doi.org/10.1021/acssuschemeng.0c03706</t>
    <phoneticPr fontId="5" type="noConversion"/>
  </si>
  <si>
    <t>TPTA</t>
    <phoneticPr fontId="5" type="noConversion"/>
  </si>
  <si>
    <t>EI-Den</t>
    <phoneticPr fontId="5" type="noConversion"/>
  </si>
  <si>
    <t>PI-Den</t>
    <phoneticPr fontId="5" type="noConversion"/>
  </si>
  <si>
    <t>https://doi.org/10.1021/jacs.7b00235</t>
  </si>
  <si>
    <t>https://doi.org/10.1021/jacs.7b00235</t>
    <phoneticPr fontId="5" type="noConversion"/>
  </si>
  <si>
    <t xml:space="preserve">DEA </t>
    <phoneticPr fontId="5" type="noConversion"/>
  </si>
  <si>
    <t>Cycle Number</t>
    <phoneticPr fontId="5" type="noConversion"/>
  </si>
  <si>
    <t>https://doi.org/10.1016/j.jece.2022.107239</t>
    <phoneticPr fontId="5" type="noConversion"/>
  </si>
  <si>
    <t xml:space="preserve">TEPA </t>
    <phoneticPr fontId="5" type="noConversion"/>
  </si>
  <si>
    <t>DEA</t>
    <phoneticPr fontId="5" type="noConversion"/>
  </si>
  <si>
    <t>https://doi.org/10.1002/sus2.141</t>
    <phoneticPr fontId="5" type="noConversion"/>
  </si>
  <si>
    <t>https://doi.org/10.1021/acsami.5b07545</t>
    <phoneticPr fontId="5" type="noConversion"/>
  </si>
  <si>
    <t>PC</t>
    <phoneticPr fontId="5" type="noConversion"/>
  </si>
  <si>
    <t>Span80</t>
    <phoneticPr fontId="5" type="noConversion"/>
  </si>
  <si>
    <t>1.81:1.52:1</t>
  </si>
  <si>
    <t>1.81:1.52:1</t>
    <phoneticPr fontId="5" type="noConversion"/>
  </si>
  <si>
    <t>1.42:1.14:1</t>
    <phoneticPr fontId="5" type="noConversion"/>
  </si>
  <si>
    <t>1.35:1.21:1</t>
    <phoneticPr fontId="5" type="noConversion"/>
  </si>
  <si>
    <t>1:1.03:1.19</t>
    <phoneticPr fontId="5" type="noConversion"/>
  </si>
  <si>
    <t>1:1.5:0</t>
  </si>
  <si>
    <t>1:1.5:0</t>
    <phoneticPr fontId="5" type="noConversion"/>
  </si>
  <si>
    <t>2:1:0</t>
  </si>
  <si>
    <t>2:1:0</t>
    <phoneticPr fontId="5" type="noConversion"/>
  </si>
  <si>
    <t>2:0:1</t>
  </si>
  <si>
    <t>2:0:1</t>
    <phoneticPr fontId="5" type="noConversion"/>
  </si>
  <si>
    <t>1:1:0</t>
  </si>
  <si>
    <t>1:1:0</t>
    <phoneticPr fontId="5" type="noConversion"/>
  </si>
  <si>
    <t>Ph-3-ED</t>
  </si>
  <si>
    <t>Ph-3-PD</t>
  </si>
  <si>
    <t>Ph-3-PD</t>
    <phoneticPr fontId="5" type="noConversion"/>
  </si>
  <si>
    <t>Ph-6-ED</t>
    <phoneticPr fontId="5" type="noConversion"/>
  </si>
  <si>
    <t>Ph-6-PD</t>
    <phoneticPr fontId="5" type="noConversion"/>
  </si>
  <si>
    <t>https://doi.org/10.1016/j.jece.2021.106709</t>
  </si>
  <si>
    <t xml:space="preserve"> CTAC</t>
  </si>
  <si>
    <t xml:space="preserve"> CTAC</t>
    <phoneticPr fontId="5" type="noConversion"/>
  </si>
  <si>
    <t>CTAC</t>
  </si>
  <si>
    <t>https://doi.org/10.1021/acs.iecr.9b02742</t>
  </si>
  <si>
    <t>https://doi.org/10.1021/acs.iecr.2c01484</t>
  </si>
  <si>
    <t>BTES</t>
    <phoneticPr fontId="5" type="noConversion"/>
  </si>
  <si>
    <t>APTES</t>
    <phoneticPr fontId="5" type="noConversion"/>
  </si>
  <si>
    <t>TEOT</t>
    <phoneticPr fontId="5" type="noConversion"/>
  </si>
  <si>
    <t>http://doi.org/10.1002/cssc.201000355</t>
    <phoneticPr fontId="5" type="noConversion"/>
  </si>
  <si>
    <t>https://doi.org/10.1021/ie300180u</t>
  </si>
  <si>
    <t>0:1:0</t>
    <phoneticPr fontId="5" type="noConversion"/>
  </si>
  <si>
    <t>MCF</t>
  </si>
  <si>
    <t>MCF</t>
    <phoneticPr fontId="5" type="noConversion"/>
  </si>
  <si>
    <t>PAA</t>
    <phoneticPr fontId="5" type="noConversion"/>
  </si>
  <si>
    <t>GPAA</t>
  </si>
  <si>
    <t>GPAA</t>
    <phoneticPr fontId="5" type="noConversion"/>
  </si>
  <si>
    <t>http://dx.doi.org/10.1016/j.fuel.2013.12.018</t>
  </si>
  <si>
    <t>1:0:0</t>
    <phoneticPr fontId="5" type="noConversion"/>
  </si>
  <si>
    <t>1:0.1:0</t>
  </si>
  <si>
    <t>1:0.1:0</t>
    <phoneticPr fontId="5" type="noConversion"/>
  </si>
  <si>
    <t>MPS</t>
    <phoneticPr fontId="5" type="noConversion"/>
  </si>
  <si>
    <t>0:1:0</t>
  </si>
  <si>
    <t>http://dx.doi.org/10.1021/ef502656t</t>
  </si>
  <si>
    <t>CTMA+</t>
    <phoneticPr fontId="5" type="noConversion"/>
  </si>
  <si>
    <t>http://dx.doi.org/10.1002/cssc.201600834</t>
  </si>
  <si>
    <t>http://dx.doi.org/10.1002/cssc.201600834</t>
    <phoneticPr fontId="5" type="noConversion"/>
  </si>
  <si>
    <t>http://dx.doi.org/10.1021/acs.chemmater.9b01474</t>
  </si>
  <si>
    <t>https://doi.org/10.1021/ef201224v</t>
  </si>
  <si>
    <t>https://doi.org/10.1007/s10450-019-00171-w</t>
  </si>
  <si>
    <t>PPG</t>
    <phoneticPr fontId="5" type="noConversion"/>
  </si>
  <si>
    <t>0.1:1:0</t>
    <phoneticPr fontId="5" type="noConversion"/>
  </si>
  <si>
    <t>1.29:1.29:1</t>
    <phoneticPr fontId="5" type="noConversion"/>
  </si>
  <si>
    <t>1:2.5:0</t>
    <phoneticPr fontId="5" type="noConversion"/>
  </si>
  <si>
    <t>http://dx.doi.org/10.1021/acs.chemmater.9b01474</t>
    <phoneticPr fontId="5" type="noConversion"/>
  </si>
  <si>
    <t>LPPI</t>
  </si>
  <si>
    <t>LPPI</t>
    <phoneticPr fontId="5" type="noConversion"/>
  </si>
  <si>
    <t>1:0.2:0</t>
    <phoneticPr fontId="5" type="noConversion"/>
  </si>
  <si>
    <t>1:0.02:0</t>
  </si>
  <si>
    <t>1:0.02:0</t>
    <phoneticPr fontId="5" type="noConversion"/>
  </si>
  <si>
    <t>1:0.003:0</t>
  </si>
  <si>
    <t>1:0.003:0</t>
    <phoneticPr fontId="5" type="noConversion"/>
  </si>
  <si>
    <t>http://doi.org/10.1002/cssc.201800438</t>
  </si>
  <si>
    <t>http://doi.org/10.1002/cssc.201800438</t>
    <phoneticPr fontId="5" type="noConversion"/>
  </si>
  <si>
    <t>DEA</t>
  </si>
  <si>
    <t xml:space="preserve"> DEA</t>
    <phoneticPr fontId="5" type="noConversion"/>
  </si>
  <si>
    <t xml:space="preserve"> 0:0:0</t>
    <phoneticPr fontId="5" type="noConversion"/>
  </si>
  <si>
    <t>https://doi.org/10.1016/j.jece.2021.106709</t>
    <phoneticPr fontId="5" type="noConversion"/>
  </si>
  <si>
    <t xml:space="preserve"> https://doi.org/10.1002/advs.202207253</t>
  </si>
  <si>
    <t>https://doi.org/10.1021/acs.iecr.2c01484</t>
    <phoneticPr fontId="5" type="noConversion"/>
  </si>
  <si>
    <t>BTES</t>
  </si>
  <si>
    <t>MMON</t>
  </si>
  <si>
    <t>http://dx.doi.org/10.1021/acsapm.9b00788</t>
  </si>
  <si>
    <t>PGA</t>
    <phoneticPr fontId="5" type="noConversion"/>
  </si>
  <si>
    <t>1:0:0</t>
  </si>
  <si>
    <t>http://dx.doi.org/10.1021/acsapm.9b00788</t>
    <phoneticPr fontId="5" type="noConversion"/>
  </si>
  <si>
    <t>https://doi.org/10.1021/acs.iecr.2c02268</t>
  </si>
  <si>
    <t>PZ</t>
  </si>
  <si>
    <t>PZ</t>
    <phoneticPr fontId="5" type="noConversion"/>
  </si>
  <si>
    <t>MEA</t>
    <phoneticPr fontId="5" type="noConversion"/>
  </si>
  <si>
    <t>EDA</t>
    <phoneticPr fontId="5" type="noConversion"/>
  </si>
  <si>
    <t>FAU</t>
    <phoneticPr fontId="5" type="noConversion"/>
  </si>
  <si>
    <t xml:space="preserve"> DETA</t>
    <phoneticPr fontId="5" type="noConversion"/>
  </si>
  <si>
    <t>https://doi.org/10.1016/j.micromeso.2023.112714</t>
  </si>
  <si>
    <t>https://doi.org/10.1016/j.micromeso.2022.111956</t>
  </si>
  <si>
    <t xml:space="preserve"> TETA</t>
    <phoneticPr fontId="5" type="noConversion"/>
  </si>
  <si>
    <t xml:space="preserve"> TEPA</t>
    <phoneticPr fontId="5" type="noConversion"/>
  </si>
  <si>
    <t xml:space="preserve"> EDA</t>
    <phoneticPr fontId="5" type="noConversion"/>
  </si>
  <si>
    <t>Spermine</t>
    <phoneticPr fontId="5" type="noConversion"/>
  </si>
  <si>
    <t>Spermidine</t>
    <phoneticPr fontId="5" type="noConversion"/>
  </si>
  <si>
    <t>1:2:0</t>
    <phoneticPr fontId="5" type="noConversion"/>
  </si>
  <si>
    <t>MIL-101(Cr)</t>
  </si>
  <si>
    <t>MIL-101(Cr)</t>
    <phoneticPr fontId="5" type="noConversion"/>
  </si>
  <si>
    <t>https://doi.org/10.1021/jacsau.1c00414</t>
  </si>
  <si>
    <t>https://doi.org/10.1021/acsenviro-u.3c00010</t>
  </si>
  <si>
    <t>https://doi.org/10.1021/acssuschemeng.6b01692</t>
  </si>
  <si>
    <t>TREN</t>
    <phoneticPr fontId="5" type="noConversion"/>
  </si>
  <si>
    <t>3:0:1</t>
    <phoneticPr fontId="5" type="noConversion"/>
  </si>
  <si>
    <t>https://doi.org/10.1021/jacsau.1c00414</t>
    <phoneticPr fontId="5" type="noConversion"/>
  </si>
  <si>
    <t>MCM-36</t>
    <phoneticPr fontId="5" type="noConversion"/>
  </si>
  <si>
    <t>https://doi.org/10.1021/la505037f</t>
  </si>
  <si>
    <t>PAA</t>
  </si>
  <si>
    <t>https://doi.org/10.1002/cphc.201700828</t>
  </si>
  <si>
    <t>BPEI</t>
    <phoneticPr fontId="5" type="noConversion"/>
  </si>
  <si>
    <t>http://dx.doi.org/10.1016/j.seppur.2015.10.009</t>
  </si>
  <si>
    <t>https://doi.org/10.1246/bcsj.20160286</t>
  </si>
  <si>
    <t>1:1.17:1.07</t>
    <phoneticPr fontId="5" type="noConversion"/>
  </si>
  <si>
    <t>1:1.53:1.60</t>
    <phoneticPr fontId="5" type="noConversion"/>
  </si>
  <si>
    <t>1:2.33:2.63</t>
    <phoneticPr fontId="5" type="noConversion"/>
  </si>
  <si>
    <t>1:5.18:6.48</t>
    <phoneticPr fontId="5" type="noConversion"/>
  </si>
  <si>
    <t>1:10.6:30.04</t>
    <phoneticPr fontId="5" type="noConversion"/>
  </si>
  <si>
    <t>1:1:0.86</t>
    <phoneticPr fontId="5" type="noConversion"/>
  </si>
  <si>
    <t>https://doi.org/10.1021/acsomega.0c01515</t>
  </si>
  <si>
    <t xml:space="preserve"> 0:1:0</t>
    <phoneticPr fontId="5" type="noConversion"/>
  </si>
  <si>
    <t>https://doi.org/10.1016/j.seppur.2023.124580</t>
    <phoneticPr fontId="5" type="noConversion"/>
  </si>
  <si>
    <t>https://doi.org/10.1016/j.energy.2020.119093</t>
  </si>
  <si>
    <t>https://doi.org/10.1021/la505037f</t>
    <phoneticPr fontId="5" type="noConversion"/>
  </si>
  <si>
    <t>https://doi.org/10.1246/bcsj.20160286</t>
    <phoneticPr fontId="5" type="noConversion"/>
  </si>
  <si>
    <t>1.42:1.14:1</t>
  </si>
  <si>
    <t>1.35:1.21:1</t>
  </si>
  <si>
    <t>https://doi.org/10.1021/acsami.3c17126</t>
  </si>
  <si>
    <t>https://doi.org/10.1021/am400661b</t>
  </si>
  <si>
    <t>BPEI</t>
  </si>
  <si>
    <t>LPEI</t>
  </si>
  <si>
    <t>1.79:1.38:1</t>
    <phoneticPr fontId="5" type="noConversion"/>
  </si>
  <si>
    <t>https://doi.org/10.1002/cphc.201700828</t>
    <phoneticPr fontId="5" type="noConversion"/>
  </si>
  <si>
    <t>https://doi.org/10.1007/s10450-019-00171-w</t>
    <phoneticPr fontId="5" type="noConversion"/>
  </si>
  <si>
    <t xml:space="preserve">Support </t>
    <phoneticPr fontId="5" type="noConversion"/>
  </si>
  <si>
    <t xml:space="preserve"> MPS</t>
    <phoneticPr fontId="5" type="noConversion"/>
  </si>
  <si>
    <t>EP</t>
    <phoneticPr fontId="5" type="noConversion"/>
  </si>
  <si>
    <t>1.22:1.56:1</t>
  </si>
  <si>
    <t>1.22:1.56:1</t>
    <phoneticPr fontId="5" type="noConversion"/>
  </si>
  <si>
    <t>https://doi.org/10.1021/ie300180u</t>
    <phoneticPr fontId="5" type="noConversion"/>
  </si>
  <si>
    <t>https://doi.org/10.1016/j.cherd.2023.09.021</t>
  </si>
  <si>
    <t>https://doi.org/10.1016/j.cherd.2023.09.021</t>
    <phoneticPr fontId="5" type="noConversion"/>
  </si>
  <si>
    <t>https://doi.org/10.1016/j.micromeso.2022.111956</t>
    <phoneticPr fontId="5" type="noConversion"/>
  </si>
  <si>
    <t>https://doi.org/10.1021/acsenviro-u.3c00010</t>
    <phoneticPr fontId="5" type="noConversion"/>
  </si>
  <si>
    <t>https://doi.org/10.1021/acsomega.0c01515</t>
    <phoneticPr fontId="5" type="noConversion"/>
  </si>
  <si>
    <t>BHMS</t>
    <phoneticPr fontId="5" type="noConversion"/>
  </si>
  <si>
    <t>THMS</t>
    <phoneticPr fontId="5" type="noConversion"/>
  </si>
  <si>
    <t xml:space="preserve"> MPS</t>
  </si>
  <si>
    <t>https://doi.org/10.1016/j.ccst.2023.100167</t>
  </si>
  <si>
    <t>R-CFA-SBA-15</t>
  </si>
  <si>
    <t>W-CFA-SBA-15</t>
  </si>
  <si>
    <t>https://doi.org/10.1021/jacsau.2c00553</t>
  </si>
  <si>
    <t>https://doi.org/10.1021/jacsau.2c00553</t>
    <phoneticPr fontId="5" type="noConversion"/>
  </si>
  <si>
    <t>ZN</t>
  </si>
  <si>
    <t>http://dx.doi.org/10.1021/acs.iecr.7b04912</t>
  </si>
  <si>
    <t>https://doi.org/10.1007/s10934-019-00733-x</t>
  </si>
  <si>
    <t>https://doi.org/10.1039/C9NJ03822A</t>
  </si>
  <si>
    <t>https://doi.org/10.1016/j.seppur.2014.01.048</t>
  </si>
  <si>
    <t>https://doi.org/10.1016/j.cej.2024.150025</t>
  </si>
  <si>
    <t>https://doi.org/10.1021/acsami.1c17132</t>
  </si>
  <si>
    <t>1.88:1.25:1</t>
  </si>
  <si>
    <t>https://doi.org/10.1016/j.jcou.2018.07.007</t>
  </si>
  <si>
    <t>1.43:1.08:1</t>
  </si>
  <si>
    <t>1.43:1.11:1</t>
  </si>
  <si>
    <t>1.62:1.57:1</t>
  </si>
  <si>
    <t>EB-TEPA</t>
  </si>
  <si>
    <t>1.48:2.29:1</t>
  </si>
  <si>
    <t>1:3.93:1.73</t>
  </si>
  <si>
    <t>1:8.71:4.57</t>
  </si>
  <si>
    <t>CNS</t>
  </si>
  <si>
    <t>PEHA</t>
  </si>
  <si>
    <t>1:2:0</t>
  </si>
  <si>
    <t>https://doi.org/10.1021/acsami.8b12182</t>
  </si>
  <si>
    <t>AC</t>
  </si>
  <si>
    <t>TETA</t>
  </si>
  <si>
    <t>https://doi.org/10.1016/j.micromeso.2015.01.044</t>
  </si>
  <si>
    <t>CA</t>
  </si>
  <si>
    <t>https://doi.org/10.1016/j.fuel.2023.128874</t>
  </si>
  <si>
    <t>AN-TEPA</t>
  </si>
  <si>
    <t>1:4:0</t>
  </si>
  <si>
    <t>0:5:0</t>
  </si>
  <si>
    <t>0:4:1</t>
  </si>
  <si>
    <t>AC</t>
    <phoneticPr fontId="5" type="noConversion"/>
  </si>
  <si>
    <t>NPREHP20</t>
  </si>
  <si>
    <t>NPREHP20</t>
    <phoneticPr fontId="5" type="noConversion"/>
  </si>
  <si>
    <t>FS</t>
    <phoneticPr fontId="5" type="noConversion"/>
  </si>
  <si>
    <t>NPREXAD4</t>
    <phoneticPr fontId="5" type="noConversion"/>
  </si>
  <si>
    <t>MPC</t>
    <phoneticPr fontId="5" type="noConversion"/>
  </si>
  <si>
    <t>NPRED4020</t>
    <phoneticPr fontId="5" type="noConversion"/>
  </si>
  <si>
    <t>PREXAD7</t>
    <phoneticPr fontId="5" type="noConversion"/>
  </si>
  <si>
    <t>PREHP2MG</t>
    <phoneticPr fontId="5" type="noConversion"/>
  </si>
  <si>
    <t>PREDA201</t>
    <phoneticPr fontId="5" type="noConversion"/>
  </si>
  <si>
    <t xml:space="preserve"> OH to N ratio</t>
    <phoneticPr fontId="5" type="noConversion"/>
  </si>
  <si>
    <t>https://doi.org/10.1016/j.micromeso.2023.112714</t>
    <phoneticPr fontId="5" type="noConversion"/>
  </si>
  <si>
    <t>PEG200</t>
  </si>
  <si>
    <t>PEG1000</t>
  </si>
  <si>
    <t>http://dx.doi.org/10.1021/ef502656t</t>
    <phoneticPr fontId="5" type="noConversion"/>
  </si>
  <si>
    <t>http://dx.doi.org/10.1016/j.fuel.2013.12.018</t>
    <phoneticPr fontId="5" type="noConversion"/>
  </si>
  <si>
    <t>https://doi.org/10.1021/acssuschemeng.6b01692</t>
    <phoneticPr fontId="5" type="noConversion"/>
  </si>
  <si>
    <t>https://doi.org/10.1021/acsami.3c17126</t>
    <phoneticPr fontId="5" type="noConversion"/>
  </si>
  <si>
    <t>https://doi.org/10.1021/am400661b</t>
    <phoneticPr fontId="5" type="noConversion"/>
  </si>
  <si>
    <t>https://doi.org/10.1016/j.ccst.2023.100167</t>
    <phoneticPr fontId="5" type="noConversion"/>
  </si>
  <si>
    <t>https://doi.org/10.1016/j.energy.2020.119093</t>
    <phoneticPr fontId="5" type="noConversion"/>
  </si>
  <si>
    <t>https://doi.org/10.1021/acsami.1c17132</t>
    <phoneticPr fontId="5" type="noConversion"/>
  </si>
  <si>
    <t>https://doi.org/10.1016/j.fuel.2023.128874</t>
    <phoneticPr fontId="5" type="noConversion"/>
  </si>
  <si>
    <t>0:10.4:89.6</t>
    <phoneticPr fontId="5" type="noConversion"/>
  </si>
  <si>
    <t>1:1.17:1.17</t>
    <phoneticPr fontId="5" type="noConversion"/>
  </si>
  <si>
    <t>Amine 2 or Additve 2</t>
    <phoneticPr fontId="5" type="noConversion"/>
  </si>
  <si>
    <t>Amine 1 or Additive 1</t>
    <phoneticPr fontId="5" type="noConversion"/>
  </si>
  <si>
    <t>AM-TEPA</t>
  </si>
  <si>
    <t>MF</t>
    <phoneticPr fontId="5" type="noConversion"/>
  </si>
  <si>
    <t>SA</t>
    <phoneticPr fontId="5" type="noConversion"/>
  </si>
  <si>
    <t>NS</t>
    <phoneticPr fontId="5" type="noConversion"/>
  </si>
  <si>
    <t>PREHPD450</t>
    <phoneticPr fontId="5" type="noConversion"/>
  </si>
  <si>
    <t>1:0.1:1</t>
  </si>
  <si>
    <t>1:0:1</t>
  </si>
  <si>
    <t>PREHPD450</t>
  </si>
  <si>
    <t xml:space="preserve"> 1.83:1.27:1</t>
    <phoneticPr fontId="5" type="noConversion"/>
  </si>
  <si>
    <t>1.33:1:1</t>
    <phoneticPr fontId="5" type="noConversion"/>
  </si>
  <si>
    <t>1.33:1:8</t>
  </si>
  <si>
    <t>1°, 2°, 3° Amine Ratio</t>
    <phoneticPr fontId="5" type="noConversion"/>
  </si>
  <si>
    <r>
      <t>Mesoporous γ-Al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3</t>
    </r>
    <phoneticPr fontId="5" type="noConversion"/>
  </si>
  <si>
    <r>
      <t>Mesoporous γ-Al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  <charset val="134"/>
      </rPr>
      <t/>
    </r>
  </si>
  <si>
    <r>
      <t>Mesoporous γ-Al</t>
    </r>
    <r>
      <rPr>
        <sz val="8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</t>
    </r>
    <r>
      <rPr>
        <sz val="8"/>
        <color rgb="FF000000"/>
        <rFont val="Arial"/>
        <family val="2"/>
      </rPr>
      <t>3</t>
    </r>
  </si>
  <si>
    <r>
      <t>Mesoporous γ-Al</t>
    </r>
    <r>
      <rPr>
        <sz val="8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</t>
    </r>
    <r>
      <rPr>
        <sz val="8"/>
        <color rgb="FF000000"/>
        <rFont val="Arial"/>
        <family val="2"/>
      </rPr>
      <t>3</t>
    </r>
    <r>
      <rPr>
        <sz val="10"/>
        <color theme="1"/>
        <rFont val="Arial"/>
        <family val="2"/>
        <charset val="134"/>
      </rPr>
      <t/>
    </r>
  </si>
  <si>
    <r>
      <t>Mesoporous γ-Al</t>
    </r>
    <r>
      <rPr>
        <sz val="8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</t>
    </r>
    <r>
      <rPr>
        <sz val="8"/>
        <color rgb="FF000000"/>
        <rFont val="Arial"/>
        <family val="2"/>
      </rPr>
      <t>3</t>
    </r>
    <phoneticPr fontId="5" type="noConversion"/>
  </si>
  <si>
    <t>Time to 90% Saturation (min)</t>
    <phoneticPr fontId="5" type="noConversion"/>
  </si>
  <si>
    <t>Amine Efficiency (mmol/mmol)</t>
    <phoneticPr fontId="5" type="noConversion"/>
  </si>
  <si>
    <t>MW or Mn (g/mol)</t>
    <phoneticPr fontId="5" type="noConversion"/>
  </si>
  <si>
    <t xml:space="preserve"> -</t>
  </si>
  <si>
    <t>https://doi.org/10.1021/acs.iecr.9b02742</t>
    <phoneticPr fontId="5" type="noConversion"/>
  </si>
  <si>
    <r>
      <t>CO</t>
    </r>
    <r>
      <rPr>
        <b/>
        <u/>
        <vertAlign val="subscript"/>
        <sz val="10"/>
        <color theme="1"/>
        <rFont val="Arial"/>
        <family val="2"/>
      </rPr>
      <t>2</t>
    </r>
    <r>
      <rPr>
        <b/>
        <u/>
        <sz val="10"/>
        <color theme="1"/>
        <rFont val="Arial"/>
        <family val="2"/>
      </rPr>
      <t xml:space="preserve"> Concentration (vol%)</t>
    </r>
    <phoneticPr fontId="5" type="noConversion"/>
  </si>
  <si>
    <t>https://doi.org/10.1016/j.cej.2018.11.064</t>
  </si>
  <si>
    <t>N Content on Adsorbent Basis (mmol/g)</t>
    <phoneticPr fontId="5" type="noConversion"/>
  </si>
  <si>
    <r>
      <t>Adsorption Temperature (</t>
    </r>
    <r>
      <rPr>
        <b/>
        <u/>
        <sz val="10"/>
        <color theme="1"/>
        <rFont val="Segoe UI Symbol"/>
        <family val="3"/>
      </rPr>
      <t>℃</t>
    </r>
    <r>
      <rPr>
        <b/>
        <u/>
        <sz val="10"/>
        <color theme="1"/>
        <rFont val="Arial"/>
        <family val="2"/>
      </rPr>
      <t>)</t>
    </r>
    <phoneticPr fontId="5" type="noConversion"/>
  </si>
  <si>
    <t>DOI</t>
    <phoneticPr fontId="5" type="noConversion"/>
  </si>
  <si>
    <t>Adsorption Time (min)</t>
    <phoneticPr fontId="5" type="noConversion"/>
  </si>
  <si>
    <t>Time to Half Saturation (min)</t>
    <phoneticPr fontId="5" type="noConversion"/>
  </si>
  <si>
    <r>
      <t>Desorption Temperature (</t>
    </r>
    <r>
      <rPr>
        <b/>
        <u/>
        <sz val="10"/>
        <rFont val="Segoe UI Symbol"/>
        <family val="3"/>
      </rPr>
      <t>℃</t>
    </r>
    <r>
      <rPr>
        <b/>
        <u/>
        <sz val="10"/>
        <rFont val="宋体"/>
        <family val="3"/>
        <charset val="134"/>
      </rPr>
      <t>)</t>
    </r>
    <phoneticPr fontId="5" type="noConversion"/>
  </si>
  <si>
    <t>Weight Loss Stability (%)</t>
    <phoneticPr fontId="5" type="noConversion"/>
  </si>
  <si>
    <t>Capacity Loss Stability (%)</t>
    <phoneticPr fontId="5" type="noConversion"/>
  </si>
  <si>
    <t>Heat of Adsorption (kJ/mmol)</t>
    <phoneticPr fontId="5" type="noConversion"/>
  </si>
  <si>
    <t>Additive 3 to Amine 1 Ratio</t>
    <phoneticPr fontId="5" type="noConversion"/>
  </si>
  <si>
    <r>
      <t>BET Surface Area of Solid Support (m</t>
    </r>
    <r>
      <rPr>
        <b/>
        <u/>
        <vertAlign val="superscript"/>
        <sz val="10"/>
        <color theme="1"/>
        <rFont val="Arial"/>
        <family val="2"/>
      </rPr>
      <t>2</t>
    </r>
    <r>
      <rPr>
        <b/>
        <u/>
        <sz val="10"/>
        <color theme="1"/>
        <rFont val="Arial"/>
        <family val="2"/>
      </rPr>
      <t>g</t>
    </r>
    <r>
      <rPr>
        <b/>
        <u/>
        <vertAlign val="superscript"/>
        <sz val="10"/>
        <color theme="1"/>
        <rFont val="Arial"/>
        <family val="2"/>
      </rPr>
      <t>-1</t>
    </r>
    <r>
      <rPr>
        <b/>
        <u/>
        <sz val="10"/>
        <color theme="1"/>
        <rFont val="Arial"/>
        <family val="2"/>
      </rPr>
      <t>)</t>
    </r>
    <phoneticPr fontId="5" type="noConversion"/>
  </si>
  <si>
    <r>
      <t>Pore Volume of Solid Support (cm</t>
    </r>
    <r>
      <rPr>
        <b/>
        <u/>
        <vertAlign val="superscript"/>
        <sz val="10"/>
        <color theme="1"/>
        <rFont val="Arial"/>
        <family val="2"/>
      </rPr>
      <t>3</t>
    </r>
    <r>
      <rPr>
        <b/>
        <u/>
        <sz val="10"/>
        <color theme="1"/>
        <rFont val="Arial"/>
        <family val="2"/>
      </rPr>
      <t>g</t>
    </r>
    <r>
      <rPr>
        <b/>
        <u/>
        <vertAlign val="superscript"/>
        <sz val="10"/>
        <color theme="1"/>
        <rFont val="Arial"/>
        <family val="2"/>
      </rPr>
      <t>-1</t>
    </r>
    <r>
      <rPr>
        <b/>
        <u/>
        <sz val="10"/>
        <color theme="1"/>
        <rFont val="Arial"/>
        <family val="2"/>
      </rPr>
      <t>)</t>
    </r>
    <phoneticPr fontId="5" type="noConversion"/>
  </si>
  <si>
    <t>Addtive 3</t>
    <phoneticPr fontId="5" type="noConversion"/>
  </si>
  <si>
    <t>Average Pore Diameters (nm)</t>
    <phoneticPr fontId="5" type="noConversion"/>
  </si>
  <si>
    <t>Relative Humidity (%)</t>
    <phoneticPr fontId="5" type="noConversion"/>
  </si>
  <si>
    <r>
      <t>CO</t>
    </r>
    <r>
      <rPr>
        <b/>
        <u/>
        <vertAlign val="subscript"/>
        <sz val="10"/>
        <color theme="1"/>
        <rFont val="Arial"/>
        <family val="2"/>
      </rPr>
      <t>2</t>
    </r>
    <r>
      <rPr>
        <b/>
        <u/>
        <sz val="10"/>
        <color theme="1"/>
        <rFont val="Arial"/>
        <family val="2"/>
      </rPr>
      <t xml:space="preserve"> Capacity (mmol/g)</t>
    </r>
    <phoneticPr fontId="5" type="noConversion"/>
  </si>
  <si>
    <t>Amine 2 or Additive 2  to Amine 1 Ratio</t>
    <phoneticPr fontId="5" type="noConversion"/>
  </si>
  <si>
    <t>Flow Rate (mL/min)</t>
    <phoneticPr fontId="5" type="noConversion"/>
  </si>
  <si>
    <t>Organic Content on Adsorbent Basis (%)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</si>
</sst>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"/>
    <numFmt numFmtId="166" formatCode="0.0"/>
    <numFmt numFmtId="167" formatCode="0.00_);[Red]\(0.00\)"/>
    <numFmt numFmtId="168" formatCode="0_);[Red]\(0\)"/>
    <numFmt numFmtId="169" formatCode="0.0_);[Red]\(0.0\)"/>
  </numFmts>
  <fonts count="47">
    <font>
      <sz val="10"/>
      <color theme="1"/>
      <name val="Arial"/>
      <family val="2"/>
      <charset val="134"/>
    </font>
    <font>
      <sz val="10"/>
      <color theme="1"/>
      <name val="Aptos"/>
      <family val="2"/>
      <charset val="134"/>
    </font>
    <font>
      <sz val="10"/>
      <color theme="1"/>
      <name val="Aptos"/>
      <family val="2"/>
      <charset val="134"/>
    </font>
    <font>
      <sz val="10"/>
      <color theme="1"/>
      <name val="Aptos"/>
      <family val="2"/>
      <charset val="134"/>
    </font>
    <font>
      <sz val="10"/>
      <color theme="1"/>
      <name val="Aptos"/>
      <family val="2"/>
      <charset val="134"/>
    </font>
    <font>
      <sz val="9"/>
      <name val="Arial"/>
      <family val="2"/>
      <charset val="134"/>
    </font>
    <font>
      <sz val="10"/>
      <color theme="1"/>
      <name val="Aptos"/>
      <family val="2"/>
    </font>
    <font>
      <sz val="10"/>
      <color rgb="FF000000"/>
      <name val="Aptos"/>
      <family val="2"/>
    </font>
    <font>
      <u/>
      <sz val="10"/>
      <color theme="10"/>
      <name val="Arial"/>
      <family val="2"/>
      <charset val="134"/>
    </font>
    <font>
      <sz val="10"/>
      <color theme="1"/>
      <name val="Arial"/>
      <family val="2"/>
    </font>
    <font>
      <sz val="10"/>
      <color rgb="FFFF0000"/>
      <name val="Arial"/>
      <family val="2"/>
      <charset val="134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Aptos"/>
      <family val="2"/>
      <charset val="134"/>
    </font>
    <font>
      <b/>
      <sz val="13"/>
      <color theme="3"/>
      <name val="Aptos"/>
      <family val="2"/>
      <charset val="134"/>
    </font>
    <font>
      <b/>
      <sz val="11"/>
      <color theme="3"/>
      <name val="Aptos"/>
      <family val="2"/>
      <charset val="134"/>
    </font>
    <font>
      <sz val="10"/>
      <color rgb="FF006100"/>
      <name val="Aptos"/>
      <family val="2"/>
      <charset val="134"/>
    </font>
    <font>
      <sz val="10"/>
      <color rgb="FF9C0006"/>
      <name val="Aptos"/>
      <family val="2"/>
      <charset val="134"/>
    </font>
    <font>
      <sz val="10"/>
      <color rgb="FF9C5700"/>
      <name val="Aptos"/>
      <family val="2"/>
      <charset val="134"/>
    </font>
    <font>
      <sz val="10"/>
      <color rgb="FF3F3F76"/>
      <name val="Aptos"/>
      <family val="2"/>
      <charset val="134"/>
    </font>
    <font>
      <b/>
      <sz val="10"/>
      <color rgb="FF3F3F3F"/>
      <name val="Aptos"/>
      <family val="2"/>
      <charset val="134"/>
    </font>
    <font>
      <b/>
      <sz val="10"/>
      <color rgb="FFFA7D00"/>
      <name val="Aptos"/>
      <family val="2"/>
      <charset val="134"/>
    </font>
    <font>
      <sz val="10"/>
      <color rgb="FFFA7D00"/>
      <name val="Aptos"/>
      <family val="2"/>
      <charset val="134"/>
    </font>
    <font>
      <b/>
      <sz val="10"/>
      <color theme="0"/>
      <name val="Aptos"/>
      <family val="2"/>
      <charset val="134"/>
    </font>
    <font>
      <sz val="10"/>
      <color rgb="FFFF0000"/>
      <name val="Aptos"/>
      <family val="2"/>
      <charset val="134"/>
    </font>
    <font>
      <i/>
      <sz val="10"/>
      <color rgb="FF7F7F7F"/>
      <name val="Aptos"/>
      <family val="2"/>
      <charset val="134"/>
    </font>
    <font>
      <b/>
      <sz val="10"/>
      <color theme="1"/>
      <name val="Aptos"/>
      <family val="2"/>
      <charset val="134"/>
    </font>
    <font>
      <sz val="10"/>
      <color theme="0"/>
      <name val="Aptos"/>
      <family val="2"/>
      <charset val="134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vertAlign val="subscript"/>
      <sz val="10"/>
      <color theme="1"/>
      <name val="Arial"/>
      <family val="2"/>
    </font>
    <font>
      <sz val="8"/>
      <color rgb="FF000000"/>
      <name val="Arial"/>
      <family val="2"/>
    </font>
    <font>
      <i/>
      <sz val="10"/>
      <color theme="1"/>
      <name val="Arial"/>
      <family val="2"/>
    </font>
    <font>
      <sz val="10.5"/>
      <color theme="1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vertAlign val="superscript"/>
      <sz val="10"/>
      <color theme="1"/>
      <name val="Arial"/>
      <family val="2"/>
    </font>
    <font>
      <b/>
      <u/>
      <vertAlign val="subscript"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u/>
      <sz val="10"/>
      <name val="Arial"/>
      <family val="2"/>
    </font>
    <font>
      <sz val="10"/>
      <color theme="10"/>
      <name val="Arial"/>
      <family val="2"/>
    </font>
    <font>
      <b/>
      <u/>
      <sz val="10"/>
      <name val="宋体"/>
      <family val="3"/>
      <charset val="134"/>
    </font>
    <font>
      <b/>
      <u/>
      <sz val="10"/>
      <color theme="1"/>
      <name val="Segoe UI Symbol"/>
      <family val="3"/>
    </font>
    <font>
      <b/>
      <u/>
      <sz val="10"/>
      <name val="Segoe UI Symbol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9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</cellStyleXfs>
  <cellXfs count="69">
    <xf numFmtId="0" fontId="0" fillId="0" borderId="0" xfId="0">
      <alignment vertical="center"/>
    </xf>
    <xf numFmtId="0" fontId="40" fillId="0" borderId="0" xfId="1" applyFont="1" applyFill="1">
      <alignment vertical="center"/>
    </xf>
    <xf numFmtId="0" fontId="40" fillId="0" borderId="0" xfId="1" applyFont="1" applyFill="1" applyBorder="1">
      <alignment vertical="center"/>
    </xf>
    <xf numFmtId="0" fontId="41" fillId="0" borderId="0" xfId="1" applyFont="1" applyFill="1" applyBorder="1">
      <alignment vertical="center"/>
    </xf>
    <xf numFmtId="0" fontId="42" fillId="0" borderId="0" xfId="1" applyFont="1" applyFill="1">
      <alignment vertical="center"/>
    </xf>
    <xf numFmtId="0" fontId="42" fillId="0" borderId="0" xfId="1" applyFont="1" applyFill="1" applyBorder="1">
      <alignment vertical="center"/>
    </xf>
    <xf numFmtId="0" fontId="40" fillId="0" borderId="0" xfId="1" applyFont="1" applyFill="1" applyAlignment="1">
      <alignment horizontal="left" vertical="center"/>
    </xf>
    <xf numFmtId="0" fontId="43" fillId="0" borderId="0" xfId="1" applyFont="1" applyFill="1" applyBorder="1">
      <alignment vertical="center"/>
    </xf>
    <xf numFmtId="0" fontId="8" fillId="0" borderId="0" xfId="1" applyFill="1" applyBorder="1" applyAlignment="1">
      <alignment vertical="center"/>
    </xf>
    <xf numFmtId="0" fontId="8" fillId="0" borderId="0" xfId="1" applyFill="1">
      <alignment vertical="center"/>
    </xf>
    <xf numFmtId="0" fontId="8" fillId="0" borderId="0" xfId="1" applyFill="1" applyAlignment="1">
      <alignment vertical="center"/>
    </xf>
    <xf numFmtId="167" fontId="37" fillId="0" borderId="11" xfId="0" applyNumberFormat="1" applyFont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/>
    </xf>
    <xf numFmtId="167" fontId="31" fillId="0" borderId="0" xfId="0" applyNumberFormat="1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167" fontId="9" fillId="0" borderId="0" xfId="0" applyNumberFormat="1" applyFont="1">
      <alignment vertical="center"/>
    </xf>
    <xf numFmtId="167" fontId="36" fillId="0" borderId="11" xfId="0" applyNumberFormat="1" applyFont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 wrapText="1"/>
    </xf>
    <xf numFmtId="167" fontId="29" fillId="0" borderId="0" xfId="0" applyNumberFormat="1" applyFont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165" fontId="3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2" fontId="29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37" fillId="0" borderId="11" xfId="0" applyFont="1" applyBorder="1" applyAlignment="1">
      <alignment horizontal="center" vertical="center" wrapText="1"/>
    </xf>
    <xf numFmtId="1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166" fontId="36" fillId="0" borderId="11" xfId="0" applyNumberFormat="1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21" fontId="9" fillId="0" borderId="0" xfId="0" quotePrefix="1" applyNumberFormat="1" applyFont="1" applyAlignment="1">
      <alignment horizontal="center" vertical="center"/>
    </xf>
    <xf numFmtId="49" fontId="9" fillId="0" borderId="0" xfId="0" quotePrefix="1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center" vertical="top"/>
    </xf>
    <xf numFmtId="0" fontId="31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21" fontId="9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31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47" fontId="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0" fontId="41" fillId="0" borderId="0" xfId="0" applyFont="1">
      <alignment vertical="center"/>
    </xf>
    <xf numFmtId="166" fontId="35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64" fontId="6" fillId="0" borderId="0" xfId="0" applyNumberFormat="1" applyFont="1">
      <alignment vertical="center"/>
    </xf>
    <xf numFmtId="2" fontId="9" fillId="0" borderId="0" xfId="42" applyNumberFormat="1" applyFont="1" applyAlignment="1">
      <alignment horizontal="center" vertical="center"/>
    </xf>
    <xf numFmtId="1" fontId="9" fillId="0" borderId="0" xfId="0" applyNumberFormat="1" applyFont="1">
      <alignment vertical="center"/>
    </xf>
    <xf numFmtId="2" fontId="9" fillId="0" borderId="0" xfId="0" applyNumberFormat="1" applyFont="1">
      <alignment vertical="center"/>
    </xf>
    <xf numFmtId="166" fontId="9" fillId="0" borderId="0" xfId="0" applyNumberFormat="1" applyFont="1">
      <alignment vertical="center"/>
    </xf>
  </cellXfs>
  <cellStyles count="344">
    <cellStyle name="20% - Accent1" xfId="19" builtinId="30" customBuiltin="1"/>
    <cellStyle name="20% - Accent1 2" xfId="44" xr:uid="{DF676DE0-837C-4ABB-8561-BB7C1D77007B}"/>
    <cellStyle name="20% - Accent1 2 2" xfId="84" xr:uid="{29A94717-44E6-42DC-9BB2-E2D496B9E133}"/>
    <cellStyle name="20% - Accent1 2 2 2" xfId="164" xr:uid="{1083C835-D4F8-409B-ACE4-272928FB6988}"/>
    <cellStyle name="20% - Accent1 2 2 2 2" xfId="324" xr:uid="{E1E6CD34-8C0C-44B1-BB1F-37AF3DF2B806}"/>
    <cellStyle name="20% - Accent1 2 2 3" xfId="244" xr:uid="{2AF5C546-E5E7-4E50-AAAC-F9C54F90D099}"/>
    <cellStyle name="20% - Accent1 2 3" xfId="124" xr:uid="{AD90374F-6449-48B9-B28A-47214A591B0E}"/>
    <cellStyle name="20% - Accent1 2 3 2" xfId="284" xr:uid="{54DFEF31-4B71-4DDA-92CC-9E5A8D94B3A2}"/>
    <cellStyle name="20% - Accent1 2 4" xfId="204" xr:uid="{1BD123F6-58CE-415E-87C8-F95E867755E3}"/>
    <cellStyle name="20% - Accent1 3" xfId="64" xr:uid="{4BFE5922-0466-483A-AC23-830B42DA4407}"/>
    <cellStyle name="20% - Accent1 3 2" xfId="144" xr:uid="{79054562-1D20-474D-8D4B-261505F35BD0}"/>
    <cellStyle name="20% - Accent1 3 2 2" xfId="304" xr:uid="{B9A7BF80-FCEC-41A6-B902-7146F6E8FFED}"/>
    <cellStyle name="20% - Accent1 3 3" xfId="224" xr:uid="{DB872429-9C69-40C9-8462-F87D0C0D7EAD}"/>
    <cellStyle name="20% - Accent1 4" xfId="104" xr:uid="{572BE7BE-AA42-419E-A0AB-23C1E0FAA36D}"/>
    <cellStyle name="20% - Accent1 4 2" xfId="264" xr:uid="{4D646C96-9734-4F9D-8995-E1D57EC2499F}"/>
    <cellStyle name="20% - Accent1 5" xfId="184" xr:uid="{BBFE8FA1-79A9-4675-B734-8F9406A1E2AE}"/>
    <cellStyle name="20% - Accent2" xfId="23" builtinId="34" customBuiltin="1"/>
    <cellStyle name="20% - Accent2 2" xfId="47" xr:uid="{7A544C44-4489-4F23-A031-76E1B9690C86}"/>
    <cellStyle name="20% - Accent2 2 2" xfId="87" xr:uid="{D285936F-A607-47B0-9F9D-E8B5303028AE}"/>
    <cellStyle name="20% - Accent2 2 2 2" xfId="167" xr:uid="{1ED605A6-73EA-46B6-B33A-503D139FAC57}"/>
    <cellStyle name="20% - Accent2 2 2 2 2" xfId="327" xr:uid="{A4DC8CE8-075E-4C2D-AE2A-E9848D2D4A61}"/>
    <cellStyle name="20% - Accent2 2 2 3" xfId="247" xr:uid="{D3C28D71-9D28-4365-ABCC-86A3DCEEA8A4}"/>
    <cellStyle name="20% - Accent2 2 3" xfId="127" xr:uid="{9AE07E1E-0F27-43AC-98B1-1414C4914AF8}"/>
    <cellStyle name="20% - Accent2 2 3 2" xfId="287" xr:uid="{D4C37ECE-BE6A-448C-BF10-7713ACCAE70D}"/>
    <cellStyle name="20% - Accent2 2 4" xfId="207" xr:uid="{2655575E-AE0F-441C-8383-03A6723D9CF1}"/>
    <cellStyle name="20% - Accent2 3" xfId="67" xr:uid="{75442D8D-0B48-4834-BDD7-F6E7CF8F0969}"/>
    <cellStyle name="20% - Accent2 3 2" xfId="147" xr:uid="{4051EDCD-E59E-4E77-959E-22BC6C2396B0}"/>
    <cellStyle name="20% - Accent2 3 2 2" xfId="307" xr:uid="{6C7F4CA2-EFED-49A3-83BC-AA7183CADE34}"/>
    <cellStyle name="20% - Accent2 3 3" xfId="227" xr:uid="{C6ADABE6-2D3D-47C4-B5ED-EC8B8E520DF6}"/>
    <cellStyle name="20% - Accent2 4" xfId="107" xr:uid="{802A902A-8935-49BA-ADC2-53A6D2C3DC3D}"/>
    <cellStyle name="20% - Accent2 4 2" xfId="267" xr:uid="{1420398D-F5C6-4937-8009-0617B474C9DC}"/>
    <cellStyle name="20% - Accent2 5" xfId="187" xr:uid="{33867239-77C1-4DCD-B11F-AC9288E52CE9}"/>
    <cellStyle name="20% - Accent3" xfId="27" builtinId="38" customBuiltin="1"/>
    <cellStyle name="20% - Accent3 2" xfId="50" xr:uid="{CF882BD6-CF42-4D6A-AB71-B7D9A6E27790}"/>
    <cellStyle name="20% - Accent3 2 2" xfId="90" xr:uid="{CFD8D9EF-0122-4293-98A5-F7679696E04D}"/>
    <cellStyle name="20% - Accent3 2 2 2" xfId="170" xr:uid="{28A9B2FE-B044-4137-8E48-69092A97809E}"/>
    <cellStyle name="20% - Accent3 2 2 2 2" xfId="330" xr:uid="{54E23D8E-943C-4E2E-B6D9-E876BB29462D}"/>
    <cellStyle name="20% - Accent3 2 2 3" xfId="250" xr:uid="{0CE05D47-394B-489C-8FB4-D9F187D93A20}"/>
    <cellStyle name="20% - Accent3 2 3" xfId="130" xr:uid="{1CC7006F-8C09-496E-BC82-D4E770F09E9A}"/>
    <cellStyle name="20% - Accent3 2 3 2" xfId="290" xr:uid="{0910B6E9-CEC6-4D19-92DE-43227B64C255}"/>
    <cellStyle name="20% - Accent3 2 4" xfId="210" xr:uid="{3912CC57-5041-4105-BAE1-A43AF6D133EA}"/>
    <cellStyle name="20% - Accent3 3" xfId="70" xr:uid="{5968F3C2-39BA-41BD-BD9D-F412AFCBA7B1}"/>
    <cellStyle name="20% - Accent3 3 2" xfId="150" xr:uid="{7A81A544-89A6-49EB-BC92-254CBF8B75DC}"/>
    <cellStyle name="20% - Accent3 3 2 2" xfId="310" xr:uid="{AC8BA85B-70EE-417E-A406-6CBDEEA2521F}"/>
    <cellStyle name="20% - Accent3 3 3" xfId="230" xr:uid="{04336BDE-93DF-44DB-835D-3A92A35632D0}"/>
    <cellStyle name="20% - Accent3 4" xfId="110" xr:uid="{D0A77891-A727-4504-8B7E-2E433A247998}"/>
    <cellStyle name="20% - Accent3 4 2" xfId="270" xr:uid="{993053A5-D7BA-4161-A36B-9DED0F5E0178}"/>
    <cellStyle name="20% - Accent3 5" xfId="190" xr:uid="{3614D5CF-7750-46C7-BA91-5329197BF487}"/>
    <cellStyle name="20% - Accent4" xfId="31" builtinId="42" customBuiltin="1"/>
    <cellStyle name="20% - Accent4 2" xfId="53" xr:uid="{8A008D30-66F9-42E7-BE52-00BF2E2B71B4}"/>
    <cellStyle name="20% - Accent4 2 2" xfId="93" xr:uid="{E02C5947-5493-4E52-B876-A42302C603E8}"/>
    <cellStyle name="20% - Accent4 2 2 2" xfId="173" xr:uid="{9749B9F9-39B8-4522-890F-4F242683AF90}"/>
    <cellStyle name="20% - Accent4 2 2 2 2" xfId="333" xr:uid="{268EC679-7B84-4FBD-9214-5F257447304D}"/>
    <cellStyle name="20% - Accent4 2 2 3" xfId="253" xr:uid="{3D047982-0F5F-4BED-BCE5-96822E2D64B3}"/>
    <cellStyle name="20% - Accent4 2 3" xfId="133" xr:uid="{95EFAA95-1EE3-4296-A056-8130D1A7A43E}"/>
    <cellStyle name="20% - Accent4 2 3 2" xfId="293" xr:uid="{4F9FFB60-D40C-4CCA-A397-FCB61732EC5E}"/>
    <cellStyle name="20% - Accent4 2 4" xfId="213" xr:uid="{486AB226-222A-4A85-A8AD-6F47824AB7B8}"/>
    <cellStyle name="20% - Accent4 3" xfId="73" xr:uid="{B16A2345-A13E-4B33-A2C1-C9DA407C51A5}"/>
    <cellStyle name="20% - Accent4 3 2" xfId="153" xr:uid="{342D27DC-E38D-462B-BB5B-3314F631FC16}"/>
    <cellStyle name="20% - Accent4 3 2 2" xfId="313" xr:uid="{534F9464-FA79-4E3B-985D-906F05F6B357}"/>
    <cellStyle name="20% - Accent4 3 3" xfId="233" xr:uid="{711B7AFF-E981-49B5-BE1C-B28560E0B358}"/>
    <cellStyle name="20% - Accent4 4" xfId="113" xr:uid="{E6FB2D5C-E7D1-4FFA-A1D9-3D4C0083F9A5}"/>
    <cellStyle name="20% - Accent4 4 2" xfId="273" xr:uid="{CF8236F0-D7FE-4A08-8287-DC1F07B49223}"/>
    <cellStyle name="20% - Accent4 5" xfId="193" xr:uid="{6907A8B4-C4E6-46A9-A719-BAAC01B350DA}"/>
    <cellStyle name="20% - Accent5" xfId="35" builtinId="46" customBuiltin="1"/>
    <cellStyle name="20% - Accent5 2" xfId="56" xr:uid="{0A32D706-F8E7-4D68-8A18-ED289071D50D}"/>
    <cellStyle name="20% - Accent5 2 2" xfId="96" xr:uid="{41BDF4B8-E898-43B4-9CDD-850167D1FA6A}"/>
    <cellStyle name="20% - Accent5 2 2 2" xfId="176" xr:uid="{D66F3C9E-6C6F-4551-983D-CE37BF4473DE}"/>
    <cellStyle name="20% - Accent5 2 2 2 2" xfId="336" xr:uid="{10EB967C-91F7-4460-9F48-61FA4191FC81}"/>
    <cellStyle name="20% - Accent5 2 2 3" xfId="256" xr:uid="{7B5287DB-2A73-4D03-9EDE-C093ED013061}"/>
    <cellStyle name="20% - Accent5 2 3" xfId="136" xr:uid="{8D43EE5C-A97C-4E59-B081-33330F2E5E3E}"/>
    <cellStyle name="20% - Accent5 2 3 2" xfId="296" xr:uid="{BB1E3916-C129-464C-978B-CC38A4F59BD3}"/>
    <cellStyle name="20% - Accent5 2 4" xfId="216" xr:uid="{09BE3F1B-3433-4C3D-B760-4EDCE7E585E0}"/>
    <cellStyle name="20% - Accent5 3" xfId="76" xr:uid="{5C54A633-675C-4426-A15D-DF552B8E7771}"/>
    <cellStyle name="20% - Accent5 3 2" xfId="156" xr:uid="{BBD35F59-B224-4816-8253-7A2B64266FDC}"/>
    <cellStyle name="20% - Accent5 3 2 2" xfId="316" xr:uid="{0D774FDE-23D1-48C5-A56D-708ECF0CD247}"/>
    <cellStyle name="20% - Accent5 3 3" xfId="236" xr:uid="{8BD471FD-E69C-45D0-83A3-9873F2002564}"/>
    <cellStyle name="20% - Accent5 4" xfId="116" xr:uid="{1CE3D5AA-FC1D-43F6-AE02-49CA8A9C7CBE}"/>
    <cellStyle name="20% - Accent5 4 2" xfId="276" xr:uid="{41E44676-D628-4617-87AF-791C49E904FE}"/>
    <cellStyle name="20% - Accent5 5" xfId="196" xr:uid="{4DA52127-38D4-4A0C-B595-5E40BB564D8A}"/>
    <cellStyle name="20% - Accent6" xfId="39" builtinId="50" customBuiltin="1"/>
    <cellStyle name="20% - Accent6 2" xfId="59" xr:uid="{E508EC09-8A43-4724-B328-F67DE34A4D98}"/>
    <cellStyle name="20% - Accent6 2 2" xfId="99" xr:uid="{17D6DEF9-C2AB-4F3C-BC0E-2523D578E96E}"/>
    <cellStyle name="20% - Accent6 2 2 2" xfId="179" xr:uid="{B8E00E33-4ABB-4C32-A786-FAB9414E6E7B}"/>
    <cellStyle name="20% - Accent6 2 2 2 2" xfId="339" xr:uid="{21C43F69-55DB-4ED4-8EF8-A017FB785FDD}"/>
    <cellStyle name="20% - Accent6 2 2 3" xfId="259" xr:uid="{194C0835-2BD1-4221-8BD0-B9B785E6DF24}"/>
    <cellStyle name="20% - Accent6 2 3" xfId="139" xr:uid="{AD3AD8FB-2CAA-49E9-BF91-9B1763BF1C70}"/>
    <cellStyle name="20% - Accent6 2 3 2" xfId="299" xr:uid="{FA010CCE-2AFE-44F4-A45E-BD6E9D1007F2}"/>
    <cellStyle name="20% - Accent6 2 4" xfId="219" xr:uid="{F76B5E41-B921-4D67-85A2-97795E5B40FA}"/>
    <cellStyle name="20% - Accent6 3" xfId="79" xr:uid="{8C58C002-5AF6-46D5-B7EB-DFC9F92D6C67}"/>
    <cellStyle name="20% - Accent6 3 2" xfId="159" xr:uid="{377B5F08-2CB3-49E4-AF65-9F499B8B7B2E}"/>
    <cellStyle name="20% - Accent6 3 2 2" xfId="319" xr:uid="{D5D92BEB-FB3C-4789-AA83-6F73CB90CCE6}"/>
    <cellStyle name="20% - Accent6 3 3" xfId="239" xr:uid="{6454BDFB-322F-41C3-8B7B-E5A025B2807E}"/>
    <cellStyle name="20% - Accent6 4" xfId="119" xr:uid="{C1B80235-1377-454C-92F8-83B7C22377BB}"/>
    <cellStyle name="20% - Accent6 4 2" xfId="279" xr:uid="{5FC83BCF-1683-40AC-8DF8-6B10C77DE3B3}"/>
    <cellStyle name="20% - Accent6 5" xfId="199" xr:uid="{3D9FD133-FC36-464C-9F16-22BF84B04635}"/>
    <cellStyle name="40% - Accent1" xfId="20" builtinId="31" customBuiltin="1"/>
    <cellStyle name="40% - Accent1 2" xfId="45" xr:uid="{0923A849-08EB-4CEF-9477-7BF498D7544C}"/>
    <cellStyle name="40% - Accent1 2 2" xfId="85" xr:uid="{A49D68D7-4317-46C0-8E6F-00E84F7E99DD}"/>
    <cellStyle name="40% - Accent1 2 2 2" xfId="165" xr:uid="{95730BE9-8E14-422C-90DD-89431E19F5B7}"/>
    <cellStyle name="40% - Accent1 2 2 2 2" xfId="325" xr:uid="{C06D567F-B9F3-4BA8-9185-6A7F8277DED6}"/>
    <cellStyle name="40% - Accent1 2 2 3" xfId="245" xr:uid="{7D26B8DC-1A14-49AB-B649-13921032CD49}"/>
    <cellStyle name="40% - Accent1 2 3" xfId="125" xr:uid="{13135F81-2F27-4F0E-9006-5CB21EA6BFF6}"/>
    <cellStyle name="40% - Accent1 2 3 2" xfId="285" xr:uid="{BA3F2E8E-29B8-450A-88AA-D2C03D562EED}"/>
    <cellStyle name="40% - Accent1 2 4" xfId="205" xr:uid="{9736C5B1-C858-4EAE-954B-443A23908EF8}"/>
    <cellStyle name="40% - Accent1 3" xfId="65" xr:uid="{5C362438-76FF-4C1E-AFCD-8EEB566ACE41}"/>
    <cellStyle name="40% - Accent1 3 2" xfId="145" xr:uid="{8DE92299-00FF-4A2E-B548-4319ADD26EEB}"/>
    <cellStyle name="40% - Accent1 3 2 2" xfId="305" xr:uid="{92890315-5A51-4034-AE59-CBE259A81936}"/>
    <cellStyle name="40% - Accent1 3 3" xfId="225" xr:uid="{A0FC4715-AC1E-4199-A6E1-7E9D27F34B42}"/>
    <cellStyle name="40% - Accent1 4" xfId="105" xr:uid="{242BA95A-7288-45B2-84ED-A2CC4688E1BF}"/>
    <cellStyle name="40% - Accent1 4 2" xfId="265" xr:uid="{AA90244A-C50E-4522-B48D-7C198613C898}"/>
    <cellStyle name="40% - Accent1 5" xfId="185" xr:uid="{4393367F-5F78-4885-B075-8CB5B38B1B88}"/>
    <cellStyle name="40% - Accent2" xfId="24" builtinId="35" customBuiltin="1"/>
    <cellStyle name="40% - Accent2 2" xfId="48" xr:uid="{D347C089-1E3C-4F49-B0DF-78FC4FAA6E4F}"/>
    <cellStyle name="40% - Accent2 2 2" xfId="88" xr:uid="{A8D7102B-5B6F-4A33-A9C7-A25A399836B7}"/>
    <cellStyle name="40% - Accent2 2 2 2" xfId="168" xr:uid="{358BD259-6652-4C73-9F02-48A3405A5D33}"/>
    <cellStyle name="40% - Accent2 2 2 2 2" xfId="328" xr:uid="{83483D9E-6188-47F8-BB3D-14E7419D1977}"/>
    <cellStyle name="40% - Accent2 2 2 3" xfId="248" xr:uid="{2D18D7D4-B1E8-4661-8741-B16B4C9ACDE2}"/>
    <cellStyle name="40% - Accent2 2 3" xfId="128" xr:uid="{E5FC49CE-9131-4A06-AB57-E4FF84B1B2FD}"/>
    <cellStyle name="40% - Accent2 2 3 2" xfId="288" xr:uid="{513740A0-4BCD-42FE-B603-ED5D245F99AB}"/>
    <cellStyle name="40% - Accent2 2 4" xfId="208" xr:uid="{95353C29-14C6-4064-A421-F31836343B88}"/>
    <cellStyle name="40% - Accent2 3" xfId="68" xr:uid="{2AEAC226-A4E1-4B9A-9D79-AEC380811CFA}"/>
    <cellStyle name="40% - Accent2 3 2" xfId="148" xr:uid="{175832F2-E99A-4E7C-8FB2-ED7E86CDAFBE}"/>
    <cellStyle name="40% - Accent2 3 2 2" xfId="308" xr:uid="{7F14B807-1B57-4EF6-A9F6-F53D3370CB3E}"/>
    <cellStyle name="40% - Accent2 3 3" xfId="228" xr:uid="{8531B7AD-505C-4925-9EC9-DFC2C3FF687F}"/>
    <cellStyle name="40% - Accent2 4" xfId="108" xr:uid="{24D2B3AD-1C32-4879-B8BB-C292ED531EFD}"/>
    <cellStyle name="40% - Accent2 4 2" xfId="268" xr:uid="{EF9D3713-AFEF-415B-811F-2716F92D06E6}"/>
    <cellStyle name="40% - Accent2 5" xfId="188" xr:uid="{9674AA56-9BA8-44A9-81A6-45803F1088CE}"/>
    <cellStyle name="40% - Accent3" xfId="28" builtinId="39" customBuiltin="1"/>
    <cellStyle name="40% - Accent3 2" xfId="51" xr:uid="{006B26F9-296A-4A06-A4B0-9C4B26946AF5}"/>
    <cellStyle name="40% - Accent3 2 2" xfId="91" xr:uid="{F16350DF-5B99-4D6D-8BDE-7EEE1D243309}"/>
    <cellStyle name="40% - Accent3 2 2 2" xfId="171" xr:uid="{251F28A1-D4B6-4F64-A4DB-70A7D0B37471}"/>
    <cellStyle name="40% - Accent3 2 2 2 2" xfId="331" xr:uid="{9A3078C3-179B-4548-89EA-5744C8D9DCD0}"/>
    <cellStyle name="40% - Accent3 2 2 3" xfId="251" xr:uid="{D48A97B3-D56F-4863-BD24-BBD180BACAB6}"/>
    <cellStyle name="40% - Accent3 2 3" xfId="131" xr:uid="{F8F21F38-2651-4ABC-AD25-7CDFDD835532}"/>
    <cellStyle name="40% - Accent3 2 3 2" xfId="291" xr:uid="{A175D89C-5A61-4732-92A1-E78688790C32}"/>
    <cellStyle name="40% - Accent3 2 4" xfId="211" xr:uid="{367AF08D-D07F-4175-9802-4687D09D7260}"/>
    <cellStyle name="40% - Accent3 3" xfId="71" xr:uid="{43B1421C-0D01-4F6A-BF0C-9F0EB6B8CA49}"/>
    <cellStyle name="40% - Accent3 3 2" xfId="151" xr:uid="{27D2B7CC-CA55-4286-A3EC-A6ACBC88BF88}"/>
    <cellStyle name="40% - Accent3 3 2 2" xfId="311" xr:uid="{5F8C7151-F81D-4DD5-855F-CE8B5EBE56EA}"/>
    <cellStyle name="40% - Accent3 3 3" xfId="231" xr:uid="{1CC3FB68-D110-4E4D-9134-4F1B4BAA36FA}"/>
    <cellStyle name="40% - Accent3 4" xfId="111" xr:uid="{7807A4B7-B1CC-4DA3-BE5F-25268FD10985}"/>
    <cellStyle name="40% - Accent3 4 2" xfId="271" xr:uid="{FED640AD-9BE4-439D-998D-B3C4E15C7856}"/>
    <cellStyle name="40% - Accent3 5" xfId="191" xr:uid="{69410B50-3E31-467B-8033-AC0764EEF8DC}"/>
    <cellStyle name="40% - Accent4" xfId="32" builtinId="43" customBuiltin="1"/>
    <cellStyle name="40% - Accent4 2" xfId="54" xr:uid="{E2B3B93F-19FA-4EF7-93CD-DDA035D70EBA}"/>
    <cellStyle name="40% - Accent4 2 2" xfId="94" xr:uid="{5304035A-110D-4B81-B47D-C80C3F3C8272}"/>
    <cellStyle name="40% - Accent4 2 2 2" xfId="174" xr:uid="{3B86B65B-57BC-4377-B81C-8BFBAE9D34C0}"/>
    <cellStyle name="40% - Accent4 2 2 2 2" xfId="334" xr:uid="{51624411-123F-4C4C-B7EC-74F70E6222E2}"/>
    <cellStyle name="40% - Accent4 2 2 3" xfId="254" xr:uid="{0C8F05D0-D4D7-4E9D-86AC-C88349C734A6}"/>
    <cellStyle name="40% - Accent4 2 3" xfId="134" xr:uid="{ECF55BE2-A651-4B20-B94E-E34025D2D02D}"/>
    <cellStyle name="40% - Accent4 2 3 2" xfId="294" xr:uid="{AE31A1EB-3E8F-4AE1-B2D7-D236AFE0B2A5}"/>
    <cellStyle name="40% - Accent4 2 4" xfId="214" xr:uid="{772E8395-B18B-4DEA-A065-1D0686A40C15}"/>
    <cellStyle name="40% - Accent4 3" xfId="74" xr:uid="{2212245B-8247-4EB1-857E-810D5A7A22C7}"/>
    <cellStyle name="40% - Accent4 3 2" xfId="154" xr:uid="{7A9492C6-9DD6-4F01-8107-5F004527FD87}"/>
    <cellStyle name="40% - Accent4 3 2 2" xfId="314" xr:uid="{3E85CC0E-52FF-4DE2-AA21-C7C079395014}"/>
    <cellStyle name="40% - Accent4 3 3" xfId="234" xr:uid="{90530F4B-6FC6-49AC-BC35-39F1F76E3DF5}"/>
    <cellStyle name="40% - Accent4 4" xfId="114" xr:uid="{B55589A0-E3B0-485E-9A63-582B4D6FB1EA}"/>
    <cellStyle name="40% - Accent4 4 2" xfId="274" xr:uid="{41E6EA3C-8AB0-404F-AD68-E0F04B6087E8}"/>
    <cellStyle name="40% - Accent4 5" xfId="194" xr:uid="{7483C999-6783-49B7-B9DC-0AD4B6BE8B2A}"/>
    <cellStyle name="40% - Accent5" xfId="36" builtinId="47" customBuiltin="1"/>
    <cellStyle name="40% - Accent5 2" xfId="57" xr:uid="{6F41E273-6AAB-42C1-AC1F-53DEBA5DA972}"/>
    <cellStyle name="40% - Accent5 2 2" xfId="97" xr:uid="{230DB750-AE87-4D3E-9406-E8D8378B2B33}"/>
    <cellStyle name="40% - Accent5 2 2 2" xfId="177" xr:uid="{E1486FD1-52FA-4A68-9C1B-79BF872D565E}"/>
    <cellStyle name="40% - Accent5 2 2 2 2" xfId="337" xr:uid="{149C320D-FD4C-4188-A7BE-C9AE4C247F09}"/>
    <cellStyle name="40% - Accent5 2 2 3" xfId="257" xr:uid="{C054AD01-B3C8-4727-A9F1-19AD0C1C6C73}"/>
    <cellStyle name="40% - Accent5 2 3" xfId="137" xr:uid="{D45E7A2B-A21E-49CF-A834-BC8FE1BD6296}"/>
    <cellStyle name="40% - Accent5 2 3 2" xfId="297" xr:uid="{DDB9FA50-AC91-4A6F-B9C8-B65D1AB3DDDC}"/>
    <cellStyle name="40% - Accent5 2 4" xfId="217" xr:uid="{CD153E6F-54C8-443F-ABE5-EC791FD2BF86}"/>
    <cellStyle name="40% - Accent5 3" xfId="77" xr:uid="{8DCEC2C4-A733-43AC-A503-63C11A8FD6E5}"/>
    <cellStyle name="40% - Accent5 3 2" xfId="157" xr:uid="{3E8312EB-AFB8-448C-B457-A1E2B7B8B683}"/>
    <cellStyle name="40% - Accent5 3 2 2" xfId="317" xr:uid="{121F1256-9632-4D75-A5DF-2432B2B1FB0B}"/>
    <cellStyle name="40% - Accent5 3 3" xfId="237" xr:uid="{764F956D-3595-4D18-9FDB-1F12D7442E86}"/>
    <cellStyle name="40% - Accent5 4" xfId="117" xr:uid="{51721C79-04F0-4B07-B92E-451E39884D57}"/>
    <cellStyle name="40% - Accent5 4 2" xfId="277" xr:uid="{72DE38A6-E849-4AFE-8231-3E333C984C32}"/>
    <cellStyle name="40% - Accent5 5" xfId="197" xr:uid="{AC9ADF7E-2E1E-4428-91E4-20E7C1DC3209}"/>
    <cellStyle name="40% - Accent6" xfId="40" builtinId="51" customBuiltin="1"/>
    <cellStyle name="40% - Accent6 2" xfId="60" xr:uid="{551E5DFC-BF39-4CB5-8F84-3FF9665236A1}"/>
    <cellStyle name="40% - Accent6 2 2" xfId="100" xr:uid="{817B25BA-47C4-4B47-A7F4-694872BF30F6}"/>
    <cellStyle name="40% - Accent6 2 2 2" xfId="180" xr:uid="{FF2B1F87-EA33-4B37-9267-5A47DBA68A00}"/>
    <cellStyle name="40% - Accent6 2 2 2 2" xfId="340" xr:uid="{88A0189A-85B3-4666-B159-70F3398D42DF}"/>
    <cellStyle name="40% - Accent6 2 2 3" xfId="260" xr:uid="{B5745FE5-236D-4B0C-BF57-286B483E716C}"/>
    <cellStyle name="40% - Accent6 2 3" xfId="140" xr:uid="{E88C2EBB-BDA8-4730-A343-2F2F2AC07CFE}"/>
    <cellStyle name="40% - Accent6 2 3 2" xfId="300" xr:uid="{DEC24B0E-B61B-4B1B-B0CF-FF5F9DA92C95}"/>
    <cellStyle name="40% - Accent6 2 4" xfId="220" xr:uid="{403A47A5-DB1D-4411-940D-9EDE4BC13EDA}"/>
    <cellStyle name="40% - Accent6 3" xfId="80" xr:uid="{40EC77CF-E363-4E68-961E-4F66246A3621}"/>
    <cellStyle name="40% - Accent6 3 2" xfId="160" xr:uid="{778019F4-1F18-40D3-BD96-EAF3A4518893}"/>
    <cellStyle name="40% - Accent6 3 2 2" xfId="320" xr:uid="{518C9EAE-8824-4397-B05C-4CFBFD478ECF}"/>
    <cellStyle name="40% - Accent6 3 3" xfId="240" xr:uid="{5BCDE58A-96D3-4599-82F5-B5A89DAC3D55}"/>
    <cellStyle name="40% - Accent6 4" xfId="120" xr:uid="{8F22ABE0-7556-41C3-837A-CBD084065684}"/>
    <cellStyle name="40% - Accent6 4 2" xfId="280" xr:uid="{855F04E4-12C9-460A-81FC-C42D35E13189}"/>
    <cellStyle name="40% - Accent6 5" xfId="200" xr:uid="{9CFF2B3B-37FE-4B25-ACF2-238DCFBE108E}"/>
    <cellStyle name="60% - Accent1" xfId="21" builtinId="32" customBuiltin="1"/>
    <cellStyle name="60% - Accent1 2" xfId="46" xr:uid="{B6DBC6D3-AC19-4F6D-99B0-925CD1498800}"/>
    <cellStyle name="60% - Accent1 2 2" xfId="86" xr:uid="{053357BE-A8D3-4E92-ADC4-8589266204D5}"/>
    <cellStyle name="60% - Accent1 2 2 2" xfId="166" xr:uid="{B4441711-D391-4BC5-92DB-BAFC1243642E}"/>
    <cellStyle name="60% - Accent1 2 2 2 2" xfId="326" xr:uid="{4C2A1C88-FEB0-4268-8C28-3FF300B3C043}"/>
    <cellStyle name="60% - Accent1 2 2 3" xfId="246" xr:uid="{A125C8D8-C6DA-4996-9E97-B88E4EAEEAF7}"/>
    <cellStyle name="60% - Accent1 2 3" xfId="126" xr:uid="{923BBC2F-0672-4734-BB96-97AF30B94EBD}"/>
    <cellStyle name="60% - Accent1 2 3 2" xfId="286" xr:uid="{D63F5247-5B1E-4622-9618-654ADF62B694}"/>
    <cellStyle name="60% - Accent1 2 4" xfId="206" xr:uid="{6228C64D-872A-46B3-8E71-6213C34B1762}"/>
    <cellStyle name="60% - Accent1 3" xfId="66" xr:uid="{1FB028A7-8205-446E-BA75-1FA01C73FCCD}"/>
    <cellStyle name="60% - Accent1 3 2" xfId="146" xr:uid="{0605EDDE-BEAD-44D8-970C-A2348D58D769}"/>
    <cellStyle name="60% - Accent1 3 2 2" xfId="306" xr:uid="{5C46D1F4-4C72-4AA0-BB65-5E4B6C473723}"/>
    <cellStyle name="60% - Accent1 3 3" xfId="226" xr:uid="{AE9833C8-ADD8-4D7E-BF6D-F2A117FC43B6}"/>
    <cellStyle name="60% - Accent1 4" xfId="106" xr:uid="{5A5194DD-A76E-4699-8520-ABC116DAE7FF}"/>
    <cellStyle name="60% - Accent1 4 2" xfId="266" xr:uid="{B5583DB4-A13B-4FA7-B5DC-90992D55DBF4}"/>
    <cellStyle name="60% - Accent1 5" xfId="186" xr:uid="{62BECB67-E8B8-442F-B104-EFD1E227CB17}"/>
    <cellStyle name="60% - Accent2" xfId="25" builtinId="36" customBuiltin="1"/>
    <cellStyle name="60% - Accent2 2" xfId="49" xr:uid="{1703EDF0-F231-4052-B718-46B753E67802}"/>
    <cellStyle name="60% - Accent2 2 2" xfId="89" xr:uid="{08920F8B-C21D-4A19-A058-E571E8EC6AA2}"/>
    <cellStyle name="60% - Accent2 2 2 2" xfId="169" xr:uid="{4CDCF85C-C62B-4344-9123-AC36F1E13591}"/>
    <cellStyle name="60% - Accent2 2 2 2 2" xfId="329" xr:uid="{8E5D9735-1606-4BE4-9A69-323F99EF1DBC}"/>
    <cellStyle name="60% - Accent2 2 2 3" xfId="249" xr:uid="{9EBD0A35-DD32-412F-8910-F93751CEE2DF}"/>
    <cellStyle name="60% - Accent2 2 3" xfId="129" xr:uid="{BACAC2E9-07AD-461B-AD2F-6CAB3A46A628}"/>
    <cellStyle name="60% - Accent2 2 3 2" xfId="289" xr:uid="{3EBED84C-2FC2-43CF-A4A0-3C71A35EA15A}"/>
    <cellStyle name="60% - Accent2 2 4" xfId="209" xr:uid="{C69314BC-C8CC-40A3-A674-9F99066B0D19}"/>
    <cellStyle name="60% - Accent2 3" xfId="69" xr:uid="{9CEEE64A-E01C-4E03-811D-995E06C7AE7D}"/>
    <cellStyle name="60% - Accent2 3 2" xfId="149" xr:uid="{0EA7D4D4-8B9A-41F2-9F17-974BC9F85D3A}"/>
    <cellStyle name="60% - Accent2 3 2 2" xfId="309" xr:uid="{CE91DA4F-521A-434A-A7E6-8A99F2A6CDD8}"/>
    <cellStyle name="60% - Accent2 3 3" xfId="229" xr:uid="{0A168884-3A33-4883-B291-651388A61AD5}"/>
    <cellStyle name="60% - Accent2 4" xfId="109" xr:uid="{46BA8547-7C47-4A7B-8C01-81AE5700CAD7}"/>
    <cellStyle name="60% - Accent2 4 2" xfId="269" xr:uid="{C64A6868-C33B-4F1D-AE40-19F11FD639B2}"/>
    <cellStyle name="60% - Accent2 5" xfId="189" xr:uid="{4060F1F4-F588-4CE9-AAB2-A3DB07157C48}"/>
    <cellStyle name="60% - Accent3" xfId="29" builtinId="40" customBuiltin="1"/>
    <cellStyle name="60% - Accent3 2" xfId="52" xr:uid="{39A19E71-24CF-4BCD-BF50-D39B1CA3AC0C}"/>
    <cellStyle name="60% - Accent3 2 2" xfId="92" xr:uid="{CA2246F7-4E2C-4FC5-96F1-FEFC28221D1F}"/>
    <cellStyle name="60% - Accent3 2 2 2" xfId="172" xr:uid="{727D4DAE-6627-4C42-865E-B87B29C0CE87}"/>
    <cellStyle name="60% - Accent3 2 2 2 2" xfId="332" xr:uid="{8139688E-B67E-4701-93D9-559F01026359}"/>
    <cellStyle name="60% - Accent3 2 2 3" xfId="252" xr:uid="{B119B1E3-F1AC-44E0-B186-1A08A638F5B3}"/>
    <cellStyle name="60% - Accent3 2 3" xfId="132" xr:uid="{AA6E34DD-0745-4E75-ADA9-F9A43CD53676}"/>
    <cellStyle name="60% - Accent3 2 3 2" xfId="292" xr:uid="{7B510090-AB36-464A-A0AF-9D6642AA9793}"/>
    <cellStyle name="60% - Accent3 2 4" xfId="212" xr:uid="{B76A9D36-A75E-4824-B6B3-43F7B8C8CCC1}"/>
    <cellStyle name="60% - Accent3 3" xfId="72" xr:uid="{B9AFB01F-D86B-4E7F-8389-9FAFCADCFA71}"/>
    <cellStyle name="60% - Accent3 3 2" xfId="152" xr:uid="{368272D3-08CF-421F-BB4A-9AE1789487CF}"/>
    <cellStyle name="60% - Accent3 3 2 2" xfId="312" xr:uid="{D1AA4593-9491-455D-9796-3F01A4EB720F}"/>
    <cellStyle name="60% - Accent3 3 3" xfId="232" xr:uid="{246855CE-316C-4582-9A15-59ED72E7C8C6}"/>
    <cellStyle name="60% - Accent3 4" xfId="112" xr:uid="{ABABDFB6-1A8D-4155-8B6E-6C32EBFD5551}"/>
    <cellStyle name="60% - Accent3 4 2" xfId="272" xr:uid="{9C9E009F-2430-4E44-835B-88066B92B39B}"/>
    <cellStyle name="60% - Accent3 5" xfId="192" xr:uid="{8F299706-59F8-4202-BCF3-D3093065F786}"/>
    <cellStyle name="60% - Accent4" xfId="33" builtinId="44" customBuiltin="1"/>
    <cellStyle name="60% - Accent4 2" xfId="55" xr:uid="{96F58E5B-DFD2-433D-9C38-5820E5ECF82C}"/>
    <cellStyle name="60% - Accent4 2 2" xfId="95" xr:uid="{022DE004-9B49-4433-ABE3-1B4C76298400}"/>
    <cellStyle name="60% - Accent4 2 2 2" xfId="175" xr:uid="{0C0064DF-2237-4690-91EB-BF35B3702EAA}"/>
    <cellStyle name="60% - Accent4 2 2 2 2" xfId="335" xr:uid="{1BFAB0B0-2ACB-4189-8329-175A5A732BFF}"/>
    <cellStyle name="60% - Accent4 2 2 3" xfId="255" xr:uid="{03308573-3F9B-48F7-A9DF-0D57AA89124F}"/>
    <cellStyle name="60% - Accent4 2 3" xfId="135" xr:uid="{87EDE668-E6A6-45DF-A14C-124D8E3D4249}"/>
    <cellStyle name="60% - Accent4 2 3 2" xfId="295" xr:uid="{8F8A905C-4C85-4E2F-A497-71D763A6AD44}"/>
    <cellStyle name="60% - Accent4 2 4" xfId="215" xr:uid="{A2FEAA31-E6F2-4D9F-A175-6D178085509D}"/>
    <cellStyle name="60% - Accent4 3" xfId="75" xr:uid="{88C1CF23-29D0-47B0-BFC8-974BEA3271D9}"/>
    <cellStyle name="60% - Accent4 3 2" xfId="155" xr:uid="{6685C8DE-753C-4146-857A-53923264CFAC}"/>
    <cellStyle name="60% - Accent4 3 2 2" xfId="315" xr:uid="{2E97CA2D-C58F-4622-88D6-06822735EA57}"/>
    <cellStyle name="60% - Accent4 3 3" xfId="235" xr:uid="{5B33E039-3B03-45D1-AB21-F4A7CE37126C}"/>
    <cellStyle name="60% - Accent4 4" xfId="115" xr:uid="{22152E57-F16E-4495-BF09-546A8FE7E667}"/>
    <cellStyle name="60% - Accent4 4 2" xfId="275" xr:uid="{01D57717-323F-4EF0-B0E6-F180FF63EC81}"/>
    <cellStyle name="60% - Accent4 5" xfId="195" xr:uid="{E2146BC4-6208-489E-934A-1F24746C1B43}"/>
    <cellStyle name="60% - Accent5" xfId="37" builtinId="48" customBuiltin="1"/>
    <cellStyle name="60% - Accent5 2" xfId="58" xr:uid="{878BF3F3-A97F-495D-91A7-8106E4C3C819}"/>
    <cellStyle name="60% - Accent5 2 2" xfId="98" xr:uid="{D94920B9-9690-4CA1-B628-1E11B3D3AF1F}"/>
    <cellStyle name="60% - Accent5 2 2 2" xfId="178" xr:uid="{AFEFE0AE-2321-49C1-BC26-EB0E7C2ADE67}"/>
    <cellStyle name="60% - Accent5 2 2 2 2" xfId="338" xr:uid="{A5D2D353-3931-49D7-BF3C-8A3E9FBF608D}"/>
    <cellStyle name="60% - Accent5 2 2 3" xfId="258" xr:uid="{E304E8D5-77A1-42C5-9882-D527B8B2DA91}"/>
    <cellStyle name="60% - Accent5 2 3" xfId="138" xr:uid="{53FB77B0-7A1D-4AD2-AC94-3E1EA10176C0}"/>
    <cellStyle name="60% - Accent5 2 3 2" xfId="298" xr:uid="{E64077B7-9488-4ED1-9C47-9B7D0D9FFB6A}"/>
    <cellStyle name="60% - Accent5 2 4" xfId="218" xr:uid="{3EF25F6E-BC29-4840-9DFF-C0C4B9522D58}"/>
    <cellStyle name="60% - Accent5 3" xfId="78" xr:uid="{FF146C04-F2B8-49A1-A523-B08E05D144CB}"/>
    <cellStyle name="60% - Accent5 3 2" xfId="158" xr:uid="{0D068A99-A057-4E4C-9E91-C36FAA82DA3A}"/>
    <cellStyle name="60% - Accent5 3 2 2" xfId="318" xr:uid="{8C557F9D-A4DC-4277-B644-887293E196E3}"/>
    <cellStyle name="60% - Accent5 3 3" xfId="238" xr:uid="{3C18357B-1556-4879-A1E1-BC597340D4B0}"/>
    <cellStyle name="60% - Accent5 4" xfId="118" xr:uid="{773E8737-B039-4E69-8D89-515CA5F49140}"/>
    <cellStyle name="60% - Accent5 4 2" xfId="278" xr:uid="{A9F052FC-DBF6-4D6A-A492-908EA1A24128}"/>
    <cellStyle name="60% - Accent5 5" xfId="198" xr:uid="{7408624C-CBC2-4512-AB9A-4F71ADB674C8}"/>
    <cellStyle name="60% - Accent6" xfId="41" builtinId="52" customBuiltin="1"/>
    <cellStyle name="60% - Accent6 2" xfId="61" xr:uid="{BD8A2AEF-FF73-4EE7-B7F6-D8DF793371B7}"/>
    <cellStyle name="60% - Accent6 2 2" xfId="101" xr:uid="{1C468EBF-6723-48BD-8965-CD0B7610D7A1}"/>
    <cellStyle name="60% - Accent6 2 2 2" xfId="181" xr:uid="{6F02A72D-0C09-4FF1-BA27-E1B79149021E}"/>
    <cellStyle name="60% - Accent6 2 2 2 2" xfId="341" xr:uid="{27C40F53-FB79-4CFB-BE8F-20C58DABB7AD}"/>
    <cellStyle name="60% - Accent6 2 2 3" xfId="261" xr:uid="{E3525D38-69E7-4800-B089-3EB57775FCDA}"/>
    <cellStyle name="60% - Accent6 2 3" xfId="141" xr:uid="{19C17437-7D43-4294-BFCC-C897A4BDB4C8}"/>
    <cellStyle name="60% - Accent6 2 3 2" xfId="301" xr:uid="{54F0A815-F6C6-43D4-9C7D-7B05ADB41AE0}"/>
    <cellStyle name="60% - Accent6 2 4" xfId="221" xr:uid="{4F468542-74E5-4D4E-8A3E-808D61A4F8B5}"/>
    <cellStyle name="60% - Accent6 3" xfId="81" xr:uid="{FEC5A001-CD5F-451B-B4F3-6AEF26666CA4}"/>
    <cellStyle name="60% - Accent6 3 2" xfId="161" xr:uid="{FC9C5683-92D1-4AA8-8262-C5B3806E8FCE}"/>
    <cellStyle name="60% - Accent6 3 2 2" xfId="321" xr:uid="{B6E7F567-3938-4CE5-95C7-89B546335BB9}"/>
    <cellStyle name="60% - Accent6 3 3" xfId="241" xr:uid="{8AD1344E-7E56-40CD-A5B5-ED0255AA714B}"/>
    <cellStyle name="60% - Accent6 4" xfId="121" xr:uid="{8B9A4676-A6B4-4BB8-985C-10D624DEEC5E}"/>
    <cellStyle name="60% - Accent6 4 2" xfId="281" xr:uid="{193E3029-ECE5-4179-A0D3-DE2C299B72C7}"/>
    <cellStyle name="60% - Accent6 5" xfId="201" xr:uid="{417F3B0E-1B20-4636-B613-5E9FECCC8AA6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7FDF75E8-0575-4E5B-A50F-B5C3B57215BF}"/>
    <cellStyle name="Normal 2 2" xfId="62" xr:uid="{368B152B-3921-432C-AFC1-EFAE74CACEDB}"/>
    <cellStyle name="Normal 2 2 2" xfId="102" xr:uid="{454ED42F-A2A6-41D3-9E62-37BDA968F295}"/>
    <cellStyle name="Normal 2 2 2 2" xfId="182" xr:uid="{C699E89C-F67D-4062-830B-8E0381F5E757}"/>
    <cellStyle name="Normal 2 2 2 2 2" xfId="342" xr:uid="{87987C7C-2445-4C15-B0D1-D94919951ACE}"/>
    <cellStyle name="Normal 2 2 2 3" xfId="262" xr:uid="{84A21849-A03F-4DB3-8984-289704C8D779}"/>
    <cellStyle name="Normal 2 2 3" xfId="142" xr:uid="{1B22B863-E2FC-4ECD-8E47-DFE90829F461}"/>
    <cellStyle name="Normal 2 2 3 2" xfId="302" xr:uid="{B6D639B0-8C27-4AD1-B850-88B3F0BCDE62}"/>
    <cellStyle name="Normal 2 2 4" xfId="222" xr:uid="{0F1A35E4-DA2A-476C-ABC9-5631DB197B0D}"/>
    <cellStyle name="Normal 2 3" xfId="82" xr:uid="{5AF8E62B-9807-4724-B95E-53EABC05D68A}"/>
    <cellStyle name="Normal 2 3 2" xfId="162" xr:uid="{AB21AF07-51C1-498B-B916-20103032E367}"/>
    <cellStyle name="Normal 2 3 2 2" xfId="322" xr:uid="{738FCC00-A462-441C-A987-AAF26B7F087D}"/>
    <cellStyle name="Normal 2 3 3" xfId="242" xr:uid="{7A4A0661-FCAE-4F6A-971D-110EB954BED7}"/>
    <cellStyle name="Normal 2 4" xfId="122" xr:uid="{A4205293-67A4-4BBB-AB81-E92C1896053E}"/>
    <cellStyle name="Normal 2 4 2" xfId="282" xr:uid="{6839DEEA-5293-4D80-9394-4FF50875DAA9}"/>
    <cellStyle name="Normal 2 5" xfId="202" xr:uid="{1166B534-9486-4C42-8EA7-ADD9F4DC1F20}"/>
    <cellStyle name="Note 2" xfId="43" xr:uid="{BA60554B-774A-413E-B669-DCC2A0977246}"/>
    <cellStyle name="Note 2 2" xfId="63" xr:uid="{62F23B5C-02E6-4306-8C35-C15747354E28}"/>
    <cellStyle name="Note 2 2 2" xfId="103" xr:uid="{10A33B5F-6499-49E5-A241-0A36A0D44CF2}"/>
    <cellStyle name="Note 2 2 2 2" xfId="183" xr:uid="{856C3704-7EA2-4E12-B6E0-E16CD9625B86}"/>
    <cellStyle name="Note 2 2 2 2 2" xfId="343" xr:uid="{E36FB73A-98EC-485A-BBC2-FBC91570649B}"/>
    <cellStyle name="Note 2 2 2 3" xfId="263" xr:uid="{50BAB9C9-B550-4CE5-BF52-0A24A44C1329}"/>
    <cellStyle name="Note 2 2 3" xfId="143" xr:uid="{E9431E31-2F8F-4266-99FD-84ED992E85BB}"/>
    <cellStyle name="Note 2 2 3 2" xfId="303" xr:uid="{7630C132-B1DB-4989-9D20-7E4771A29EA9}"/>
    <cellStyle name="Note 2 2 4" xfId="223" xr:uid="{325EE256-975D-4FAB-84DF-98D42848893E}"/>
    <cellStyle name="Note 2 3" xfId="83" xr:uid="{E72527F7-AA3D-4CB7-84F3-F90E34D8005D}"/>
    <cellStyle name="Note 2 3 2" xfId="163" xr:uid="{09E3B84F-2D03-4991-9A34-5C6E18E26C11}"/>
    <cellStyle name="Note 2 3 2 2" xfId="323" xr:uid="{4214AD93-C01D-40C6-B560-9A75DA43A31A}"/>
    <cellStyle name="Note 2 3 3" xfId="243" xr:uid="{009C6647-3A44-4A41-BF21-9E2D2BA60EDB}"/>
    <cellStyle name="Note 2 4" xfId="123" xr:uid="{691D75E1-232B-4DD3-A320-1F959618E1BC}"/>
    <cellStyle name="Note 2 4 2" xfId="283" xr:uid="{3392B10C-780F-4A79-959A-34F74EDC1E7C}"/>
    <cellStyle name="Note 2 5" xfId="203" xr:uid="{FDB808E4-E5FF-4620-81CF-A803D31562BD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FFCC"/>
      <color rgb="FFFBEF7D"/>
      <color rgb="FFCCFF99"/>
      <color rgb="FFFFFF99"/>
      <color rgb="FFF6CA82"/>
      <color rgb="FFFDF7CB"/>
      <color rgb="FFFDF5BB"/>
      <color rgb="FFFFFFB9"/>
      <color rgb="FFCCECFF"/>
      <color rgb="FFFAC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seppur.2024.126735" TargetMode="External"/><Relationship Id="rId299" Type="http://schemas.openxmlformats.org/officeDocument/2006/relationships/hyperlink" Target="https://doi.org/10.1021/acsami.5b07545" TargetMode="External"/><Relationship Id="rId21" Type="http://schemas.openxmlformats.org/officeDocument/2006/relationships/hyperlink" Target="https://doi.org/10.1016/j.seppur.2023.124346" TargetMode="External"/><Relationship Id="rId63" Type="http://schemas.openxmlformats.org/officeDocument/2006/relationships/hyperlink" Target="https://doi.org/10.1016/j.seppur.2024.126735" TargetMode="External"/><Relationship Id="rId159" Type="http://schemas.openxmlformats.org/officeDocument/2006/relationships/hyperlink" Target="https://doi.org/10.1016/j.jece.2021.106709" TargetMode="External"/><Relationship Id="rId324" Type="http://schemas.openxmlformats.org/officeDocument/2006/relationships/hyperlink" Target="https://doi.org/10.1021/acsenvironau.3c00010" TargetMode="External"/><Relationship Id="rId366" Type="http://schemas.openxmlformats.org/officeDocument/2006/relationships/hyperlink" Target="https://doi.org/10.1016/j.cej.2024.150025" TargetMode="External"/><Relationship Id="rId170" Type="http://schemas.openxmlformats.org/officeDocument/2006/relationships/hyperlink" Target="https://doi.org/10.1021/acs.iecr.9b02742" TargetMode="External"/><Relationship Id="rId226" Type="http://schemas.openxmlformats.org/officeDocument/2006/relationships/hyperlink" Target="http://doi.org/10.1002/cssc.201800438" TargetMode="External"/><Relationship Id="rId433" Type="http://schemas.openxmlformats.org/officeDocument/2006/relationships/hyperlink" Target="https://doi.org/10.1021/jacsau.2c00553" TargetMode="External"/><Relationship Id="rId268" Type="http://schemas.openxmlformats.org/officeDocument/2006/relationships/hyperlink" Target="http://doi.org/10.1002/cssc.201800438" TargetMode="External"/><Relationship Id="rId32" Type="http://schemas.openxmlformats.org/officeDocument/2006/relationships/hyperlink" Target="https://doi.org/10.1016/j.seppur.2023.124346" TargetMode="External"/><Relationship Id="rId74" Type="http://schemas.openxmlformats.org/officeDocument/2006/relationships/hyperlink" Target="https://doi.org/10.1016/j.seppur.2024.126735" TargetMode="External"/><Relationship Id="rId128" Type="http://schemas.openxmlformats.org/officeDocument/2006/relationships/hyperlink" Target="https://doi.org/10.1021/acsami.5b07545" TargetMode="External"/><Relationship Id="rId335" Type="http://schemas.openxmlformats.org/officeDocument/2006/relationships/hyperlink" Target="https://doi.org/10.1021/la505037f" TargetMode="External"/><Relationship Id="rId377" Type="http://schemas.openxmlformats.org/officeDocument/2006/relationships/hyperlink" Target="https://doi.org/10.1016/j.cej.2024.150025" TargetMode="External"/><Relationship Id="rId5" Type="http://schemas.openxmlformats.org/officeDocument/2006/relationships/hyperlink" Target="https://doi.org/10.1016/j.seppur.2023.124346" TargetMode="External"/><Relationship Id="rId181" Type="http://schemas.openxmlformats.org/officeDocument/2006/relationships/hyperlink" Target="http://doi.org/10.1002/cssc.201000355" TargetMode="External"/><Relationship Id="rId237" Type="http://schemas.openxmlformats.org/officeDocument/2006/relationships/hyperlink" Target="http://doi.org/10.1002/cssc.201800438" TargetMode="External"/><Relationship Id="rId402" Type="http://schemas.openxmlformats.org/officeDocument/2006/relationships/hyperlink" Target="https://doi.org/10.1021/acsomega.0c01515" TargetMode="External"/><Relationship Id="rId279" Type="http://schemas.openxmlformats.org/officeDocument/2006/relationships/hyperlink" Target="https://doi.org/10.1021/acs.iecr.2c01484" TargetMode="External"/><Relationship Id="rId43" Type="http://schemas.openxmlformats.org/officeDocument/2006/relationships/hyperlink" Target="https://doi.org/10.1016/j.apenergy.2014.09.057" TargetMode="External"/><Relationship Id="rId139" Type="http://schemas.openxmlformats.org/officeDocument/2006/relationships/hyperlink" Target="https://doi.org/10.1016/j.jece.2021.106709" TargetMode="External"/><Relationship Id="rId290" Type="http://schemas.openxmlformats.org/officeDocument/2006/relationships/hyperlink" Target="https://doi.org/10.1021/acs.iecr.2c01484" TargetMode="External"/><Relationship Id="rId304" Type="http://schemas.openxmlformats.org/officeDocument/2006/relationships/hyperlink" Target="https://doi.org/10.1021/acsami.5b07545" TargetMode="External"/><Relationship Id="rId346" Type="http://schemas.openxmlformats.org/officeDocument/2006/relationships/hyperlink" Target="https://doi.org/10.1002/cphc.201700828" TargetMode="External"/><Relationship Id="rId388" Type="http://schemas.openxmlformats.org/officeDocument/2006/relationships/hyperlink" Target="https://doi.org/10.1016/j.cej.2024.150025" TargetMode="External"/><Relationship Id="rId85" Type="http://schemas.openxmlformats.org/officeDocument/2006/relationships/hyperlink" Target="https://doi.org/10.1016/j.seppur.2024.126735" TargetMode="External"/><Relationship Id="rId150" Type="http://schemas.openxmlformats.org/officeDocument/2006/relationships/hyperlink" Target="https://doi.org/10.1016/j.jece.2021.106709" TargetMode="External"/><Relationship Id="rId192" Type="http://schemas.openxmlformats.org/officeDocument/2006/relationships/hyperlink" Target="https://doi.org/10.1016/j.seppur.2024.126735" TargetMode="External"/><Relationship Id="rId206" Type="http://schemas.openxmlformats.org/officeDocument/2006/relationships/hyperlink" Target="https://doi.org/10.1016/j.seppur.2024.126735" TargetMode="External"/><Relationship Id="rId413" Type="http://schemas.openxmlformats.org/officeDocument/2006/relationships/hyperlink" Target="https://doi.org/10.1016/j.ccst.2023.100167" TargetMode="External"/><Relationship Id="rId248" Type="http://schemas.openxmlformats.org/officeDocument/2006/relationships/hyperlink" Target="http://doi.org/10.1002/cssc.201800438" TargetMode="External"/><Relationship Id="rId12" Type="http://schemas.openxmlformats.org/officeDocument/2006/relationships/hyperlink" Target="https://doi.org/10.1016/j.seppur.2023.124346" TargetMode="External"/><Relationship Id="rId108" Type="http://schemas.openxmlformats.org/officeDocument/2006/relationships/hyperlink" Target="https://doi.org/10.1016/j.seppur.2024.126735" TargetMode="External"/><Relationship Id="rId315" Type="http://schemas.openxmlformats.org/officeDocument/2006/relationships/hyperlink" Target="https://doi.org/10.1021/acsami.5b07545" TargetMode="External"/><Relationship Id="rId357" Type="http://schemas.openxmlformats.org/officeDocument/2006/relationships/hyperlink" Target="https://doi.org/10.1016/j.seppur.2014.01.048" TargetMode="External"/><Relationship Id="rId54" Type="http://schemas.openxmlformats.org/officeDocument/2006/relationships/hyperlink" Target="https://doi.org/10.1016/j.apenergy.2014.09.057" TargetMode="External"/><Relationship Id="rId96" Type="http://schemas.openxmlformats.org/officeDocument/2006/relationships/hyperlink" Target="https://doi.org/10.1016/j.seppur.2024.126735" TargetMode="External"/><Relationship Id="rId161" Type="http://schemas.openxmlformats.org/officeDocument/2006/relationships/hyperlink" Target="https://doi.org/10.1016/j.jece.2021.106709" TargetMode="External"/><Relationship Id="rId217" Type="http://schemas.openxmlformats.org/officeDocument/2006/relationships/hyperlink" Target="http://doi.org/10.1002/cssc.201800438" TargetMode="External"/><Relationship Id="rId399" Type="http://schemas.openxmlformats.org/officeDocument/2006/relationships/hyperlink" Target="https://doi.org/10.1021/acs.iecr.2c01484" TargetMode="External"/><Relationship Id="rId259" Type="http://schemas.openxmlformats.org/officeDocument/2006/relationships/hyperlink" Target="http://doi.org/10.1002/cssc.201800438" TargetMode="External"/><Relationship Id="rId424" Type="http://schemas.openxmlformats.org/officeDocument/2006/relationships/hyperlink" Target="https://doi.org/10.1021/jacsau.2c00553" TargetMode="External"/><Relationship Id="rId23" Type="http://schemas.openxmlformats.org/officeDocument/2006/relationships/hyperlink" Target="https://doi.org/10.1016/j.seppur.2023.124346" TargetMode="External"/><Relationship Id="rId119" Type="http://schemas.openxmlformats.org/officeDocument/2006/relationships/hyperlink" Target="https://doi.org/10.1016/j.seppur.2024.126735" TargetMode="External"/><Relationship Id="rId270" Type="http://schemas.openxmlformats.org/officeDocument/2006/relationships/hyperlink" Target="http://doi.org/10.1002/cssc.201800438" TargetMode="External"/><Relationship Id="rId326" Type="http://schemas.openxmlformats.org/officeDocument/2006/relationships/hyperlink" Target="https://doi.org/10.1021/acsenvironau.3c00010" TargetMode="External"/><Relationship Id="rId65" Type="http://schemas.openxmlformats.org/officeDocument/2006/relationships/hyperlink" Target="https://doi.org/10.1016/j.seppur.2024.126735" TargetMode="External"/><Relationship Id="rId130" Type="http://schemas.openxmlformats.org/officeDocument/2006/relationships/hyperlink" Target="https://doi.org/10.1021/acsami.5b07545" TargetMode="External"/><Relationship Id="rId368" Type="http://schemas.openxmlformats.org/officeDocument/2006/relationships/hyperlink" Target="https://doi.org/10.1016/j.cej.2024.150025" TargetMode="External"/><Relationship Id="rId172" Type="http://schemas.openxmlformats.org/officeDocument/2006/relationships/hyperlink" Target="https://doi.org/10.1021/acs.iecr.9b02742" TargetMode="External"/><Relationship Id="rId228" Type="http://schemas.openxmlformats.org/officeDocument/2006/relationships/hyperlink" Target="http://doi.org/10.1002/cssc.201800438" TargetMode="External"/><Relationship Id="rId435" Type="http://schemas.openxmlformats.org/officeDocument/2006/relationships/hyperlink" Target="https://doi.org/10.1021/jacsau.2c00553" TargetMode="External"/><Relationship Id="rId281" Type="http://schemas.openxmlformats.org/officeDocument/2006/relationships/hyperlink" Target="https://doi.org/10.1021/acs.iecr.2c01484" TargetMode="External"/><Relationship Id="rId337" Type="http://schemas.openxmlformats.org/officeDocument/2006/relationships/hyperlink" Target="https://doi.org/10.1021/la505037f" TargetMode="External"/><Relationship Id="rId34" Type="http://schemas.openxmlformats.org/officeDocument/2006/relationships/hyperlink" Target="https://doi.org/10.1016/j.seppur.2023.124346" TargetMode="External"/><Relationship Id="rId76" Type="http://schemas.openxmlformats.org/officeDocument/2006/relationships/hyperlink" Target="https://doi.org/10.1016/j.seppur.2024.126735" TargetMode="External"/><Relationship Id="rId141" Type="http://schemas.openxmlformats.org/officeDocument/2006/relationships/hyperlink" Target="https://doi.org/10.1016/j.jece.2021.106709" TargetMode="External"/><Relationship Id="rId379" Type="http://schemas.openxmlformats.org/officeDocument/2006/relationships/hyperlink" Target="https://doi.org/10.1016/j.cej.2024.150025" TargetMode="External"/><Relationship Id="rId7" Type="http://schemas.openxmlformats.org/officeDocument/2006/relationships/hyperlink" Target="https://doi.org/10.1016/j.seppur.2023.124346" TargetMode="External"/><Relationship Id="rId183" Type="http://schemas.openxmlformats.org/officeDocument/2006/relationships/hyperlink" Target="https://doi.org/10.1016/j.seppur.2024.126735" TargetMode="External"/><Relationship Id="rId239" Type="http://schemas.openxmlformats.org/officeDocument/2006/relationships/hyperlink" Target="http://doi.org/10.1002/cssc.201800438" TargetMode="External"/><Relationship Id="rId390" Type="http://schemas.openxmlformats.org/officeDocument/2006/relationships/hyperlink" Target="https://doi.org/10.1016/j.cej.2024.150025" TargetMode="External"/><Relationship Id="rId404" Type="http://schemas.openxmlformats.org/officeDocument/2006/relationships/hyperlink" Target="http://dx.doi.org/10.1021/ef502656t" TargetMode="External"/><Relationship Id="rId250" Type="http://schemas.openxmlformats.org/officeDocument/2006/relationships/hyperlink" Target="http://doi.org/10.1002/cssc.201800438" TargetMode="External"/><Relationship Id="rId292" Type="http://schemas.openxmlformats.org/officeDocument/2006/relationships/hyperlink" Target="https://doi.org/10.1021/acsami.5b07545" TargetMode="External"/><Relationship Id="rId306" Type="http://schemas.openxmlformats.org/officeDocument/2006/relationships/hyperlink" Target="https://doi.org/10.1021/acsami.5b07545" TargetMode="External"/><Relationship Id="rId45" Type="http://schemas.openxmlformats.org/officeDocument/2006/relationships/hyperlink" Target="https://doi.org/10.1016/j.apenergy.2014.09.057" TargetMode="External"/><Relationship Id="rId87" Type="http://schemas.openxmlformats.org/officeDocument/2006/relationships/hyperlink" Target="https://doi.org/10.1016/j.seppur.2024.126735" TargetMode="External"/><Relationship Id="rId110" Type="http://schemas.openxmlformats.org/officeDocument/2006/relationships/hyperlink" Target="https://doi.org/10.1016/j.seppur.2024.126735" TargetMode="External"/><Relationship Id="rId348" Type="http://schemas.openxmlformats.org/officeDocument/2006/relationships/hyperlink" Target="https://doi.org/10.1007/s10450-019-00171-w" TargetMode="External"/><Relationship Id="rId152" Type="http://schemas.openxmlformats.org/officeDocument/2006/relationships/hyperlink" Target="https://doi.org/10.1016/j.jece.2021.106709" TargetMode="External"/><Relationship Id="rId194" Type="http://schemas.openxmlformats.org/officeDocument/2006/relationships/hyperlink" Target="https://doi.org/10.1016/j.seppur.2024.126735" TargetMode="External"/><Relationship Id="rId208" Type="http://schemas.openxmlformats.org/officeDocument/2006/relationships/hyperlink" Target="https://doi.org/10.1016/j.seppur.2024.126735" TargetMode="External"/><Relationship Id="rId415" Type="http://schemas.openxmlformats.org/officeDocument/2006/relationships/hyperlink" Target="https://doi.org/10.1016/j.seppur.2023.124346" TargetMode="External"/><Relationship Id="rId261" Type="http://schemas.openxmlformats.org/officeDocument/2006/relationships/hyperlink" Target="http://doi.org/10.1002/cssc.201800438" TargetMode="External"/><Relationship Id="rId14" Type="http://schemas.openxmlformats.org/officeDocument/2006/relationships/hyperlink" Target="https://doi.org/10.1016/j.seppur.2023.124346" TargetMode="External"/><Relationship Id="rId56" Type="http://schemas.openxmlformats.org/officeDocument/2006/relationships/hyperlink" Target="https://doi.org/10.1016/j.apenergy.2014.09.057" TargetMode="External"/><Relationship Id="rId317" Type="http://schemas.openxmlformats.org/officeDocument/2006/relationships/hyperlink" Target="http://dx.doi.org/10.1021/acsapm.9b00788" TargetMode="External"/><Relationship Id="rId359" Type="http://schemas.openxmlformats.org/officeDocument/2006/relationships/hyperlink" Target="https://doi.org/10.1016/j.seppur.2014.01.048" TargetMode="External"/><Relationship Id="rId98" Type="http://schemas.openxmlformats.org/officeDocument/2006/relationships/hyperlink" Target="https://doi.org/10.1016/j.seppur.2024.126735" TargetMode="External"/><Relationship Id="rId121" Type="http://schemas.openxmlformats.org/officeDocument/2006/relationships/hyperlink" Target="https://doi.org/10.1016/j.seppur.2024.126735" TargetMode="External"/><Relationship Id="rId163" Type="http://schemas.openxmlformats.org/officeDocument/2006/relationships/hyperlink" Target="https://doi.org/10.1016/j.jece.2021.106709" TargetMode="External"/><Relationship Id="rId219" Type="http://schemas.openxmlformats.org/officeDocument/2006/relationships/hyperlink" Target="http://doi.org/10.1002/cssc.201800438" TargetMode="External"/><Relationship Id="rId370" Type="http://schemas.openxmlformats.org/officeDocument/2006/relationships/hyperlink" Target="https://doi.org/10.1016/j.cej.2024.150025" TargetMode="External"/><Relationship Id="rId426" Type="http://schemas.openxmlformats.org/officeDocument/2006/relationships/hyperlink" Target="https://doi.org/10.1021/jacsau.2c00553" TargetMode="External"/><Relationship Id="rId230" Type="http://schemas.openxmlformats.org/officeDocument/2006/relationships/hyperlink" Target="http://doi.org/10.1002/cssc.201800438" TargetMode="External"/><Relationship Id="rId25" Type="http://schemas.openxmlformats.org/officeDocument/2006/relationships/hyperlink" Target="https://doi.org/10.1016/j.seppur.2023.124346" TargetMode="External"/><Relationship Id="rId67" Type="http://schemas.openxmlformats.org/officeDocument/2006/relationships/hyperlink" Target="https://doi.org/10.1016/j.seppur.2024.126735" TargetMode="External"/><Relationship Id="rId272" Type="http://schemas.openxmlformats.org/officeDocument/2006/relationships/hyperlink" Target="https://doi.org/10.1021/acs.iecr.2c01484" TargetMode="External"/><Relationship Id="rId328" Type="http://schemas.openxmlformats.org/officeDocument/2006/relationships/hyperlink" Target="https://doi.org/10.1021/acsenvironau.3c00010" TargetMode="External"/><Relationship Id="rId132" Type="http://schemas.openxmlformats.org/officeDocument/2006/relationships/hyperlink" Target="https://doi.org/10.1021/jacs.7b00235" TargetMode="External"/><Relationship Id="rId174" Type="http://schemas.openxmlformats.org/officeDocument/2006/relationships/hyperlink" Target="https://doi.org/10.1021/acs.iecr.9b02742" TargetMode="External"/><Relationship Id="rId381" Type="http://schemas.openxmlformats.org/officeDocument/2006/relationships/hyperlink" Target="https://doi.org/10.1016/j.cej.2024.150025" TargetMode="External"/><Relationship Id="rId241" Type="http://schemas.openxmlformats.org/officeDocument/2006/relationships/hyperlink" Target="http://doi.org/10.1002/cssc.201800438" TargetMode="External"/><Relationship Id="rId437" Type="http://schemas.openxmlformats.org/officeDocument/2006/relationships/hyperlink" Target="https://doi.org/10.1021/jacsau.2c00553" TargetMode="External"/><Relationship Id="rId36" Type="http://schemas.openxmlformats.org/officeDocument/2006/relationships/hyperlink" Target="https://doi.org/10.1016/j.seppur.2023.124346" TargetMode="External"/><Relationship Id="rId283" Type="http://schemas.openxmlformats.org/officeDocument/2006/relationships/hyperlink" Target="https://doi.org/10.1021/acs.iecr.2c01484" TargetMode="External"/><Relationship Id="rId339" Type="http://schemas.openxmlformats.org/officeDocument/2006/relationships/hyperlink" Target="https://doi.org/10.1021/la505037f" TargetMode="External"/><Relationship Id="rId78" Type="http://schemas.openxmlformats.org/officeDocument/2006/relationships/hyperlink" Target="https://doi.org/10.1016/j.seppur.2024.126735" TargetMode="External"/><Relationship Id="rId101" Type="http://schemas.openxmlformats.org/officeDocument/2006/relationships/hyperlink" Target="https://doi.org/10.1016/j.seppur.2024.126735" TargetMode="External"/><Relationship Id="rId143" Type="http://schemas.openxmlformats.org/officeDocument/2006/relationships/hyperlink" Target="https://doi.org/10.1016/j.jece.2021.106709" TargetMode="External"/><Relationship Id="rId185" Type="http://schemas.openxmlformats.org/officeDocument/2006/relationships/hyperlink" Target="https://doi.org/10.1016/j.seppur.2024.126735" TargetMode="External"/><Relationship Id="rId350" Type="http://schemas.openxmlformats.org/officeDocument/2006/relationships/hyperlink" Target="https://doi.org/10.1021/ie300180u" TargetMode="External"/><Relationship Id="rId406" Type="http://schemas.openxmlformats.org/officeDocument/2006/relationships/hyperlink" Target="https://dx.doi.org/10.1021/acssuschemeng.0c03706" TargetMode="External"/><Relationship Id="rId9" Type="http://schemas.openxmlformats.org/officeDocument/2006/relationships/hyperlink" Target="https://doi.org/10.1016/j.seppur.2023.124346" TargetMode="External"/><Relationship Id="rId210" Type="http://schemas.openxmlformats.org/officeDocument/2006/relationships/hyperlink" Target="https://doi.org/10.1016/j.seppur.2024.126735" TargetMode="External"/><Relationship Id="rId392" Type="http://schemas.openxmlformats.org/officeDocument/2006/relationships/hyperlink" Target="https://doi.org/10.1016/j.cej.2024.150025" TargetMode="External"/><Relationship Id="rId252" Type="http://schemas.openxmlformats.org/officeDocument/2006/relationships/hyperlink" Target="http://doi.org/10.1002/cssc.201800438" TargetMode="External"/><Relationship Id="rId294" Type="http://schemas.openxmlformats.org/officeDocument/2006/relationships/hyperlink" Target="https://doi.org/10.1021/acsami.5b07545" TargetMode="External"/><Relationship Id="rId308" Type="http://schemas.openxmlformats.org/officeDocument/2006/relationships/hyperlink" Target="https://doi.org/10.1021/acsami.5b07545" TargetMode="External"/><Relationship Id="rId47" Type="http://schemas.openxmlformats.org/officeDocument/2006/relationships/hyperlink" Target="https://doi.org/10.1016/j.apenergy.2014.09.057" TargetMode="External"/><Relationship Id="rId89" Type="http://schemas.openxmlformats.org/officeDocument/2006/relationships/hyperlink" Target="https://doi.org/10.1016/j.seppur.2024.126735" TargetMode="External"/><Relationship Id="rId112" Type="http://schemas.openxmlformats.org/officeDocument/2006/relationships/hyperlink" Target="https://doi.org/10.1016/j.seppur.2024.126735" TargetMode="External"/><Relationship Id="rId154" Type="http://schemas.openxmlformats.org/officeDocument/2006/relationships/hyperlink" Target="https://doi.org/10.1016/j.jece.2021.106709" TargetMode="External"/><Relationship Id="rId361" Type="http://schemas.openxmlformats.org/officeDocument/2006/relationships/hyperlink" Target="https://doi.org/10.1016/j.cej.2024.150025" TargetMode="External"/><Relationship Id="rId196" Type="http://schemas.openxmlformats.org/officeDocument/2006/relationships/hyperlink" Target="https://doi.org/10.1016/j.seppur.2024.126735" TargetMode="External"/><Relationship Id="rId417" Type="http://schemas.openxmlformats.org/officeDocument/2006/relationships/hyperlink" Target="https://doi.org/10.1016/j.ccst.2023.100167" TargetMode="External"/><Relationship Id="rId16" Type="http://schemas.openxmlformats.org/officeDocument/2006/relationships/hyperlink" Target="https://doi.org/10.1016/j.seppur.2023.124346" TargetMode="External"/><Relationship Id="rId221" Type="http://schemas.openxmlformats.org/officeDocument/2006/relationships/hyperlink" Target="http://doi.org/10.1002/cssc.201800438" TargetMode="External"/><Relationship Id="rId263" Type="http://schemas.openxmlformats.org/officeDocument/2006/relationships/hyperlink" Target="http://doi.org/10.1002/cssc.201800438" TargetMode="External"/><Relationship Id="rId319" Type="http://schemas.openxmlformats.org/officeDocument/2006/relationships/hyperlink" Target="https://doi.org/10.1021/acsenvironau.3c00010" TargetMode="External"/><Relationship Id="rId58" Type="http://schemas.openxmlformats.org/officeDocument/2006/relationships/hyperlink" Target="https://doi.org/10.1016/j.apenergy.2014.09.057" TargetMode="External"/><Relationship Id="rId123" Type="http://schemas.openxmlformats.org/officeDocument/2006/relationships/hyperlink" Target="https://doi.org/10.1016/j.seppur.2024.126735" TargetMode="External"/><Relationship Id="rId330" Type="http://schemas.openxmlformats.org/officeDocument/2006/relationships/hyperlink" Target="https://doi.org/10.1021/acsenvironau.3c00010" TargetMode="External"/><Relationship Id="rId165" Type="http://schemas.openxmlformats.org/officeDocument/2006/relationships/hyperlink" Target="https://doi.org/10.1016/j.jece.2021.106709" TargetMode="External"/><Relationship Id="rId372" Type="http://schemas.openxmlformats.org/officeDocument/2006/relationships/hyperlink" Target="https://doi.org/10.1016/j.cej.2024.150025" TargetMode="External"/><Relationship Id="rId428" Type="http://schemas.openxmlformats.org/officeDocument/2006/relationships/hyperlink" Target="https://doi.org/10.1016/j.fuel.2023.128874" TargetMode="External"/><Relationship Id="rId232" Type="http://schemas.openxmlformats.org/officeDocument/2006/relationships/hyperlink" Target="http://doi.org/10.1002/cssc.201800438" TargetMode="External"/><Relationship Id="rId274" Type="http://schemas.openxmlformats.org/officeDocument/2006/relationships/hyperlink" Target="https://doi.org/10.1021/acs.iecr.2c01484" TargetMode="External"/><Relationship Id="rId27" Type="http://schemas.openxmlformats.org/officeDocument/2006/relationships/hyperlink" Target="https://doi.org/10.1016/j.seppur.2023.124346" TargetMode="External"/><Relationship Id="rId69" Type="http://schemas.openxmlformats.org/officeDocument/2006/relationships/hyperlink" Target="https://doi.org/10.1016/j.seppur.2024.126735" TargetMode="External"/><Relationship Id="rId134" Type="http://schemas.openxmlformats.org/officeDocument/2006/relationships/hyperlink" Target="https://doi.org/10.1021/jacs.7b00235" TargetMode="External"/><Relationship Id="rId80" Type="http://schemas.openxmlformats.org/officeDocument/2006/relationships/hyperlink" Target="https://doi.org/10.1016/j.seppur.2024.126735" TargetMode="External"/><Relationship Id="rId176" Type="http://schemas.openxmlformats.org/officeDocument/2006/relationships/hyperlink" Target="https://doi.org/10.1021/acs.iecr.9b02742" TargetMode="External"/><Relationship Id="rId341" Type="http://schemas.openxmlformats.org/officeDocument/2006/relationships/hyperlink" Target="https://doi.org/10.1246/bcsj.20160286" TargetMode="External"/><Relationship Id="rId383" Type="http://schemas.openxmlformats.org/officeDocument/2006/relationships/hyperlink" Target="https://doi.org/10.1016/j.cej.2024.150025" TargetMode="External"/><Relationship Id="rId439" Type="http://schemas.openxmlformats.org/officeDocument/2006/relationships/hyperlink" Target="https://doi.org/10.1021/jacsau.2c00553" TargetMode="External"/><Relationship Id="rId201" Type="http://schemas.openxmlformats.org/officeDocument/2006/relationships/hyperlink" Target="https://doi.org/10.1016/j.seppur.2024.126735" TargetMode="External"/><Relationship Id="rId243" Type="http://schemas.openxmlformats.org/officeDocument/2006/relationships/hyperlink" Target="http://doi.org/10.1002/cssc.201800438" TargetMode="External"/><Relationship Id="rId285" Type="http://schemas.openxmlformats.org/officeDocument/2006/relationships/hyperlink" Target="https://doi.org/10.1021/acs.iecr.2c01484" TargetMode="External"/><Relationship Id="rId38" Type="http://schemas.openxmlformats.org/officeDocument/2006/relationships/hyperlink" Target="https://doi.org/10.1016/j.seppur.2024.126735" TargetMode="External"/><Relationship Id="rId103" Type="http://schemas.openxmlformats.org/officeDocument/2006/relationships/hyperlink" Target="https://doi.org/10.1016/j.seppur.2024.126735" TargetMode="External"/><Relationship Id="rId310" Type="http://schemas.openxmlformats.org/officeDocument/2006/relationships/hyperlink" Target="https://doi.org/10.1021/acsami.5b07545" TargetMode="External"/><Relationship Id="rId91" Type="http://schemas.openxmlformats.org/officeDocument/2006/relationships/hyperlink" Target="https://doi.org/10.1016/j.seppur.2024.126735" TargetMode="External"/><Relationship Id="rId145" Type="http://schemas.openxmlformats.org/officeDocument/2006/relationships/hyperlink" Target="https://doi.org/10.1016/j.jece.2021.106709" TargetMode="External"/><Relationship Id="rId187" Type="http://schemas.openxmlformats.org/officeDocument/2006/relationships/hyperlink" Target="https://doi.org/10.1016/j.seppur.2024.126735" TargetMode="External"/><Relationship Id="rId352" Type="http://schemas.openxmlformats.org/officeDocument/2006/relationships/hyperlink" Target="https://doi.org/10.1021/acsenviro-u.3c00010" TargetMode="External"/><Relationship Id="rId394" Type="http://schemas.openxmlformats.org/officeDocument/2006/relationships/hyperlink" Target="https://doi.org/10.1016/j.cej.2024.150025" TargetMode="External"/><Relationship Id="rId408" Type="http://schemas.openxmlformats.org/officeDocument/2006/relationships/hyperlink" Target="https://doi.org/10.1016/j.cherd.2023.09.021" TargetMode="External"/><Relationship Id="rId212" Type="http://schemas.openxmlformats.org/officeDocument/2006/relationships/hyperlink" Target="https://doi.org/10.1016/j.seppur.2024.126735" TargetMode="External"/><Relationship Id="rId254" Type="http://schemas.openxmlformats.org/officeDocument/2006/relationships/hyperlink" Target="http://doi.org/10.1002/cssc.201800438" TargetMode="External"/><Relationship Id="rId49" Type="http://schemas.openxmlformats.org/officeDocument/2006/relationships/hyperlink" Target="https://doi.org/10.1016/j.apenergy.2014.09.057" TargetMode="External"/><Relationship Id="rId114" Type="http://schemas.openxmlformats.org/officeDocument/2006/relationships/hyperlink" Target="https://doi.org/10.1016/j.seppur.2024.126735" TargetMode="External"/><Relationship Id="rId296" Type="http://schemas.openxmlformats.org/officeDocument/2006/relationships/hyperlink" Target="https://doi.org/10.1021/acsami.5b07545" TargetMode="External"/><Relationship Id="rId60" Type="http://schemas.openxmlformats.org/officeDocument/2006/relationships/hyperlink" Target="https://doi.org/10.1016/j.apenergy.2014.09.057" TargetMode="External"/><Relationship Id="rId156" Type="http://schemas.openxmlformats.org/officeDocument/2006/relationships/hyperlink" Target="https://doi.org/10.1016/j.jece.2021.106709" TargetMode="External"/><Relationship Id="rId198" Type="http://schemas.openxmlformats.org/officeDocument/2006/relationships/hyperlink" Target="https://doi.org/10.1016/j.seppur.2024.126735" TargetMode="External"/><Relationship Id="rId321" Type="http://schemas.openxmlformats.org/officeDocument/2006/relationships/hyperlink" Target="https://doi.org/10.1021/acsenvironau.3c00010" TargetMode="External"/><Relationship Id="rId363" Type="http://schemas.openxmlformats.org/officeDocument/2006/relationships/hyperlink" Target="https://doi.org/10.1016/j.cej.2024.150025" TargetMode="External"/><Relationship Id="rId419" Type="http://schemas.openxmlformats.org/officeDocument/2006/relationships/hyperlink" Target="https://doi.org/10.1021/jacsau.2c00553" TargetMode="External"/><Relationship Id="rId202" Type="http://schemas.openxmlformats.org/officeDocument/2006/relationships/hyperlink" Target="https://doi.org/10.1016/j.seppur.2024.126735" TargetMode="External"/><Relationship Id="rId223" Type="http://schemas.openxmlformats.org/officeDocument/2006/relationships/hyperlink" Target="http://doi.org/10.1002/cssc.201800438" TargetMode="External"/><Relationship Id="rId244" Type="http://schemas.openxmlformats.org/officeDocument/2006/relationships/hyperlink" Target="http://doi.org/10.1002/cssc.201800438" TargetMode="External"/><Relationship Id="rId430" Type="http://schemas.openxmlformats.org/officeDocument/2006/relationships/hyperlink" Target="https://doi.org/10.1021/jacsau.2c00553" TargetMode="External"/><Relationship Id="rId18" Type="http://schemas.openxmlformats.org/officeDocument/2006/relationships/hyperlink" Target="https://doi.org/10.1016/j.seppur.2023.124346" TargetMode="External"/><Relationship Id="rId39" Type="http://schemas.openxmlformats.org/officeDocument/2006/relationships/hyperlink" Target="https://doi.org/10.1016/j.apenergy.2014.09.057" TargetMode="External"/><Relationship Id="rId265" Type="http://schemas.openxmlformats.org/officeDocument/2006/relationships/hyperlink" Target="http://doi.org/10.1002/cssc.201800438" TargetMode="External"/><Relationship Id="rId286" Type="http://schemas.openxmlformats.org/officeDocument/2006/relationships/hyperlink" Target="https://doi.org/10.1021/acs.iecr.2c01484" TargetMode="External"/><Relationship Id="rId50" Type="http://schemas.openxmlformats.org/officeDocument/2006/relationships/hyperlink" Target="https://doi.org/10.1016/j.apenergy.2014.09.057" TargetMode="External"/><Relationship Id="rId104" Type="http://schemas.openxmlformats.org/officeDocument/2006/relationships/hyperlink" Target="https://doi.org/10.1016/j.seppur.2024.126735" TargetMode="External"/><Relationship Id="rId125" Type="http://schemas.openxmlformats.org/officeDocument/2006/relationships/hyperlink" Target="https://doi.org/10.1021/acsami.5b07545" TargetMode="External"/><Relationship Id="rId146" Type="http://schemas.openxmlformats.org/officeDocument/2006/relationships/hyperlink" Target="https://doi.org/10.1016/j.jece.2021.106709" TargetMode="External"/><Relationship Id="rId167" Type="http://schemas.openxmlformats.org/officeDocument/2006/relationships/hyperlink" Target="https://doi.org/10.1016/j.jece.2021.106709" TargetMode="External"/><Relationship Id="rId188" Type="http://schemas.openxmlformats.org/officeDocument/2006/relationships/hyperlink" Target="https://doi.org/10.1016/j.seppur.2024.126735" TargetMode="External"/><Relationship Id="rId311" Type="http://schemas.openxmlformats.org/officeDocument/2006/relationships/hyperlink" Target="https://doi.org/10.1021/acsami.5b07545" TargetMode="External"/><Relationship Id="rId332" Type="http://schemas.openxmlformats.org/officeDocument/2006/relationships/hyperlink" Target="https://doi.org/10.1021/acsenvironau.3c00010" TargetMode="External"/><Relationship Id="rId353" Type="http://schemas.openxmlformats.org/officeDocument/2006/relationships/hyperlink" Target="http://dx.doi.org/10.1002/cssc.201600834" TargetMode="External"/><Relationship Id="rId374" Type="http://schemas.openxmlformats.org/officeDocument/2006/relationships/hyperlink" Target="https://doi.org/10.1016/j.cej.2024.150025" TargetMode="External"/><Relationship Id="rId395" Type="http://schemas.openxmlformats.org/officeDocument/2006/relationships/hyperlink" Target="https://doi.org/10.1016/j.cej.2024.150025" TargetMode="External"/><Relationship Id="rId409" Type="http://schemas.openxmlformats.org/officeDocument/2006/relationships/hyperlink" Target="https://doi.org/10.1016/j.micromeso.2023.112714" TargetMode="External"/><Relationship Id="rId71" Type="http://schemas.openxmlformats.org/officeDocument/2006/relationships/hyperlink" Target="https://doi.org/10.1016/j.seppur.2024.126735" TargetMode="External"/><Relationship Id="rId92" Type="http://schemas.openxmlformats.org/officeDocument/2006/relationships/hyperlink" Target="https://doi.org/10.1016/j.seppur.2024.126735" TargetMode="External"/><Relationship Id="rId213" Type="http://schemas.openxmlformats.org/officeDocument/2006/relationships/hyperlink" Target="https://doi.org/10.1016/j.seppur.2024.126735" TargetMode="External"/><Relationship Id="rId234" Type="http://schemas.openxmlformats.org/officeDocument/2006/relationships/hyperlink" Target="http://doi.org/10.1002/cssc.201800438" TargetMode="External"/><Relationship Id="rId420" Type="http://schemas.openxmlformats.org/officeDocument/2006/relationships/hyperlink" Target="https://doi.org/10.1021/jacsau.2c00553" TargetMode="External"/><Relationship Id="rId2" Type="http://schemas.openxmlformats.org/officeDocument/2006/relationships/hyperlink" Target="https://doi.org/10.1016/j.seppur.2023.124346" TargetMode="External"/><Relationship Id="rId29" Type="http://schemas.openxmlformats.org/officeDocument/2006/relationships/hyperlink" Target="https://doi.org/10.1016/j.seppur.2023.124346" TargetMode="External"/><Relationship Id="rId255" Type="http://schemas.openxmlformats.org/officeDocument/2006/relationships/hyperlink" Target="http://doi.org/10.1002/cssc.201800438" TargetMode="External"/><Relationship Id="rId276" Type="http://schemas.openxmlformats.org/officeDocument/2006/relationships/hyperlink" Target="https://doi.org/10.1021/acs.iecr.2c01484" TargetMode="External"/><Relationship Id="rId297" Type="http://schemas.openxmlformats.org/officeDocument/2006/relationships/hyperlink" Target="https://doi.org/10.1021/acsami.5b07545" TargetMode="External"/><Relationship Id="rId441" Type="http://schemas.openxmlformats.org/officeDocument/2006/relationships/hyperlink" Target="https://doi.org/10.1021/jacsau.2c00553" TargetMode="External"/><Relationship Id="rId40" Type="http://schemas.openxmlformats.org/officeDocument/2006/relationships/hyperlink" Target="https://doi.org/10.1016/j.apenergy.2014.09.057" TargetMode="External"/><Relationship Id="rId115" Type="http://schemas.openxmlformats.org/officeDocument/2006/relationships/hyperlink" Target="https://doi.org/10.1016/j.seppur.2024.126735" TargetMode="External"/><Relationship Id="rId136" Type="http://schemas.openxmlformats.org/officeDocument/2006/relationships/hyperlink" Target="https://doi.org/10.1016/j.jece.2022.107239" TargetMode="External"/><Relationship Id="rId157" Type="http://schemas.openxmlformats.org/officeDocument/2006/relationships/hyperlink" Target="https://doi.org/10.1016/j.jece.2021.106709" TargetMode="External"/><Relationship Id="rId178" Type="http://schemas.openxmlformats.org/officeDocument/2006/relationships/hyperlink" Target="https://doi.org/10.1021/acs.iecr.9b02742" TargetMode="External"/><Relationship Id="rId301" Type="http://schemas.openxmlformats.org/officeDocument/2006/relationships/hyperlink" Target="https://doi.org/10.1021/acsami.5b07545" TargetMode="External"/><Relationship Id="rId322" Type="http://schemas.openxmlformats.org/officeDocument/2006/relationships/hyperlink" Target="https://doi.org/10.1021/acsenvironau.3c00010" TargetMode="External"/><Relationship Id="rId343" Type="http://schemas.openxmlformats.org/officeDocument/2006/relationships/hyperlink" Target="https://doi.org/10.1246/bcsj.20160286" TargetMode="External"/><Relationship Id="rId364" Type="http://schemas.openxmlformats.org/officeDocument/2006/relationships/hyperlink" Target="https://doi.org/10.1016/j.cej.2024.150025" TargetMode="External"/><Relationship Id="rId61" Type="http://schemas.openxmlformats.org/officeDocument/2006/relationships/hyperlink" Target="https://doi.org/10.1016/j.apenergy.2014.09.057" TargetMode="External"/><Relationship Id="rId82" Type="http://schemas.openxmlformats.org/officeDocument/2006/relationships/hyperlink" Target="https://doi.org/10.1016/j.seppur.2024.126735" TargetMode="External"/><Relationship Id="rId199" Type="http://schemas.openxmlformats.org/officeDocument/2006/relationships/hyperlink" Target="https://doi.org/10.1016/j.seppur.2024.126735" TargetMode="External"/><Relationship Id="rId203" Type="http://schemas.openxmlformats.org/officeDocument/2006/relationships/hyperlink" Target="https://doi.org/10.1016/j.seppur.2024.126735" TargetMode="External"/><Relationship Id="rId385" Type="http://schemas.openxmlformats.org/officeDocument/2006/relationships/hyperlink" Target="https://doi.org/10.1016/j.cej.2024.150025" TargetMode="External"/><Relationship Id="rId19" Type="http://schemas.openxmlformats.org/officeDocument/2006/relationships/hyperlink" Target="https://doi.org/10.1016/j.seppur.2023.124346" TargetMode="External"/><Relationship Id="rId224" Type="http://schemas.openxmlformats.org/officeDocument/2006/relationships/hyperlink" Target="http://doi.org/10.1002/cssc.201800438" TargetMode="External"/><Relationship Id="rId245" Type="http://schemas.openxmlformats.org/officeDocument/2006/relationships/hyperlink" Target="http://doi.org/10.1002/cssc.201800438" TargetMode="External"/><Relationship Id="rId266" Type="http://schemas.openxmlformats.org/officeDocument/2006/relationships/hyperlink" Target="http://doi.org/10.1002/cssc.201800438" TargetMode="External"/><Relationship Id="rId287" Type="http://schemas.openxmlformats.org/officeDocument/2006/relationships/hyperlink" Target="https://doi.org/10.1021/acs.iecr.2c01484" TargetMode="External"/><Relationship Id="rId410" Type="http://schemas.openxmlformats.org/officeDocument/2006/relationships/hyperlink" Target="https://doi.org/10.1021/acssuschemeng.6b01692" TargetMode="External"/><Relationship Id="rId431" Type="http://schemas.openxmlformats.org/officeDocument/2006/relationships/hyperlink" Target="https://doi.org/10.1021/jacsau.2c00553" TargetMode="External"/><Relationship Id="rId30" Type="http://schemas.openxmlformats.org/officeDocument/2006/relationships/hyperlink" Target="https://doi.org/10.1016/j.seppur.2023.124346" TargetMode="External"/><Relationship Id="rId105" Type="http://schemas.openxmlformats.org/officeDocument/2006/relationships/hyperlink" Target="https://doi.org/10.1016/j.seppur.2024.126735" TargetMode="External"/><Relationship Id="rId126" Type="http://schemas.openxmlformats.org/officeDocument/2006/relationships/hyperlink" Target="https://doi.org/10.1021/acsami.5b07545" TargetMode="External"/><Relationship Id="rId147" Type="http://schemas.openxmlformats.org/officeDocument/2006/relationships/hyperlink" Target="https://doi.org/10.1016/j.jece.2021.106709" TargetMode="External"/><Relationship Id="rId168" Type="http://schemas.openxmlformats.org/officeDocument/2006/relationships/hyperlink" Target="https://doi.org/10.1016/j.jece.2021.106709" TargetMode="External"/><Relationship Id="rId312" Type="http://schemas.openxmlformats.org/officeDocument/2006/relationships/hyperlink" Target="https://doi.org/10.1021/acsami.5b07545" TargetMode="External"/><Relationship Id="rId333" Type="http://schemas.openxmlformats.org/officeDocument/2006/relationships/hyperlink" Target="https://doi.org/10.1021/acsenvironau.3c00010" TargetMode="External"/><Relationship Id="rId354" Type="http://schemas.openxmlformats.org/officeDocument/2006/relationships/hyperlink" Target="https://doi.org/10.1021/jacsau.2c00553" TargetMode="External"/><Relationship Id="rId51" Type="http://schemas.openxmlformats.org/officeDocument/2006/relationships/hyperlink" Target="https://doi.org/10.1016/j.apenergy.2014.09.057" TargetMode="External"/><Relationship Id="rId72" Type="http://schemas.openxmlformats.org/officeDocument/2006/relationships/hyperlink" Target="https://doi.org/10.1016/j.seppur.2024.126735" TargetMode="External"/><Relationship Id="rId93" Type="http://schemas.openxmlformats.org/officeDocument/2006/relationships/hyperlink" Target="https://doi.org/10.1016/j.seppur.2024.126735" TargetMode="External"/><Relationship Id="rId189" Type="http://schemas.openxmlformats.org/officeDocument/2006/relationships/hyperlink" Target="https://doi.org/10.1016/j.seppur.2024.126735" TargetMode="External"/><Relationship Id="rId375" Type="http://schemas.openxmlformats.org/officeDocument/2006/relationships/hyperlink" Target="https://doi.org/10.1016/j.cej.2024.150025" TargetMode="External"/><Relationship Id="rId396" Type="http://schemas.openxmlformats.org/officeDocument/2006/relationships/hyperlink" Target="https://doi.org/10.1016/j.micromeso.2023.112714" TargetMode="External"/><Relationship Id="rId3" Type="http://schemas.openxmlformats.org/officeDocument/2006/relationships/hyperlink" Target="https://doi.org/10.1016/j.seppur.2023.124346" TargetMode="External"/><Relationship Id="rId214" Type="http://schemas.openxmlformats.org/officeDocument/2006/relationships/hyperlink" Target="https://doi.org/10.1016/j.seppur.2024.126735" TargetMode="External"/><Relationship Id="rId235" Type="http://schemas.openxmlformats.org/officeDocument/2006/relationships/hyperlink" Target="http://doi.org/10.1002/cssc.201800438" TargetMode="External"/><Relationship Id="rId256" Type="http://schemas.openxmlformats.org/officeDocument/2006/relationships/hyperlink" Target="http://doi.org/10.1002/cssc.201800438" TargetMode="External"/><Relationship Id="rId277" Type="http://schemas.openxmlformats.org/officeDocument/2006/relationships/hyperlink" Target="https://doi.org/10.1021/acs.iecr.2c01484" TargetMode="External"/><Relationship Id="rId298" Type="http://schemas.openxmlformats.org/officeDocument/2006/relationships/hyperlink" Target="https://doi.org/10.1021/acsami.5b07545" TargetMode="External"/><Relationship Id="rId400" Type="http://schemas.openxmlformats.org/officeDocument/2006/relationships/hyperlink" Target="https://doi.org/10.1021/acs.iecr.2c01484" TargetMode="External"/><Relationship Id="rId421" Type="http://schemas.openxmlformats.org/officeDocument/2006/relationships/hyperlink" Target="https://doi.org/10.1021/jacsau.2c00553" TargetMode="External"/><Relationship Id="rId442" Type="http://schemas.openxmlformats.org/officeDocument/2006/relationships/printerSettings" Target="../printerSettings/printerSettings1.bin"/><Relationship Id="rId116" Type="http://schemas.openxmlformats.org/officeDocument/2006/relationships/hyperlink" Target="https://doi.org/10.1016/j.seppur.2024.126735" TargetMode="External"/><Relationship Id="rId137" Type="http://schemas.openxmlformats.org/officeDocument/2006/relationships/hyperlink" Target="https://doi.org/10.1002/sus2.141" TargetMode="External"/><Relationship Id="rId158" Type="http://schemas.openxmlformats.org/officeDocument/2006/relationships/hyperlink" Target="https://doi.org/10.1016/j.jece.2021.106709" TargetMode="External"/><Relationship Id="rId302" Type="http://schemas.openxmlformats.org/officeDocument/2006/relationships/hyperlink" Target="https://doi.org/10.1021/acsami.5b07545" TargetMode="External"/><Relationship Id="rId323" Type="http://schemas.openxmlformats.org/officeDocument/2006/relationships/hyperlink" Target="https://doi.org/10.1021/acsenvironau.3c00010" TargetMode="External"/><Relationship Id="rId344" Type="http://schemas.openxmlformats.org/officeDocument/2006/relationships/hyperlink" Target="https://doi.org/10.1246/bcsj.20160286" TargetMode="External"/><Relationship Id="rId20" Type="http://schemas.openxmlformats.org/officeDocument/2006/relationships/hyperlink" Target="https://doi.org/10.1016/j.seppur.2023.124346" TargetMode="External"/><Relationship Id="rId41" Type="http://schemas.openxmlformats.org/officeDocument/2006/relationships/hyperlink" Target="https://doi.org/10.1016/j.apenergy.2014.09.057" TargetMode="External"/><Relationship Id="rId62" Type="http://schemas.openxmlformats.org/officeDocument/2006/relationships/hyperlink" Target="https://doi.org/10.1016/j.apenergy.2014.09.057" TargetMode="External"/><Relationship Id="rId83" Type="http://schemas.openxmlformats.org/officeDocument/2006/relationships/hyperlink" Target="https://doi.org/10.1016/j.seppur.2024.126735" TargetMode="External"/><Relationship Id="rId179" Type="http://schemas.openxmlformats.org/officeDocument/2006/relationships/hyperlink" Target="http://doi.org/10.1002/cssc.201000355" TargetMode="External"/><Relationship Id="rId365" Type="http://schemas.openxmlformats.org/officeDocument/2006/relationships/hyperlink" Target="https://doi.org/10.1016/j.cej.2024.150025" TargetMode="External"/><Relationship Id="rId386" Type="http://schemas.openxmlformats.org/officeDocument/2006/relationships/hyperlink" Target="https://doi.org/10.1016/j.cej.2024.150025" TargetMode="External"/><Relationship Id="rId190" Type="http://schemas.openxmlformats.org/officeDocument/2006/relationships/hyperlink" Target="https://doi.org/10.1016/j.seppur.2024.126735" TargetMode="External"/><Relationship Id="rId204" Type="http://schemas.openxmlformats.org/officeDocument/2006/relationships/hyperlink" Target="https://doi.org/10.1016/j.seppur.2024.126735" TargetMode="External"/><Relationship Id="rId225" Type="http://schemas.openxmlformats.org/officeDocument/2006/relationships/hyperlink" Target="http://doi.org/10.1002/cssc.201800438" TargetMode="External"/><Relationship Id="rId246" Type="http://schemas.openxmlformats.org/officeDocument/2006/relationships/hyperlink" Target="http://doi.org/10.1002/cssc.201800438" TargetMode="External"/><Relationship Id="rId267" Type="http://schemas.openxmlformats.org/officeDocument/2006/relationships/hyperlink" Target="http://doi.org/10.1002/cssc.201800438" TargetMode="External"/><Relationship Id="rId288" Type="http://schemas.openxmlformats.org/officeDocument/2006/relationships/hyperlink" Target="https://doi.org/10.1021/acs.iecr.2c01484" TargetMode="External"/><Relationship Id="rId411" Type="http://schemas.openxmlformats.org/officeDocument/2006/relationships/hyperlink" Target="https://doi.org/10.1021/acsami.3c17126" TargetMode="External"/><Relationship Id="rId432" Type="http://schemas.openxmlformats.org/officeDocument/2006/relationships/hyperlink" Target="https://doi.org/10.1021/jacsau.2c00553" TargetMode="External"/><Relationship Id="rId106" Type="http://schemas.openxmlformats.org/officeDocument/2006/relationships/hyperlink" Target="https://doi.org/10.1016/j.seppur.2024.126735" TargetMode="External"/><Relationship Id="rId127" Type="http://schemas.openxmlformats.org/officeDocument/2006/relationships/hyperlink" Target="https://doi.org/10.1021/acsami.5b07545" TargetMode="External"/><Relationship Id="rId313" Type="http://schemas.openxmlformats.org/officeDocument/2006/relationships/hyperlink" Target="https://doi.org/10.1021/acsami.5b07545" TargetMode="External"/><Relationship Id="rId10" Type="http://schemas.openxmlformats.org/officeDocument/2006/relationships/hyperlink" Target="https://doi.org/10.1016/j.seppur.2023.124346" TargetMode="External"/><Relationship Id="rId31" Type="http://schemas.openxmlformats.org/officeDocument/2006/relationships/hyperlink" Target="https://doi.org/10.1016/j.seppur.2023.124346" TargetMode="External"/><Relationship Id="rId52" Type="http://schemas.openxmlformats.org/officeDocument/2006/relationships/hyperlink" Target="https://doi.org/10.1016/j.apenergy.2014.09.057" TargetMode="External"/><Relationship Id="rId73" Type="http://schemas.openxmlformats.org/officeDocument/2006/relationships/hyperlink" Target="https://doi.org/10.1016/j.seppur.2024.126735" TargetMode="External"/><Relationship Id="rId94" Type="http://schemas.openxmlformats.org/officeDocument/2006/relationships/hyperlink" Target="https://doi.org/10.1016/j.seppur.2024.126735" TargetMode="External"/><Relationship Id="rId148" Type="http://schemas.openxmlformats.org/officeDocument/2006/relationships/hyperlink" Target="https://doi.org/10.1016/j.jece.2021.106709" TargetMode="External"/><Relationship Id="rId169" Type="http://schemas.openxmlformats.org/officeDocument/2006/relationships/hyperlink" Target="https://doi.org/10.1016/j.jece.2021.106709" TargetMode="External"/><Relationship Id="rId334" Type="http://schemas.openxmlformats.org/officeDocument/2006/relationships/hyperlink" Target="https://doi.org/10.1021/jacsau.1c00414" TargetMode="External"/><Relationship Id="rId355" Type="http://schemas.openxmlformats.org/officeDocument/2006/relationships/hyperlink" Target="https://doi.org/10.1021/jacsau.2c00553" TargetMode="External"/><Relationship Id="rId376" Type="http://schemas.openxmlformats.org/officeDocument/2006/relationships/hyperlink" Target="https://doi.org/10.1016/j.cej.2024.150025" TargetMode="External"/><Relationship Id="rId397" Type="http://schemas.openxmlformats.org/officeDocument/2006/relationships/hyperlink" Target="http://dx.doi.org/10.1021/ef502656t" TargetMode="External"/><Relationship Id="rId4" Type="http://schemas.openxmlformats.org/officeDocument/2006/relationships/hyperlink" Target="https://doi.org/10.1016/j.seppur.2023.124346" TargetMode="External"/><Relationship Id="rId180" Type="http://schemas.openxmlformats.org/officeDocument/2006/relationships/hyperlink" Target="http://doi.org/10.1002/cssc.201000355" TargetMode="External"/><Relationship Id="rId215" Type="http://schemas.openxmlformats.org/officeDocument/2006/relationships/hyperlink" Target="http://dx.doi.org/10.1002/cssc.201600834" TargetMode="External"/><Relationship Id="rId236" Type="http://schemas.openxmlformats.org/officeDocument/2006/relationships/hyperlink" Target="http://doi.org/10.1002/cssc.201800438" TargetMode="External"/><Relationship Id="rId257" Type="http://schemas.openxmlformats.org/officeDocument/2006/relationships/hyperlink" Target="http://doi.org/10.1002/cssc.201800438" TargetMode="External"/><Relationship Id="rId278" Type="http://schemas.openxmlformats.org/officeDocument/2006/relationships/hyperlink" Target="https://doi.org/10.1021/acs.iecr.2c01484" TargetMode="External"/><Relationship Id="rId401" Type="http://schemas.openxmlformats.org/officeDocument/2006/relationships/hyperlink" Target="https://doi.org/10.1021/acs.iecr.2c01484" TargetMode="External"/><Relationship Id="rId422" Type="http://schemas.openxmlformats.org/officeDocument/2006/relationships/hyperlink" Target="https://doi.org/10.1021/jacsau.2c00553" TargetMode="External"/><Relationship Id="rId303" Type="http://schemas.openxmlformats.org/officeDocument/2006/relationships/hyperlink" Target="https://doi.org/10.1021/acsami.5b07545" TargetMode="External"/><Relationship Id="rId42" Type="http://schemas.openxmlformats.org/officeDocument/2006/relationships/hyperlink" Target="https://doi.org/10.1016/j.apenergy.2014.09.057" TargetMode="External"/><Relationship Id="rId84" Type="http://schemas.openxmlformats.org/officeDocument/2006/relationships/hyperlink" Target="https://doi.org/10.1016/j.seppur.2024.126735" TargetMode="External"/><Relationship Id="rId138" Type="http://schemas.openxmlformats.org/officeDocument/2006/relationships/hyperlink" Target="https://doi.org/10.1016/j.jece.2021.106709" TargetMode="External"/><Relationship Id="rId345" Type="http://schemas.openxmlformats.org/officeDocument/2006/relationships/hyperlink" Target="https://doi.org/10.1246/bcsj.20160286" TargetMode="External"/><Relationship Id="rId387" Type="http://schemas.openxmlformats.org/officeDocument/2006/relationships/hyperlink" Target="https://doi.org/10.1016/j.cej.2024.150025" TargetMode="External"/><Relationship Id="rId191" Type="http://schemas.openxmlformats.org/officeDocument/2006/relationships/hyperlink" Target="https://doi.org/10.1016/j.seppur.2024.126735" TargetMode="External"/><Relationship Id="rId205" Type="http://schemas.openxmlformats.org/officeDocument/2006/relationships/hyperlink" Target="https://doi.org/10.1016/j.seppur.2024.126735" TargetMode="External"/><Relationship Id="rId247" Type="http://schemas.openxmlformats.org/officeDocument/2006/relationships/hyperlink" Target="http://doi.org/10.1002/cssc.201800438" TargetMode="External"/><Relationship Id="rId412" Type="http://schemas.openxmlformats.org/officeDocument/2006/relationships/hyperlink" Target="https://doi.org/10.1021/am400661b" TargetMode="External"/><Relationship Id="rId107" Type="http://schemas.openxmlformats.org/officeDocument/2006/relationships/hyperlink" Target="https://doi.org/10.1016/j.seppur.2024.126735" TargetMode="External"/><Relationship Id="rId289" Type="http://schemas.openxmlformats.org/officeDocument/2006/relationships/hyperlink" Target="https://doi.org/10.1021/acs.iecr.2c01484" TargetMode="External"/><Relationship Id="rId11" Type="http://schemas.openxmlformats.org/officeDocument/2006/relationships/hyperlink" Target="https://doi.org/10.1016/j.seppur.2023.124346" TargetMode="External"/><Relationship Id="rId53" Type="http://schemas.openxmlformats.org/officeDocument/2006/relationships/hyperlink" Target="https://doi.org/10.1016/j.apenergy.2014.09.057" TargetMode="External"/><Relationship Id="rId149" Type="http://schemas.openxmlformats.org/officeDocument/2006/relationships/hyperlink" Target="https://doi.org/10.1016/j.jece.2021.106709" TargetMode="External"/><Relationship Id="rId314" Type="http://schemas.openxmlformats.org/officeDocument/2006/relationships/hyperlink" Target="https://doi.org/10.1021/acsami.5b07545" TargetMode="External"/><Relationship Id="rId356" Type="http://schemas.openxmlformats.org/officeDocument/2006/relationships/hyperlink" Target="https://doi.org/10.1039/C9NJ03822A" TargetMode="External"/><Relationship Id="rId398" Type="http://schemas.openxmlformats.org/officeDocument/2006/relationships/hyperlink" Target="https://doi.org/10.1021/acs.iecr.2c01484" TargetMode="External"/><Relationship Id="rId95" Type="http://schemas.openxmlformats.org/officeDocument/2006/relationships/hyperlink" Target="https://doi.org/10.1016/j.seppur.2024.126735" TargetMode="External"/><Relationship Id="rId160" Type="http://schemas.openxmlformats.org/officeDocument/2006/relationships/hyperlink" Target="https://doi.org/10.1016/j.jece.2021.106709" TargetMode="External"/><Relationship Id="rId216" Type="http://schemas.openxmlformats.org/officeDocument/2006/relationships/hyperlink" Target="http://dx.doi.org/10.1021/acs.chemmater.9b01474" TargetMode="External"/><Relationship Id="rId423" Type="http://schemas.openxmlformats.org/officeDocument/2006/relationships/hyperlink" Target="https://doi.org/10.1021/jacsau.2c00553" TargetMode="External"/><Relationship Id="rId258" Type="http://schemas.openxmlformats.org/officeDocument/2006/relationships/hyperlink" Target="http://doi.org/10.1002/cssc.201800438" TargetMode="External"/><Relationship Id="rId22" Type="http://schemas.openxmlformats.org/officeDocument/2006/relationships/hyperlink" Target="https://doi.org/10.1016/j.seppur.2023.124346" TargetMode="External"/><Relationship Id="rId64" Type="http://schemas.openxmlformats.org/officeDocument/2006/relationships/hyperlink" Target="https://doi.org/10.1016/j.seppur.2024.126735" TargetMode="External"/><Relationship Id="rId118" Type="http://schemas.openxmlformats.org/officeDocument/2006/relationships/hyperlink" Target="https://doi.org/10.1016/j.seppur.2024.126735" TargetMode="External"/><Relationship Id="rId325" Type="http://schemas.openxmlformats.org/officeDocument/2006/relationships/hyperlink" Target="https://doi.org/10.1021/acsenvironau.3c00010" TargetMode="External"/><Relationship Id="rId367" Type="http://schemas.openxmlformats.org/officeDocument/2006/relationships/hyperlink" Target="https://doi.org/10.1016/j.cej.2024.150025" TargetMode="External"/><Relationship Id="rId171" Type="http://schemas.openxmlformats.org/officeDocument/2006/relationships/hyperlink" Target="https://doi.org/10.1021/acs.iecr.9b02742" TargetMode="External"/><Relationship Id="rId227" Type="http://schemas.openxmlformats.org/officeDocument/2006/relationships/hyperlink" Target="http://doi.org/10.1002/cssc.201800438" TargetMode="External"/><Relationship Id="rId269" Type="http://schemas.openxmlformats.org/officeDocument/2006/relationships/hyperlink" Target="http://doi.org/10.1002/cssc.201800438" TargetMode="External"/><Relationship Id="rId434" Type="http://schemas.openxmlformats.org/officeDocument/2006/relationships/hyperlink" Target="https://doi.org/10.1021/jacsau.2c00553" TargetMode="External"/><Relationship Id="rId33" Type="http://schemas.openxmlformats.org/officeDocument/2006/relationships/hyperlink" Target="https://doi.org/10.1016/j.seppur.2023.124346" TargetMode="External"/><Relationship Id="rId129" Type="http://schemas.openxmlformats.org/officeDocument/2006/relationships/hyperlink" Target="https://doi.org/10.1021/acsami.5b07545" TargetMode="External"/><Relationship Id="rId280" Type="http://schemas.openxmlformats.org/officeDocument/2006/relationships/hyperlink" Target="https://doi.org/10.1021/acs.iecr.2c01484" TargetMode="External"/><Relationship Id="rId336" Type="http://schemas.openxmlformats.org/officeDocument/2006/relationships/hyperlink" Target="https://doi.org/10.1021/la505037f" TargetMode="External"/><Relationship Id="rId75" Type="http://schemas.openxmlformats.org/officeDocument/2006/relationships/hyperlink" Target="https://doi.org/10.1016/j.seppur.2024.126735" TargetMode="External"/><Relationship Id="rId140" Type="http://schemas.openxmlformats.org/officeDocument/2006/relationships/hyperlink" Target="https://doi.org/10.1016/j.jece.2021.106709" TargetMode="External"/><Relationship Id="rId182" Type="http://schemas.openxmlformats.org/officeDocument/2006/relationships/hyperlink" Target="http://dx.doi.org/10.1016/j.fuel.2013.12.018" TargetMode="External"/><Relationship Id="rId378" Type="http://schemas.openxmlformats.org/officeDocument/2006/relationships/hyperlink" Target="https://doi.org/10.1016/j.cej.2024.150025" TargetMode="External"/><Relationship Id="rId403" Type="http://schemas.openxmlformats.org/officeDocument/2006/relationships/hyperlink" Target="http://dx.doi.org/10.1021/ef502656t" TargetMode="External"/><Relationship Id="rId6" Type="http://schemas.openxmlformats.org/officeDocument/2006/relationships/hyperlink" Target="https://doi.org/10.1016/j.seppur.2023.124346" TargetMode="External"/><Relationship Id="rId238" Type="http://schemas.openxmlformats.org/officeDocument/2006/relationships/hyperlink" Target="http://doi.org/10.1002/cssc.201800438" TargetMode="External"/><Relationship Id="rId291" Type="http://schemas.openxmlformats.org/officeDocument/2006/relationships/hyperlink" Target="https://doi.org/10.1021/acs.iecr.2c01484" TargetMode="External"/><Relationship Id="rId305" Type="http://schemas.openxmlformats.org/officeDocument/2006/relationships/hyperlink" Target="https://doi.org/10.1021/acsami.5b07545" TargetMode="External"/><Relationship Id="rId347" Type="http://schemas.openxmlformats.org/officeDocument/2006/relationships/hyperlink" Target="https://doi.org/10.1016/j.seppur.2023.124580" TargetMode="External"/><Relationship Id="rId44" Type="http://schemas.openxmlformats.org/officeDocument/2006/relationships/hyperlink" Target="https://doi.org/10.1016/j.apenergy.2014.09.057" TargetMode="External"/><Relationship Id="rId86" Type="http://schemas.openxmlformats.org/officeDocument/2006/relationships/hyperlink" Target="https://doi.org/10.1016/j.seppur.2024.126735" TargetMode="External"/><Relationship Id="rId151" Type="http://schemas.openxmlformats.org/officeDocument/2006/relationships/hyperlink" Target="https://doi.org/10.1016/j.jece.2021.106709" TargetMode="External"/><Relationship Id="rId389" Type="http://schemas.openxmlformats.org/officeDocument/2006/relationships/hyperlink" Target="https://doi.org/10.1016/j.cej.2024.150025" TargetMode="External"/><Relationship Id="rId193" Type="http://schemas.openxmlformats.org/officeDocument/2006/relationships/hyperlink" Target="https://doi.org/10.1016/j.seppur.2024.126735" TargetMode="External"/><Relationship Id="rId207" Type="http://schemas.openxmlformats.org/officeDocument/2006/relationships/hyperlink" Target="https://doi.org/10.1016/j.seppur.2024.126735" TargetMode="External"/><Relationship Id="rId249" Type="http://schemas.openxmlformats.org/officeDocument/2006/relationships/hyperlink" Target="http://doi.org/10.1002/cssc.201800438" TargetMode="External"/><Relationship Id="rId414" Type="http://schemas.openxmlformats.org/officeDocument/2006/relationships/hyperlink" Target="https://doi.org/10.1016/j.energy.2020.119093" TargetMode="External"/><Relationship Id="rId13" Type="http://schemas.openxmlformats.org/officeDocument/2006/relationships/hyperlink" Target="https://doi.org/10.1016/j.seppur.2023.124346" TargetMode="External"/><Relationship Id="rId109" Type="http://schemas.openxmlformats.org/officeDocument/2006/relationships/hyperlink" Target="https://doi.org/10.1016/j.seppur.2024.126735" TargetMode="External"/><Relationship Id="rId260" Type="http://schemas.openxmlformats.org/officeDocument/2006/relationships/hyperlink" Target="http://doi.org/10.1002/cssc.201800438" TargetMode="External"/><Relationship Id="rId316" Type="http://schemas.openxmlformats.org/officeDocument/2006/relationships/hyperlink" Target="http://dx.doi.org/10.1021/acs.chemmater.9b01474" TargetMode="External"/><Relationship Id="rId55" Type="http://schemas.openxmlformats.org/officeDocument/2006/relationships/hyperlink" Target="https://doi.org/10.1016/j.apenergy.2014.09.057" TargetMode="External"/><Relationship Id="rId97" Type="http://schemas.openxmlformats.org/officeDocument/2006/relationships/hyperlink" Target="https://doi.org/10.1016/j.seppur.2024.126735" TargetMode="External"/><Relationship Id="rId120" Type="http://schemas.openxmlformats.org/officeDocument/2006/relationships/hyperlink" Target="https://doi.org/10.1016/j.seppur.2024.126735" TargetMode="External"/><Relationship Id="rId358" Type="http://schemas.openxmlformats.org/officeDocument/2006/relationships/hyperlink" Target="https://doi.org/10.1016/j.seppur.2014.01.048" TargetMode="External"/><Relationship Id="rId162" Type="http://schemas.openxmlformats.org/officeDocument/2006/relationships/hyperlink" Target="https://doi.org/10.1016/j.jece.2021.106709" TargetMode="External"/><Relationship Id="rId218" Type="http://schemas.openxmlformats.org/officeDocument/2006/relationships/hyperlink" Target="http://doi.org/10.1002/cssc.201800438" TargetMode="External"/><Relationship Id="rId425" Type="http://schemas.openxmlformats.org/officeDocument/2006/relationships/hyperlink" Target="https://doi.org/10.1021/jacsau.2c00553" TargetMode="External"/><Relationship Id="rId271" Type="http://schemas.openxmlformats.org/officeDocument/2006/relationships/hyperlink" Target="https://doi.org/10.1016/j.cej.2021.131875" TargetMode="External"/><Relationship Id="rId24" Type="http://schemas.openxmlformats.org/officeDocument/2006/relationships/hyperlink" Target="https://doi.org/10.1016/j.seppur.2023.124346" TargetMode="External"/><Relationship Id="rId66" Type="http://schemas.openxmlformats.org/officeDocument/2006/relationships/hyperlink" Target="https://doi.org/10.1016/j.seppur.2024.126735" TargetMode="External"/><Relationship Id="rId131" Type="http://schemas.openxmlformats.org/officeDocument/2006/relationships/hyperlink" Target="https://dx.doi.org/10.1021/acssuschemeng.0c03706" TargetMode="External"/><Relationship Id="rId327" Type="http://schemas.openxmlformats.org/officeDocument/2006/relationships/hyperlink" Target="https://doi.org/10.1021/acsenvironau.3c00010" TargetMode="External"/><Relationship Id="rId369" Type="http://schemas.openxmlformats.org/officeDocument/2006/relationships/hyperlink" Target="https://doi.org/10.1016/j.cej.2024.150025" TargetMode="External"/><Relationship Id="rId173" Type="http://schemas.openxmlformats.org/officeDocument/2006/relationships/hyperlink" Target="https://doi.org/10.1021/acs.iecr.9b02742" TargetMode="External"/><Relationship Id="rId229" Type="http://schemas.openxmlformats.org/officeDocument/2006/relationships/hyperlink" Target="http://doi.org/10.1002/cssc.201800438" TargetMode="External"/><Relationship Id="rId380" Type="http://schemas.openxmlformats.org/officeDocument/2006/relationships/hyperlink" Target="https://doi.org/10.1016/j.cej.2024.150025" TargetMode="External"/><Relationship Id="rId436" Type="http://schemas.openxmlformats.org/officeDocument/2006/relationships/hyperlink" Target="https://doi.org/10.1021/jacsau.2c00553" TargetMode="External"/><Relationship Id="rId240" Type="http://schemas.openxmlformats.org/officeDocument/2006/relationships/hyperlink" Target="http://doi.org/10.1002/cssc.201800438" TargetMode="External"/><Relationship Id="rId35" Type="http://schemas.openxmlformats.org/officeDocument/2006/relationships/hyperlink" Target="https://doi.org/10.1016/j.seppur.2023.124346" TargetMode="External"/><Relationship Id="rId77" Type="http://schemas.openxmlformats.org/officeDocument/2006/relationships/hyperlink" Target="https://doi.org/10.1016/j.seppur.2024.126735" TargetMode="External"/><Relationship Id="rId100" Type="http://schemas.openxmlformats.org/officeDocument/2006/relationships/hyperlink" Target="https://doi.org/10.1016/j.seppur.2024.126735" TargetMode="External"/><Relationship Id="rId282" Type="http://schemas.openxmlformats.org/officeDocument/2006/relationships/hyperlink" Target="https://doi.org/10.1021/acs.iecr.2c01484" TargetMode="External"/><Relationship Id="rId338" Type="http://schemas.openxmlformats.org/officeDocument/2006/relationships/hyperlink" Target="https://doi.org/10.1021/la505037f" TargetMode="External"/><Relationship Id="rId8" Type="http://schemas.openxmlformats.org/officeDocument/2006/relationships/hyperlink" Target="https://doi.org/10.1016/j.seppur.2023.124346" TargetMode="External"/><Relationship Id="rId142" Type="http://schemas.openxmlformats.org/officeDocument/2006/relationships/hyperlink" Target="https://doi.org/10.1016/j.jece.2021.106709" TargetMode="External"/><Relationship Id="rId184" Type="http://schemas.openxmlformats.org/officeDocument/2006/relationships/hyperlink" Target="https://doi.org/10.1016/j.seppur.2024.126735" TargetMode="External"/><Relationship Id="rId391" Type="http://schemas.openxmlformats.org/officeDocument/2006/relationships/hyperlink" Target="https://doi.org/10.1016/j.cej.2024.150025" TargetMode="External"/><Relationship Id="rId405" Type="http://schemas.openxmlformats.org/officeDocument/2006/relationships/hyperlink" Target="https://doi.org/10.1016/j.cej.2021.131875" TargetMode="External"/><Relationship Id="rId251" Type="http://schemas.openxmlformats.org/officeDocument/2006/relationships/hyperlink" Target="http://doi.org/10.1002/cssc.201800438" TargetMode="External"/><Relationship Id="rId46" Type="http://schemas.openxmlformats.org/officeDocument/2006/relationships/hyperlink" Target="https://doi.org/10.1016/j.apenergy.2014.09.057" TargetMode="External"/><Relationship Id="rId293" Type="http://schemas.openxmlformats.org/officeDocument/2006/relationships/hyperlink" Target="https://doi.org/10.1021/acsami.5b07545" TargetMode="External"/><Relationship Id="rId307" Type="http://schemas.openxmlformats.org/officeDocument/2006/relationships/hyperlink" Target="https://doi.org/10.1021/acsami.5b07545" TargetMode="External"/><Relationship Id="rId349" Type="http://schemas.openxmlformats.org/officeDocument/2006/relationships/hyperlink" Target="https://doi.org/10.1021/acsami.5b07545" TargetMode="External"/><Relationship Id="rId88" Type="http://schemas.openxmlformats.org/officeDocument/2006/relationships/hyperlink" Target="https://doi.org/10.1016/j.seppur.2024.126735" TargetMode="External"/><Relationship Id="rId111" Type="http://schemas.openxmlformats.org/officeDocument/2006/relationships/hyperlink" Target="https://doi.org/10.1016/j.seppur.2024.126735" TargetMode="External"/><Relationship Id="rId153" Type="http://schemas.openxmlformats.org/officeDocument/2006/relationships/hyperlink" Target="https://doi.org/10.1016/j.jece.2021.106709" TargetMode="External"/><Relationship Id="rId195" Type="http://schemas.openxmlformats.org/officeDocument/2006/relationships/hyperlink" Target="https://doi.org/10.1016/j.seppur.2024.126735" TargetMode="External"/><Relationship Id="rId209" Type="http://schemas.openxmlformats.org/officeDocument/2006/relationships/hyperlink" Target="https://doi.org/10.1016/j.seppur.2024.126735" TargetMode="External"/><Relationship Id="rId360" Type="http://schemas.openxmlformats.org/officeDocument/2006/relationships/hyperlink" Target="https://doi.org/10.1016/j.seppur.2014.01.048" TargetMode="External"/><Relationship Id="rId416" Type="http://schemas.openxmlformats.org/officeDocument/2006/relationships/hyperlink" Target="https://dx.doi.org/10.1021/acssuschemeng.0c03706" TargetMode="External"/><Relationship Id="rId220" Type="http://schemas.openxmlformats.org/officeDocument/2006/relationships/hyperlink" Target="http://doi.org/10.1002/cssc.201800438" TargetMode="External"/><Relationship Id="rId15" Type="http://schemas.openxmlformats.org/officeDocument/2006/relationships/hyperlink" Target="https://doi.org/10.1016/j.seppur.2023.124346" TargetMode="External"/><Relationship Id="rId57" Type="http://schemas.openxmlformats.org/officeDocument/2006/relationships/hyperlink" Target="https://doi.org/10.1016/j.apenergy.2014.09.057" TargetMode="External"/><Relationship Id="rId262" Type="http://schemas.openxmlformats.org/officeDocument/2006/relationships/hyperlink" Target="http://doi.org/10.1002/cssc.201800438" TargetMode="External"/><Relationship Id="rId318" Type="http://schemas.openxmlformats.org/officeDocument/2006/relationships/hyperlink" Target="https://doi.org/10.1021/acsenvironau.3c00010" TargetMode="External"/><Relationship Id="rId99" Type="http://schemas.openxmlformats.org/officeDocument/2006/relationships/hyperlink" Target="https://doi.org/10.1016/j.seppur.2024.126735" TargetMode="External"/><Relationship Id="rId122" Type="http://schemas.openxmlformats.org/officeDocument/2006/relationships/hyperlink" Target="https://doi.org/10.1016/j.seppur.2024.126735" TargetMode="External"/><Relationship Id="rId164" Type="http://schemas.openxmlformats.org/officeDocument/2006/relationships/hyperlink" Target="https://doi.org/10.1016/j.jece.2021.106709" TargetMode="External"/><Relationship Id="rId371" Type="http://schemas.openxmlformats.org/officeDocument/2006/relationships/hyperlink" Target="https://doi.org/10.1016/j.cej.2024.150025" TargetMode="External"/><Relationship Id="rId427" Type="http://schemas.openxmlformats.org/officeDocument/2006/relationships/hyperlink" Target="https://doi.org/10.1016/j.fuel.2023.128874" TargetMode="External"/><Relationship Id="rId26" Type="http://schemas.openxmlformats.org/officeDocument/2006/relationships/hyperlink" Target="https://doi.org/10.1016/j.seppur.2023.124346" TargetMode="External"/><Relationship Id="rId231" Type="http://schemas.openxmlformats.org/officeDocument/2006/relationships/hyperlink" Target="http://doi.org/10.1002/cssc.201800438" TargetMode="External"/><Relationship Id="rId273" Type="http://schemas.openxmlformats.org/officeDocument/2006/relationships/hyperlink" Target="https://doi.org/10.1021/acs.iecr.2c01484" TargetMode="External"/><Relationship Id="rId329" Type="http://schemas.openxmlformats.org/officeDocument/2006/relationships/hyperlink" Target="https://doi.org/10.1021/acsenvironau.3c00010" TargetMode="External"/><Relationship Id="rId68" Type="http://schemas.openxmlformats.org/officeDocument/2006/relationships/hyperlink" Target="https://doi.org/10.1016/j.seppur.2024.126735" TargetMode="External"/><Relationship Id="rId133" Type="http://schemas.openxmlformats.org/officeDocument/2006/relationships/hyperlink" Target="https://doi.org/10.1021/jacs.7b00235" TargetMode="External"/><Relationship Id="rId175" Type="http://schemas.openxmlformats.org/officeDocument/2006/relationships/hyperlink" Target="https://doi.org/10.1021/acs.iecr.9b02742" TargetMode="External"/><Relationship Id="rId340" Type="http://schemas.openxmlformats.org/officeDocument/2006/relationships/hyperlink" Target="https://doi.org/10.1021/la505037f" TargetMode="External"/><Relationship Id="rId200" Type="http://schemas.openxmlformats.org/officeDocument/2006/relationships/hyperlink" Target="https://doi.org/10.1016/j.seppur.2024.126735" TargetMode="External"/><Relationship Id="rId382" Type="http://schemas.openxmlformats.org/officeDocument/2006/relationships/hyperlink" Target="https://doi.org/10.1016/j.cej.2024.150025" TargetMode="External"/><Relationship Id="rId438" Type="http://schemas.openxmlformats.org/officeDocument/2006/relationships/hyperlink" Target="https://doi.org/10.1021/jacsau.2c00553" TargetMode="External"/><Relationship Id="rId242" Type="http://schemas.openxmlformats.org/officeDocument/2006/relationships/hyperlink" Target="http://doi.org/10.1002/cssc.201800438" TargetMode="External"/><Relationship Id="rId284" Type="http://schemas.openxmlformats.org/officeDocument/2006/relationships/hyperlink" Target="https://doi.org/10.1021/acs.iecr.2c01484" TargetMode="External"/><Relationship Id="rId37" Type="http://schemas.openxmlformats.org/officeDocument/2006/relationships/hyperlink" Target="https://doi.org/10.1016/j.seppur.2023.124346" TargetMode="External"/><Relationship Id="rId79" Type="http://schemas.openxmlformats.org/officeDocument/2006/relationships/hyperlink" Target="https://doi.org/10.1016/j.seppur.2024.126735" TargetMode="External"/><Relationship Id="rId102" Type="http://schemas.openxmlformats.org/officeDocument/2006/relationships/hyperlink" Target="https://doi.org/10.1016/j.seppur.2024.126735" TargetMode="External"/><Relationship Id="rId144" Type="http://schemas.openxmlformats.org/officeDocument/2006/relationships/hyperlink" Target="https://doi.org/10.1016/j.jece.2021.106709" TargetMode="External"/><Relationship Id="rId90" Type="http://schemas.openxmlformats.org/officeDocument/2006/relationships/hyperlink" Target="https://doi.org/10.1016/j.seppur.2024.126735" TargetMode="External"/><Relationship Id="rId186" Type="http://schemas.openxmlformats.org/officeDocument/2006/relationships/hyperlink" Target="https://doi.org/10.1016/j.seppur.2024.126735" TargetMode="External"/><Relationship Id="rId351" Type="http://schemas.openxmlformats.org/officeDocument/2006/relationships/hyperlink" Target="https://doi.org/10.1016/j.micromeso.2022.111956" TargetMode="External"/><Relationship Id="rId393" Type="http://schemas.openxmlformats.org/officeDocument/2006/relationships/hyperlink" Target="https://doi.org/10.1016/j.cej.2024.150025" TargetMode="External"/><Relationship Id="rId407" Type="http://schemas.openxmlformats.org/officeDocument/2006/relationships/hyperlink" Target="http://dx.doi.org/10.1016/j.fuel.2013.12.018" TargetMode="External"/><Relationship Id="rId211" Type="http://schemas.openxmlformats.org/officeDocument/2006/relationships/hyperlink" Target="https://doi.org/10.1016/j.seppur.2024.126735" TargetMode="External"/><Relationship Id="rId253" Type="http://schemas.openxmlformats.org/officeDocument/2006/relationships/hyperlink" Target="http://doi.org/10.1002/cssc.201800438" TargetMode="External"/><Relationship Id="rId295" Type="http://schemas.openxmlformats.org/officeDocument/2006/relationships/hyperlink" Target="https://doi.org/10.1021/acsami.5b07545" TargetMode="External"/><Relationship Id="rId309" Type="http://schemas.openxmlformats.org/officeDocument/2006/relationships/hyperlink" Target="https://doi.org/10.1021/acsami.5b07545" TargetMode="External"/><Relationship Id="rId48" Type="http://schemas.openxmlformats.org/officeDocument/2006/relationships/hyperlink" Target="https://doi.org/10.1016/j.apenergy.2014.09.057" TargetMode="External"/><Relationship Id="rId113" Type="http://schemas.openxmlformats.org/officeDocument/2006/relationships/hyperlink" Target="https://doi.org/10.1016/j.seppur.2024.126735" TargetMode="External"/><Relationship Id="rId320" Type="http://schemas.openxmlformats.org/officeDocument/2006/relationships/hyperlink" Target="https://doi.org/10.1021/acsenvironau.3c00010" TargetMode="External"/><Relationship Id="rId155" Type="http://schemas.openxmlformats.org/officeDocument/2006/relationships/hyperlink" Target="https://doi.org/10.1016/j.jece.2021.106709" TargetMode="External"/><Relationship Id="rId197" Type="http://schemas.openxmlformats.org/officeDocument/2006/relationships/hyperlink" Target="https://doi.org/10.1016/j.seppur.2024.126735" TargetMode="External"/><Relationship Id="rId362" Type="http://schemas.openxmlformats.org/officeDocument/2006/relationships/hyperlink" Target="https://doi.org/10.1016/j.cej.2024.150025" TargetMode="External"/><Relationship Id="rId418" Type="http://schemas.openxmlformats.org/officeDocument/2006/relationships/hyperlink" Target="https://doi.org/10.1021/jacsau.2c00553" TargetMode="External"/><Relationship Id="rId222" Type="http://schemas.openxmlformats.org/officeDocument/2006/relationships/hyperlink" Target="http://doi.org/10.1002/cssc.201800438" TargetMode="External"/><Relationship Id="rId264" Type="http://schemas.openxmlformats.org/officeDocument/2006/relationships/hyperlink" Target="http://doi.org/10.1002/cssc.201800438" TargetMode="External"/><Relationship Id="rId17" Type="http://schemas.openxmlformats.org/officeDocument/2006/relationships/hyperlink" Target="https://doi.org/10.1016/j.seppur.2023.124346" TargetMode="External"/><Relationship Id="rId59" Type="http://schemas.openxmlformats.org/officeDocument/2006/relationships/hyperlink" Target="https://doi.org/10.1016/j.apenergy.2014.09.057" TargetMode="External"/><Relationship Id="rId124" Type="http://schemas.openxmlformats.org/officeDocument/2006/relationships/hyperlink" Target="https://doi.org/10.1021/acsami.5b07545" TargetMode="External"/><Relationship Id="rId70" Type="http://schemas.openxmlformats.org/officeDocument/2006/relationships/hyperlink" Target="https://doi.org/10.1016/j.seppur.2024.126735" TargetMode="External"/><Relationship Id="rId166" Type="http://schemas.openxmlformats.org/officeDocument/2006/relationships/hyperlink" Target="https://doi.org/10.1016/j.jece.2021.106709" TargetMode="External"/><Relationship Id="rId331" Type="http://schemas.openxmlformats.org/officeDocument/2006/relationships/hyperlink" Target="https://doi.org/10.1021/acsenvironau.3c00010" TargetMode="External"/><Relationship Id="rId373" Type="http://schemas.openxmlformats.org/officeDocument/2006/relationships/hyperlink" Target="https://doi.org/10.1016/j.cej.2024.150025" TargetMode="External"/><Relationship Id="rId429" Type="http://schemas.openxmlformats.org/officeDocument/2006/relationships/hyperlink" Target="https://doi.org/10.1021/jacsau.2c00553" TargetMode="External"/><Relationship Id="rId1" Type="http://schemas.openxmlformats.org/officeDocument/2006/relationships/hyperlink" Target="https://doi.org/10.1016/j.seppur.2023.124346" TargetMode="External"/><Relationship Id="rId233" Type="http://schemas.openxmlformats.org/officeDocument/2006/relationships/hyperlink" Target="http://doi.org/10.1002/cssc.201800438" TargetMode="External"/><Relationship Id="rId440" Type="http://schemas.openxmlformats.org/officeDocument/2006/relationships/hyperlink" Target="https://doi.org/10.1021/jacsau.2c00553" TargetMode="External"/><Relationship Id="rId28" Type="http://schemas.openxmlformats.org/officeDocument/2006/relationships/hyperlink" Target="https://doi.org/10.1016/j.seppur.2023.124346" TargetMode="External"/><Relationship Id="rId275" Type="http://schemas.openxmlformats.org/officeDocument/2006/relationships/hyperlink" Target="https://doi.org/10.1021/acs.iecr.2c01484" TargetMode="External"/><Relationship Id="rId300" Type="http://schemas.openxmlformats.org/officeDocument/2006/relationships/hyperlink" Target="https://doi.org/10.1021/acsami.5b07545" TargetMode="External"/><Relationship Id="rId81" Type="http://schemas.openxmlformats.org/officeDocument/2006/relationships/hyperlink" Target="https://doi.org/10.1016/j.seppur.2024.126735" TargetMode="External"/><Relationship Id="rId135" Type="http://schemas.openxmlformats.org/officeDocument/2006/relationships/hyperlink" Target="https://doi.org/10.1021/jacs.7b00235" TargetMode="External"/><Relationship Id="rId177" Type="http://schemas.openxmlformats.org/officeDocument/2006/relationships/hyperlink" Target="https://doi.org/10.1021/acs.iecr.9b02742" TargetMode="External"/><Relationship Id="rId342" Type="http://schemas.openxmlformats.org/officeDocument/2006/relationships/hyperlink" Target="https://doi.org/10.1246/bcsj.20160286" TargetMode="External"/><Relationship Id="rId384" Type="http://schemas.openxmlformats.org/officeDocument/2006/relationships/hyperlink" Target="https://doi.org/10.1016/j.cej.2024.150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3D98-CFAC-471D-9F74-53DA6B184023}">
  <dimension ref="A1:AE1337"/>
  <sheetViews>
    <sheetView tabSelected="1" zoomScale="65" zoomScaleNormal="65" workbookViewId="0">
      <selection activeCell="C1" sqref="C1"/>
    </sheetView>
  </sheetViews>
  <sheetFormatPr defaultColWidth="8.77734375" defaultRowHeight="13.2"/>
  <cols>
    <col min="1" max="1" width="18" style="27" customWidth="1"/>
    <col min="2" max="2" width="11.77734375" style="27" customWidth="1"/>
    <col min="3" max="3" width="12.109375" style="27" customWidth="1"/>
    <col min="4" max="4" width="8.6640625" style="66" customWidth="1"/>
    <col min="5" max="5" width="10.109375" style="15" customWidth="1"/>
    <col min="6" max="6" width="17" style="67" customWidth="1"/>
    <col min="7" max="7" width="7.77734375" style="27" customWidth="1"/>
    <col min="8" max="8" width="9.109375" style="27" customWidth="1"/>
    <col min="9" max="9" width="8.77734375" style="27" customWidth="1"/>
    <col min="10" max="10" width="9.33203125" style="27" customWidth="1"/>
    <col min="11" max="11" width="7.44140625" style="27" customWidth="1"/>
    <col min="12" max="12" width="14.44140625" style="66" customWidth="1"/>
    <col min="13" max="13" width="14" style="27" customWidth="1"/>
    <col min="14" max="14" width="9.44140625" style="21" customWidth="1"/>
    <col min="15" max="15" width="8.77734375" style="15" customWidth="1"/>
    <col min="16" max="16" width="9.6640625" style="27" bestFit="1" customWidth="1"/>
    <col min="17" max="17" width="8.77734375" style="27" customWidth="1"/>
    <col min="18" max="18" width="13.44140625" style="27" customWidth="1"/>
    <col min="19" max="19" width="14" style="27" customWidth="1"/>
    <col min="20" max="20" width="9.44140625" style="27" customWidth="1"/>
    <col min="21" max="21" width="9.77734375" style="67" customWidth="1"/>
    <col min="22" max="22" width="8.6640625" style="68" customWidth="1"/>
    <col min="23" max="23" width="7.6640625" style="68" customWidth="1"/>
    <col min="24" max="24" width="8.109375" style="27" customWidth="1"/>
    <col min="25" max="25" width="9.44140625" style="27" customWidth="1"/>
    <col min="26" max="26" width="8.77734375" style="27" customWidth="1"/>
    <col min="27" max="28" width="8.109375" style="27" customWidth="1"/>
    <col min="29" max="29" width="45" style="27" customWidth="1"/>
    <col min="586" max="586" width="8.77734375" customWidth="1"/>
  </cols>
  <sheetData>
    <row r="1" spans="1:30" s="34" customFormat="1" ht="66" customHeight="1" thickBot="1">
      <c r="A1" s="19" t="s">
        <v>185</v>
      </c>
      <c r="B1" s="28" t="s">
        <v>259</v>
      </c>
      <c r="C1" s="28" t="s">
        <v>271</v>
      </c>
      <c r="D1" s="29" t="s">
        <v>279</v>
      </c>
      <c r="E1" s="11" t="s">
        <v>302</v>
      </c>
      <c r="F1" s="30" t="s">
        <v>284</v>
      </c>
      <c r="G1" s="28" t="s">
        <v>258</v>
      </c>
      <c r="H1" s="28" t="s">
        <v>296</v>
      </c>
      <c r="I1" s="28" t="s">
        <v>300</v>
      </c>
      <c r="J1" s="28" t="s">
        <v>293</v>
      </c>
      <c r="K1" s="28" t="s">
        <v>243</v>
      </c>
      <c r="L1" s="29" t="s">
        <v>294</v>
      </c>
      <c r="M1" s="28" t="s">
        <v>295</v>
      </c>
      <c r="N1" s="30" t="s">
        <v>297</v>
      </c>
      <c r="O1" s="16" t="s">
        <v>298</v>
      </c>
      <c r="P1" s="28" t="s">
        <v>282</v>
      </c>
      <c r="Q1" s="28" t="s">
        <v>301</v>
      </c>
      <c r="R1" s="28" t="s">
        <v>287</v>
      </c>
      <c r="S1" s="28" t="s">
        <v>285</v>
      </c>
      <c r="T1" s="28" t="s">
        <v>299</v>
      </c>
      <c r="U1" s="30" t="s">
        <v>278</v>
      </c>
      <c r="V1" s="31" t="s">
        <v>288</v>
      </c>
      <c r="W1" s="31" t="s">
        <v>277</v>
      </c>
      <c r="X1" s="19" t="s">
        <v>289</v>
      </c>
      <c r="Y1" s="19" t="s">
        <v>290</v>
      </c>
      <c r="Z1" s="19" t="s">
        <v>291</v>
      </c>
      <c r="AA1" s="19" t="s">
        <v>52</v>
      </c>
      <c r="AB1" s="32" t="s">
        <v>292</v>
      </c>
      <c r="AC1" s="33" t="s">
        <v>286</v>
      </c>
    </row>
    <row r="2" spans="1:30">
      <c r="A2" s="35" t="s">
        <v>7</v>
      </c>
      <c r="B2" s="35" t="s">
        <v>180</v>
      </c>
      <c r="C2" s="35" t="s">
        <v>60</v>
      </c>
      <c r="D2" s="36">
        <v>600</v>
      </c>
      <c r="E2" s="12">
        <v>25</v>
      </c>
      <c r="F2" s="21">
        <f>E2*14*10/600</f>
        <v>5.833333333333333</v>
      </c>
      <c r="G2" s="35">
        <v>0</v>
      </c>
      <c r="H2" s="35">
        <v>0</v>
      </c>
      <c r="I2" s="35">
        <v>0</v>
      </c>
      <c r="J2" s="35">
        <f>0/1</f>
        <v>0</v>
      </c>
      <c r="K2" s="35">
        <v>0</v>
      </c>
      <c r="L2" s="36">
        <v>643.03</v>
      </c>
      <c r="M2" s="21">
        <v>1.1440999999999999</v>
      </c>
      <c r="N2" s="21">
        <v>7.1169307808344868</v>
      </c>
      <c r="O2" s="17">
        <v>0</v>
      </c>
      <c r="P2" s="35">
        <v>0.04</v>
      </c>
      <c r="Q2" s="35">
        <v>100</v>
      </c>
      <c r="R2" s="35">
        <v>350</v>
      </c>
      <c r="S2" s="35">
        <v>25</v>
      </c>
      <c r="T2" s="35">
        <v>0.72</v>
      </c>
      <c r="U2" s="21">
        <f t="shared" ref="U2:U13" si="0">T2/F2</f>
        <v>0.12342857142857143</v>
      </c>
      <c r="V2" s="37">
        <v>17</v>
      </c>
      <c r="W2" s="37">
        <v>61</v>
      </c>
      <c r="X2" s="38">
        <v>90</v>
      </c>
      <c r="Y2" s="20">
        <v>0.10306622004637989</v>
      </c>
      <c r="Z2" s="21">
        <v>-1.4</v>
      </c>
      <c r="AA2" s="35">
        <v>10</v>
      </c>
      <c r="AB2" s="35" t="s">
        <v>1</v>
      </c>
      <c r="AC2" s="1" t="s">
        <v>10</v>
      </c>
      <c r="AD2" t="s">
        <v>0</v>
      </c>
    </row>
    <row r="3" spans="1:30">
      <c r="A3" s="35" t="s">
        <v>7</v>
      </c>
      <c r="B3" s="35" t="s">
        <v>180</v>
      </c>
      <c r="C3" s="35" t="s">
        <v>60</v>
      </c>
      <c r="D3" s="36">
        <v>600</v>
      </c>
      <c r="E3" s="12">
        <v>25</v>
      </c>
      <c r="F3" s="21">
        <f>E3*14*10/600</f>
        <v>5.833333333333333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6">
        <v>643.03</v>
      </c>
      <c r="M3" s="21">
        <v>1.1440999999999999</v>
      </c>
      <c r="N3" s="21">
        <v>7.1169307808344868</v>
      </c>
      <c r="O3" s="17">
        <v>0</v>
      </c>
      <c r="P3" s="35">
        <v>0.04</v>
      </c>
      <c r="Q3" s="35">
        <v>100</v>
      </c>
      <c r="R3" s="35">
        <v>350</v>
      </c>
      <c r="S3" s="35">
        <v>25</v>
      </c>
      <c r="T3" s="35">
        <v>0.72</v>
      </c>
      <c r="U3" s="21">
        <f t="shared" si="0"/>
        <v>0.12342857142857143</v>
      </c>
      <c r="V3" s="37">
        <v>17</v>
      </c>
      <c r="W3" s="37">
        <v>61</v>
      </c>
      <c r="X3" s="38">
        <v>110</v>
      </c>
      <c r="Y3" s="22">
        <v>0.25974025974026571</v>
      </c>
      <c r="Z3" s="21">
        <v>-5</v>
      </c>
      <c r="AA3" s="35">
        <v>10</v>
      </c>
      <c r="AB3" s="35" t="s">
        <v>1</v>
      </c>
      <c r="AC3" s="1" t="s">
        <v>10</v>
      </c>
    </row>
    <row r="4" spans="1:30">
      <c r="A4" s="35" t="s">
        <v>7</v>
      </c>
      <c r="B4" s="35" t="s">
        <v>180</v>
      </c>
      <c r="C4" s="35" t="s">
        <v>61</v>
      </c>
      <c r="D4" s="36">
        <v>600</v>
      </c>
      <c r="E4" s="12">
        <v>50</v>
      </c>
      <c r="F4" s="21">
        <f t="shared" ref="F4:F17" si="1">E4*14*10/600</f>
        <v>11.666666666666666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6">
        <v>643.03</v>
      </c>
      <c r="M4" s="21">
        <v>1.1440999999999999</v>
      </c>
      <c r="N4" s="21">
        <v>7.1169307808344868</v>
      </c>
      <c r="O4" s="17">
        <v>0</v>
      </c>
      <c r="P4" s="35">
        <v>0.04</v>
      </c>
      <c r="Q4" s="35">
        <v>100</v>
      </c>
      <c r="R4" s="35">
        <v>350</v>
      </c>
      <c r="S4" s="35">
        <v>-5</v>
      </c>
      <c r="T4" s="21">
        <v>1.147</v>
      </c>
      <c r="U4" s="21">
        <f t="shared" si="0"/>
        <v>9.8314285714285715E-2</v>
      </c>
      <c r="V4" s="37">
        <v>69.599999999999994</v>
      </c>
      <c r="W4" s="37">
        <v>230.9</v>
      </c>
      <c r="X4" s="38" t="s">
        <v>1</v>
      </c>
      <c r="Y4" s="23" t="s">
        <v>6</v>
      </c>
      <c r="Z4" s="21" t="s">
        <v>6</v>
      </c>
      <c r="AA4" s="35" t="s">
        <v>1</v>
      </c>
      <c r="AB4" s="35" t="s">
        <v>1</v>
      </c>
      <c r="AC4" s="1" t="s">
        <v>9</v>
      </c>
    </row>
    <row r="5" spans="1:30">
      <c r="A5" s="35" t="s">
        <v>7</v>
      </c>
      <c r="B5" s="35" t="s">
        <v>180</v>
      </c>
      <c r="C5" s="35" t="s">
        <v>61</v>
      </c>
      <c r="D5" s="36">
        <v>600</v>
      </c>
      <c r="E5" s="12">
        <v>50</v>
      </c>
      <c r="F5" s="21">
        <f t="shared" si="1"/>
        <v>11.666666666666666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6">
        <v>643.03</v>
      </c>
      <c r="M5" s="21">
        <v>1.1440999999999999</v>
      </c>
      <c r="N5" s="21">
        <v>7.1169307808344868</v>
      </c>
      <c r="O5" s="17">
        <v>0</v>
      </c>
      <c r="P5" s="35">
        <v>0.04</v>
      </c>
      <c r="Q5" s="35">
        <v>100</v>
      </c>
      <c r="R5" s="35">
        <v>350</v>
      </c>
      <c r="S5" s="35">
        <v>5</v>
      </c>
      <c r="T5" s="21">
        <v>0.89576719576719599</v>
      </c>
      <c r="U5" s="21">
        <f t="shared" si="0"/>
        <v>7.6780045351473952E-2</v>
      </c>
      <c r="V5" s="37">
        <v>26.2</v>
      </c>
      <c r="W5" s="37">
        <v>170.3</v>
      </c>
      <c r="X5" s="38" t="s">
        <v>1</v>
      </c>
      <c r="Y5" s="23" t="s">
        <v>6</v>
      </c>
      <c r="Z5" s="21" t="s">
        <v>6</v>
      </c>
      <c r="AA5" s="35" t="s">
        <v>1</v>
      </c>
      <c r="AB5" s="35" t="s">
        <v>1</v>
      </c>
      <c r="AC5" s="1" t="s">
        <v>9</v>
      </c>
    </row>
    <row r="6" spans="1:30">
      <c r="A6" s="35" t="s">
        <v>7</v>
      </c>
      <c r="B6" s="35" t="s">
        <v>180</v>
      </c>
      <c r="C6" s="35" t="s">
        <v>61</v>
      </c>
      <c r="D6" s="36">
        <v>600</v>
      </c>
      <c r="E6" s="12">
        <v>50</v>
      </c>
      <c r="F6" s="21">
        <f t="shared" si="1"/>
        <v>11.666666666666666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6">
        <v>643.03</v>
      </c>
      <c r="M6" s="21">
        <v>1.1440999999999999</v>
      </c>
      <c r="N6" s="21">
        <v>7.1169307808344868</v>
      </c>
      <c r="O6" s="17">
        <v>0</v>
      </c>
      <c r="P6" s="35">
        <v>0.04</v>
      </c>
      <c r="Q6" s="35">
        <v>100</v>
      </c>
      <c r="R6" s="35">
        <v>350</v>
      </c>
      <c r="S6" s="35">
        <v>15</v>
      </c>
      <c r="T6" s="21">
        <v>1.0925925925925899</v>
      </c>
      <c r="U6" s="21">
        <f t="shared" si="0"/>
        <v>9.3650793650793429E-2</v>
      </c>
      <c r="V6" s="37">
        <v>22.09</v>
      </c>
      <c r="W6" s="37">
        <v>122.3</v>
      </c>
      <c r="X6" s="38" t="s">
        <v>1</v>
      </c>
      <c r="Y6" s="23" t="s">
        <v>6</v>
      </c>
      <c r="Z6" s="21" t="s">
        <v>6</v>
      </c>
      <c r="AA6" s="35" t="s">
        <v>1</v>
      </c>
      <c r="AB6" s="35" t="s">
        <v>1</v>
      </c>
      <c r="AC6" s="1" t="s">
        <v>9</v>
      </c>
    </row>
    <row r="7" spans="1:30">
      <c r="A7" s="35" t="s">
        <v>7</v>
      </c>
      <c r="B7" s="35" t="s">
        <v>180</v>
      </c>
      <c r="C7" s="35" t="s">
        <v>61</v>
      </c>
      <c r="D7" s="36">
        <v>600</v>
      </c>
      <c r="E7" s="12">
        <v>50</v>
      </c>
      <c r="F7" s="21">
        <f t="shared" si="1"/>
        <v>11.666666666666666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6">
        <v>643.03</v>
      </c>
      <c r="M7" s="21">
        <v>1.1440999999999999</v>
      </c>
      <c r="N7" s="21">
        <v>7.1169307808344868</v>
      </c>
      <c r="O7" s="17">
        <v>0</v>
      </c>
      <c r="P7" s="35">
        <v>0.04</v>
      </c>
      <c r="Q7" s="35">
        <v>100</v>
      </c>
      <c r="R7" s="35">
        <v>350</v>
      </c>
      <c r="S7" s="35">
        <v>25</v>
      </c>
      <c r="T7" s="21">
        <v>1.2153439153439101</v>
      </c>
      <c r="U7" s="21">
        <f t="shared" si="0"/>
        <v>0.10417233560090658</v>
      </c>
      <c r="V7" s="37">
        <v>20.5</v>
      </c>
      <c r="W7" s="37">
        <v>131.02000000000001</v>
      </c>
      <c r="X7" s="38">
        <v>90</v>
      </c>
      <c r="Y7" s="23">
        <v>0.48192771084338454</v>
      </c>
      <c r="Z7" s="21">
        <v>0.5</v>
      </c>
      <c r="AA7" s="35">
        <v>10</v>
      </c>
      <c r="AB7" s="35" t="s">
        <v>1</v>
      </c>
      <c r="AC7" s="1" t="s">
        <v>9</v>
      </c>
    </row>
    <row r="8" spans="1:30">
      <c r="A8" s="35" t="s">
        <v>7</v>
      </c>
      <c r="B8" s="35" t="s">
        <v>180</v>
      </c>
      <c r="C8" s="35" t="s">
        <v>61</v>
      </c>
      <c r="D8" s="36">
        <v>600</v>
      </c>
      <c r="E8" s="12">
        <v>50</v>
      </c>
      <c r="F8" s="21">
        <f t="shared" si="1"/>
        <v>11.666666666666666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6">
        <v>643.03</v>
      </c>
      <c r="M8" s="21">
        <v>1.1440999999999999</v>
      </c>
      <c r="N8" s="21">
        <v>7.1169307808344868</v>
      </c>
      <c r="O8" s="17">
        <v>0</v>
      </c>
      <c r="P8" s="35">
        <v>0.04</v>
      </c>
      <c r="Q8" s="35">
        <v>100</v>
      </c>
      <c r="R8" s="35">
        <v>350</v>
      </c>
      <c r="S8" s="35">
        <v>25</v>
      </c>
      <c r="T8" s="21">
        <v>1.2153439153439101</v>
      </c>
      <c r="U8" s="21">
        <f t="shared" si="0"/>
        <v>0.10417233560090658</v>
      </c>
      <c r="V8" s="37">
        <v>20.5</v>
      </c>
      <c r="W8" s="37">
        <v>131.02000000000001</v>
      </c>
      <c r="X8" s="38">
        <v>110</v>
      </c>
      <c r="Y8" s="22">
        <v>0.61224489795918868</v>
      </c>
      <c r="Z8" s="21">
        <v>2.12</v>
      </c>
      <c r="AA8" s="35">
        <v>10</v>
      </c>
      <c r="AB8" s="35" t="s">
        <v>1</v>
      </c>
      <c r="AC8" s="1" t="s">
        <v>9</v>
      </c>
    </row>
    <row r="9" spans="1:30">
      <c r="A9" s="35" t="s">
        <v>7</v>
      </c>
      <c r="B9" s="35" t="s">
        <v>180</v>
      </c>
      <c r="C9" s="35" t="s">
        <v>61</v>
      </c>
      <c r="D9" s="36">
        <v>600</v>
      </c>
      <c r="E9" s="12">
        <v>50</v>
      </c>
      <c r="F9" s="21">
        <f t="shared" si="1"/>
        <v>11.666666666666666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6">
        <v>643.03</v>
      </c>
      <c r="M9" s="21">
        <v>1.1440999999999999</v>
      </c>
      <c r="N9" s="21">
        <v>7.1169307808344868</v>
      </c>
      <c r="O9" s="17">
        <v>0</v>
      </c>
      <c r="P9" s="35">
        <v>0.04</v>
      </c>
      <c r="Q9" s="35">
        <v>100</v>
      </c>
      <c r="R9" s="35">
        <v>350</v>
      </c>
      <c r="S9" s="35">
        <v>35</v>
      </c>
      <c r="T9" s="21">
        <v>1.4291005291005201</v>
      </c>
      <c r="U9" s="21">
        <f t="shared" si="0"/>
        <v>0.12249433106575887</v>
      </c>
      <c r="V9" s="37">
        <v>26.41</v>
      </c>
      <c r="W9" s="37">
        <v>116.67</v>
      </c>
      <c r="X9" s="38" t="s">
        <v>1</v>
      </c>
      <c r="Y9" s="23" t="s">
        <v>6</v>
      </c>
      <c r="Z9" s="21" t="s">
        <v>6</v>
      </c>
      <c r="AA9" s="35" t="s">
        <v>1</v>
      </c>
      <c r="AB9" s="35" t="s">
        <v>1</v>
      </c>
      <c r="AC9" s="1" t="s">
        <v>9</v>
      </c>
    </row>
    <row r="10" spans="1:30">
      <c r="A10" s="35" t="s">
        <v>7</v>
      </c>
      <c r="B10" s="35" t="s">
        <v>180</v>
      </c>
      <c r="C10" s="35" t="s">
        <v>61</v>
      </c>
      <c r="D10" s="36">
        <v>600</v>
      </c>
      <c r="E10" s="12">
        <v>50</v>
      </c>
      <c r="F10" s="21">
        <f t="shared" si="1"/>
        <v>11.666666666666666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6">
        <v>643.03</v>
      </c>
      <c r="M10" s="21">
        <v>1.1440999999999999</v>
      </c>
      <c r="N10" s="21">
        <v>7.1169307808344868</v>
      </c>
      <c r="O10" s="17">
        <v>0</v>
      </c>
      <c r="P10" s="35">
        <v>0.04</v>
      </c>
      <c r="Q10" s="35">
        <v>100</v>
      </c>
      <c r="R10" s="35">
        <v>350</v>
      </c>
      <c r="S10" s="35">
        <v>45</v>
      </c>
      <c r="T10" s="21">
        <v>1.5857142857142801</v>
      </c>
      <c r="U10" s="21">
        <f t="shared" si="0"/>
        <v>0.1359183673469383</v>
      </c>
      <c r="V10" s="37">
        <v>29.3</v>
      </c>
      <c r="W10" s="37">
        <v>104</v>
      </c>
      <c r="X10" s="38" t="s">
        <v>1</v>
      </c>
      <c r="Y10" s="23" t="s">
        <v>6</v>
      </c>
      <c r="Z10" s="21" t="s">
        <v>6</v>
      </c>
      <c r="AA10" s="35" t="s">
        <v>1</v>
      </c>
      <c r="AB10" s="35" t="s">
        <v>1</v>
      </c>
      <c r="AC10" s="1" t="s">
        <v>9</v>
      </c>
    </row>
    <row r="11" spans="1:30">
      <c r="A11" s="35" t="s">
        <v>7</v>
      </c>
      <c r="B11" s="35" t="s">
        <v>180</v>
      </c>
      <c r="C11" s="35" t="s">
        <v>61</v>
      </c>
      <c r="D11" s="36">
        <v>600</v>
      </c>
      <c r="E11" s="12">
        <v>50</v>
      </c>
      <c r="F11" s="21">
        <f t="shared" si="1"/>
        <v>11.666666666666666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6">
        <v>643.03</v>
      </c>
      <c r="M11" s="21">
        <v>1.1440999999999999</v>
      </c>
      <c r="N11" s="21">
        <v>7.1169307808344868</v>
      </c>
      <c r="O11" s="17">
        <v>0</v>
      </c>
      <c r="P11" s="35">
        <v>0.04</v>
      </c>
      <c r="Q11" s="35">
        <v>100</v>
      </c>
      <c r="R11" s="35">
        <v>350</v>
      </c>
      <c r="S11" s="35">
        <v>55</v>
      </c>
      <c r="T11" s="21">
        <v>1.34867724867724</v>
      </c>
      <c r="U11" s="21">
        <f t="shared" si="0"/>
        <v>0.11560090702947773</v>
      </c>
      <c r="V11" s="37">
        <v>18.329999999999998</v>
      </c>
      <c r="W11" s="37">
        <v>60.6</v>
      </c>
      <c r="X11" s="38" t="s">
        <v>1</v>
      </c>
      <c r="Y11" s="23" t="s">
        <v>6</v>
      </c>
      <c r="Z11" s="21" t="s">
        <v>6</v>
      </c>
      <c r="AA11" s="35" t="s">
        <v>1</v>
      </c>
      <c r="AB11" s="35" t="s">
        <v>1</v>
      </c>
      <c r="AC11" s="1" t="s">
        <v>9</v>
      </c>
    </row>
    <row r="12" spans="1:30">
      <c r="A12" s="35" t="s">
        <v>7</v>
      </c>
      <c r="B12" s="35" t="s">
        <v>180</v>
      </c>
      <c r="C12" s="35" t="s">
        <v>61</v>
      </c>
      <c r="D12" s="36">
        <v>600</v>
      </c>
      <c r="E12" s="12">
        <v>50</v>
      </c>
      <c r="F12" s="21">
        <f t="shared" si="1"/>
        <v>11.666666666666666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6">
        <v>643.03</v>
      </c>
      <c r="M12" s="21">
        <v>1.1440999999999999</v>
      </c>
      <c r="N12" s="21">
        <v>7.1169307808344868</v>
      </c>
      <c r="O12" s="17">
        <v>0</v>
      </c>
      <c r="P12" s="35">
        <v>0.04</v>
      </c>
      <c r="Q12" s="35">
        <v>100</v>
      </c>
      <c r="R12" s="35">
        <v>350</v>
      </c>
      <c r="S12" s="35">
        <v>65</v>
      </c>
      <c r="T12" s="21">
        <v>1.0058201058201</v>
      </c>
      <c r="U12" s="21">
        <f t="shared" si="0"/>
        <v>8.6213151927437143E-2</v>
      </c>
      <c r="V12" s="37">
        <v>16.399999999999999</v>
      </c>
      <c r="W12" s="37">
        <v>55.14</v>
      </c>
      <c r="X12" s="38" t="s">
        <v>1</v>
      </c>
      <c r="Y12" s="23" t="s">
        <v>6</v>
      </c>
      <c r="Z12" s="21" t="s">
        <v>6</v>
      </c>
      <c r="AA12" s="35" t="s">
        <v>1</v>
      </c>
      <c r="AB12" s="35" t="s">
        <v>1</v>
      </c>
      <c r="AC12" s="1" t="s">
        <v>9</v>
      </c>
    </row>
    <row r="13" spans="1:30">
      <c r="A13" s="35" t="s">
        <v>7</v>
      </c>
      <c r="B13" s="35" t="s">
        <v>180</v>
      </c>
      <c r="C13" s="35" t="s">
        <v>61</v>
      </c>
      <c r="D13" s="36">
        <v>600</v>
      </c>
      <c r="E13" s="12">
        <v>50</v>
      </c>
      <c r="F13" s="21">
        <f t="shared" si="1"/>
        <v>11.666666666666666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6">
        <v>643.03</v>
      </c>
      <c r="M13" s="21">
        <v>1.1440999999999999</v>
      </c>
      <c r="N13" s="21">
        <v>7.1169307808344868</v>
      </c>
      <c r="O13" s="17">
        <v>0</v>
      </c>
      <c r="P13" s="35">
        <v>0.04</v>
      </c>
      <c r="Q13" s="35">
        <v>100</v>
      </c>
      <c r="R13" s="35">
        <v>350</v>
      </c>
      <c r="S13" s="35">
        <v>75</v>
      </c>
      <c r="T13" s="21">
        <v>0.31798941798941799</v>
      </c>
      <c r="U13" s="21">
        <f t="shared" si="0"/>
        <v>2.7256235827664399E-2</v>
      </c>
      <c r="V13" s="37">
        <v>6.12</v>
      </c>
      <c r="W13" s="37">
        <v>12.67</v>
      </c>
      <c r="X13" s="38" t="s">
        <v>1</v>
      </c>
      <c r="Y13" s="23" t="s">
        <v>6</v>
      </c>
      <c r="Z13" s="21" t="s">
        <v>6</v>
      </c>
      <c r="AA13" s="35" t="s">
        <v>1</v>
      </c>
      <c r="AB13" s="35" t="s">
        <v>1</v>
      </c>
      <c r="AC13" s="1" t="s">
        <v>9</v>
      </c>
    </row>
    <row r="14" spans="1:30">
      <c r="A14" s="35" t="s">
        <v>7</v>
      </c>
      <c r="B14" s="35" t="s">
        <v>180</v>
      </c>
      <c r="C14" s="35" t="s">
        <v>60</v>
      </c>
      <c r="D14" s="36">
        <v>600</v>
      </c>
      <c r="E14" s="12">
        <v>75</v>
      </c>
      <c r="F14" s="21">
        <f t="shared" si="1"/>
        <v>17.5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6">
        <v>643.03</v>
      </c>
      <c r="M14" s="21">
        <v>1.1440999999999999</v>
      </c>
      <c r="N14" s="21">
        <v>7.1169307808344868</v>
      </c>
      <c r="O14" s="17">
        <v>0</v>
      </c>
      <c r="P14" s="35">
        <v>0.04</v>
      </c>
      <c r="Q14" s="35">
        <v>100</v>
      </c>
      <c r="R14" s="35">
        <v>350</v>
      </c>
      <c r="S14" s="35">
        <v>25</v>
      </c>
      <c r="T14" s="21">
        <v>1.9</v>
      </c>
      <c r="U14" s="21">
        <f>T14/F13</f>
        <v>0.16285714285714287</v>
      </c>
      <c r="V14" s="37">
        <v>43</v>
      </c>
      <c r="W14" s="37">
        <v>221</v>
      </c>
      <c r="X14" s="38">
        <v>90</v>
      </c>
      <c r="Y14" s="22">
        <v>0.3802281368821212</v>
      </c>
      <c r="Z14" s="21">
        <v>3</v>
      </c>
      <c r="AA14" s="35">
        <v>10</v>
      </c>
      <c r="AB14" s="35" t="s">
        <v>1</v>
      </c>
      <c r="AC14" s="1" t="s">
        <v>9</v>
      </c>
    </row>
    <row r="15" spans="1:30">
      <c r="A15" s="35" t="s">
        <v>7</v>
      </c>
      <c r="B15" s="35" t="s">
        <v>180</v>
      </c>
      <c r="C15" s="35" t="s">
        <v>60</v>
      </c>
      <c r="D15" s="36">
        <v>600</v>
      </c>
      <c r="E15" s="12">
        <v>75</v>
      </c>
      <c r="F15" s="21">
        <f t="shared" si="1"/>
        <v>17.5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6">
        <v>643.03</v>
      </c>
      <c r="M15" s="21">
        <v>1.1440999999999999</v>
      </c>
      <c r="N15" s="21">
        <v>7.1169307808344868</v>
      </c>
      <c r="O15" s="17">
        <v>0</v>
      </c>
      <c r="P15" s="35">
        <v>0.04</v>
      </c>
      <c r="Q15" s="35">
        <v>100</v>
      </c>
      <c r="R15" s="35">
        <v>350</v>
      </c>
      <c r="S15" s="35">
        <v>25</v>
      </c>
      <c r="T15" s="21">
        <v>1.9</v>
      </c>
      <c r="U15" s="21">
        <f>T15/F14</f>
        <v>0.10857142857142857</v>
      </c>
      <c r="V15" s="37">
        <v>43</v>
      </c>
      <c r="W15" s="37">
        <v>221</v>
      </c>
      <c r="X15" s="38">
        <v>110</v>
      </c>
      <c r="Y15" s="22">
        <v>0.71513706793802734</v>
      </c>
      <c r="Z15" s="21">
        <v>1</v>
      </c>
      <c r="AA15" s="35">
        <v>10</v>
      </c>
      <c r="AB15" s="35" t="s">
        <v>1</v>
      </c>
      <c r="AC15" s="1" t="s">
        <v>9</v>
      </c>
    </row>
    <row r="16" spans="1:30" ht="14.55" customHeight="1">
      <c r="A16" s="35" t="s">
        <v>7</v>
      </c>
      <c r="B16" s="35" t="s">
        <v>180</v>
      </c>
      <c r="C16" s="35" t="s">
        <v>60</v>
      </c>
      <c r="D16" s="36">
        <v>600</v>
      </c>
      <c r="E16" s="12">
        <v>25</v>
      </c>
      <c r="F16" s="21">
        <f t="shared" si="1"/>
        <v>5.833333333333333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6">
        <v>643.03</v>
      </c>
      <c r="M16" s="21">
        <v>1.1440999999999999</v>
      </c>
      <c r="N16" s="21">
        <v>7.1169307808344868</v>
      </c>
      <c r="O16" s="17">
        <v>0</v>
      </c>
      <c r="P16" s="35">
        <v>0.04</v>
      </c>
      <c r="Q16" s="35">
        <v>100</v>
      </c>
      <c r="R16" s="35">
        <v>350</v>
      </c>
      <c r="S16" s="35">
        <v>25</v>
      </c>
      <c r="T16" s="21">
        <v>0.89</v>
      </c>
      <c r="U16" s="21">
        <f>T16/F15</f>
        <v>5.0857142857142858E-2</v>
      </c>
      <c r="V16" s="37">
        <v>20.2</v>
      </c>
      <c r="W16" s="37">
        <v>71.400000000000006</v>
      </c>
      <c r="X16" s="38">
        <v>90</v>
      </c>
      <c r="Y16" s="22">
        <v>0.94117647058823606</v>
      </c>
      <c r="Z16" s="21">
        <v>1.5207945375543017</v>
      </c>
      <c r="AA16" s="35">
        <v>10</v>
      </c>
      <c r="AB16" s="35" t="s">
        <v>1</v>
      </c>
      <c r="AC16" s="1" t="s">
        <v>9</v>
      </c>
    </row>
    <row r="17" spans="1:29" ht="14.55" customHeight="1">
      <c r="A17" s="35" t="s">
        <v>7</v>
      </c>
      <c r="B17" s="35" t="s">
        <v>180</v>
      </c>
      <c r="C17" s="35" t="s">
        <v>60</v>
      </c>
      <c r="D17" s="36">
        <v>600</v>
      </c>
      <c r="E17" s="12">
        <v>25</v>
      </c>
      <c r="F17" s="21">
        <f t="shared" si="1"/>
        <v>5.833333333333333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6">
        <v>643.03</v>
      </c>
      <c r="M17" s="21">
        <v>1.1440999999999999</v>
      </c>
      <c r="N17" s="21">
        <v>7.1169307808344868</v>
      </c>
      <c r="O17" s="17">
        <v>0</v>
      </c>
      <c r="P17" s="35">
        <v>0.04</v>
      </c>
      <c r="Q17" s="35">
        <v>100</v>
      </c>
      <c r="R17" s="35">
        <v>350</v>
      </c>
      <c r="S17" s="35">
        <v>25</v>
      </c>
      <c r="T17" s="21">
        <v>0.89</v>
      </c>
      <c r="U17" s="21">
        <f>T17/F16</f>
        <v>0.15257142857142858</v>
      </c>
      <c r="V17" s="37">
        <v>20.2</v>
      </c>
      <c r="W17" s="37">
        <v>71.400000000000006</v>
      </c>
      <c r="X17" s="38">
        <v>110</v>
      </c>
      <c r="Y17" s="22">
        <v>0.23201856148491387</v>
      </c>
      <c r="Z17" s="21">
        <v>3.8312141958921333</v>
      </c>
      <c r="AA17" s="35">
        <v>10</v>
      </c>
      <c r="AB17" s="35" t="s">
        <v>1</v>
      </c>
      <c r="AC17" s="1" t="s">
        <v>9</v>
      </c>
    </row>
    <row r="18" spans="1:29">
      <c r="A18" s="35" t="s">
        <v>7</v>
      </c>
      <c r="B18" s="35" t="s">
        <v>3</v>
      </c>
      <c r="C18" s="39" t="s">
        <v>66</v>
      </c>
      <c r="D18" s="36">
        <v>189</v>
      </c>
      <c r="E18" s="12">
        <v>50</v>
      </c>
      <c r="F18" s="21">
        <f t="shared" ref="F18:F30" si="2">E18*5*10/D18</f>
        <v>13.227513227513228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6">
        <v>643.03</v>
      </c>
      <c r="M18" s="21">
        <v>1.1440999999999999</v>
      </c>
      <c r="N18" s="21">
        <v>7.1169307808344868</v>
      </c>
      <c r="O18" s="17">
        <v>0</v>
      </c>
      <c r="P18" s="35">
        <v>0.04</v>
      </c>
      <c r="Q18" s="35">
        <v>100</v>
      </c>
      <c r="R18" s="35">
        <v>350</v>
      </c>
      <c r="S18" s="35">
        <v>-5</v>
      </c>
      <c r="T18" s="21">
        <v>2.28412698412698</v>
      </c>
      <c r="U18" s="21">
        <f>T18/F17</f>
        <v>0.39156462585033946</v>
      </c>
      <c r="V18" s="37">
        <v>35.61</v>
      </c>
      <c r="W18" s="37">
        <v>133.4</v>
      </c>
      <c r="X18" s="38" t="s">
        <v>1</v>
      </c>
      <c r="Y18" s="23" t="s">
        <v>6</v>
      </c>
      <c r="Z18" s="21" t="s">
        <v>6</v>
      </c>
      <c r="AA18" s="35" t="s">
        <v>1</v>
      </c>
      <c r="AB18" s="35" t="s">
        <v>1</v>
      </c>
      <c r="AC18" s="1" t="s">
        <v>9</v>
      </c>
    </row>
    <row r="19" spans="1:29">
      <c r="A19" s="35" t="s">
        <v>7</v>
      </c>
      <c r="B19" s="35" t="s">
        <v>3</v>
      </c>
      <c r="C19" s="39" t="s">
        <v>65</v>
      </c>
      <c r="D19" s="36">
        <v>189</v>
      </c>
      <c r="E19" s="12">
        <v>50</v>
      </c>
      <c r="F19" s="21">
        <f t="shared" si="2"/>
        <v>13.227513227513228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6">
        <v>643.03</v>
      </c>
      <c r="M19" s="21">
        <v>1.1440999999999999</v>
      </c>
      <c r="N19" s="21">
        <v>7.1169307808344868</v>
      </c>
      <c r="O19" s="17">
        <v>0</v>
      </c>
      <c r="P19" s="35">
        <v>0.04</v>
      </c>
      <c r="Q19" s="35">
        <v>100</v>
      </c>
      <c r="R19" s="35">
        <v>350</v>
      </c>
      <c r="S19" s="35">
        <v>5</v>
      </c>
      <c r="T19" s="21">
        <v>1.97513227513227</v>
      </c>
      <c r="U19" s="21">
        <f>T19/F19</f>
        <v>0.14931999999999959</v>
      </c>
      <c r="V19" s="37">
        <v>31.67</v>
      </c>
      <c r="W19" s="37">
        <v>92.86</v>
      </c>
      <c r="X19" s="38" t="s">
        <v>1</v>
      </c>
      <c r="Y19" s="23" t="s">
        <v>6</v>
      </c>
      <c r="Z19" s="21" t="s">
        <v>6</v>
      </c>
      <c r="AA19" s="35" t="s">
        <v>1</v>
      </c>
      <c r="AB19" s="35" t="s">
        <v>1</v>
      </c>
      <c r="AC19" s="1" t="s">
        <v>9</v>
      </c>
    </row>
    <row r="20" spans="1:29">
      <c r="A20" s="35" t="s">
        <v>7</v>
      </c>
      <c r="B20" s="35" t="s">
        <v>3</v>
      </c>
      <c r="C20" s="39" t="s">
        <v>65</v>
      </c>
      <c r="D20" s="36">
        <v>189</v>
      </c>
      <c r="E20" s="12">
        <v>50</v>
      </c>
      <c r="F20" s="21">
        <f t="shared" si="2"/>
        <v>13.227513227513228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6">
        <v>643.03</v>
      </c>
      <c r="M20" s="21">
        <v>1.1440999999999999</v>
      </c>
      <c r="N20" s="21">
        <v>7.1169307808344868</v>
      </c>
      <c r="O20" s="17">
        <v>0</v>
      </c>
      <c r="P20" s="35">
        <v>0.04</v>
      </c>
      <c r="Q20" s="35">
        <v>100</v>
      </c>
      <c r="R20" s="35">
        <v>350</v>
      </c>
      <c r="S20" s="35">
        <v>15</v>
      </c>
      <c r="T20" s="21">
        <v>1.9645502645502599</v>
      </c>
      <c r="U20" s="21">
        <f>T20/F20</f>
        <v>0.14851999999999965</v>
      </c>
      <c r="V20" s="37">
        <v>30.95</v>
      </c>
      <c r="W20" s="37">
        <v>75.180000000000007</v>
      </c>
      <c r="X20" s="38" t="s">
        <v>1</v>
      </c>
      <c r="Y20" s="23" t="s">
        <v>6</v>
      </c>
      <c r="Z20" s="21" t="s">
        <v>6</v>
      </c>
      <c r="AA20" s="35" t="s">
        <v>1</v>
      </c>
      <c r="AB20" s="35" t="s">
        <v>1</v>
      </c>
      <c r="AC20" s="1" t="s">
        <v>9</v>
      </c>
    </row>
    <row r="21" spans="1:29">
      <c r="A21" s="35" t="s">
        <v>7</v>
      </c>
      <c r="B21" s="35" t="s">
        <v>3</v>
      </c>
      <c r="C21" s="39" t="s">
        <v>65</v>
      </c>
      <c r="D21" s="36">
        <v>189</v>
      </c>
      <c r="E21" s="12">
        <v>50</v>
      </c>
      <c r="F21" s="21">
        <f t="shared" si="2"/>
        <v>13.227513227513228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6">
        <v>643.03</v>
      </c>
      <c r="M21" s="21">
        <v>1.1440999999999999</v>
      </c>
      <c r="N21" s="21">
        <v>7.1169307808344868</v>
      </c>
      <c r="O21" s="17">
        <v>0</v>
      </c>
      <c r="P21" s="35">
        <v>0.04</v>
      </c>
      <c r="Q21" s="35">
        <v>100</v>
      </c>
      <c r="R21" s="35">
        <v>350</v>
      </c>
      <c r="S21" s="35">
        <v>25</v>
      </c>
      <c r="T21" s="21">
        <v>2.1359788359788299</v>
      </c>
      <c r="U21" s="21">
        <f>T21/F21</f>
        <v>0.16147999999999954</v>
      </c>
      <c r="V21" s="37">
        <v>31.3</v>
      </c>
      <c r="W21" s="37">
        <v>67.94</v>
      </c>
      <c r="X21" s="38">
        <v>90</v>
      </c>
      <c r="Y21" s="22">
        <v>2.672605790645882</v>
      </c>
      <c r="Z21" s="21">
        <v>3.3991228070175468</v>
      </c>
      <c r="AA21" s="35">
        <v>10</v>
      </c>
      <c r="AB21" s="35" t="s">
        <v>1</v>
      </c>
      <c r="AC21" s="1" t="s">
        <v>9</v>
      </c>
    </row>
    <row r="22" spans="1:29">
      <c r="A22" s="35" t="s">
        <v>7</v>
      </c>
      <c r="B22" s="35" t="s">
        <v>29</v>
      </c>
      <c r="C22" s="39" t="s">
        <v>65</v>
      </c>
      <c r="D22" s="36">
        <v>189</v>
      </c>
      <c r="E22" s="12">
        <v>50</v>
      </c>
      <c r="F22" s="21">
        <f t="shared" si="2"/>
        <v>13.227513227513228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6">
        <v>643.03</v>
      </c>
      <c r="M22" s="21">
        <v>1.1440999999999999</v>
      </c>
      <c r="N22" s="21">
        <v>7.1169307808344868</v>
      </c>
      <c r="O22" s="17">
        <v>0</v>
      </c>
      <c r="P22" s="35">
        <v>0.04</v>
      </c>
      <c r="Q22" s="35">
        <v>100</v>
      </c>
      <c r="R22" s="35">
        <v>350</v>
      </c>
      <c r="S22" s="35">
        <v>25</v>
      </c>
      <c r="T22" s="21">
        <v>2.1359788359788299</v>
      </c>
      <c r="U22" s="21">
        <v>8.0871149100528866E-2</v>
      </c>
      <c r="V22" s="37">
        <v>31.3</v>
      </c>
      <c r="W22" s="37">
        <v>67.94</v>
      </c>
      <c r="X22" s="38">
        <v>110</v>
      </c>
      <c r="Y22" s="22">
        <v>2.5189478377173327</v>
      </c>
      <c r="Z22" s="21">
        <v>3.5885167464114867</v>
      </c>
      <c r="AA22" s="35">
        <v>10</v>
      </c>
      <c r="AB22" s="35" t="s">
        <v>1</v>
      </c>
      <c r="AC22" s="1" t="s">
        <v>9</v>
      </c>
    </row>
    <row r="23" spans="1:29">
      <c r="A23" s="35" t="s">
        <v>7</v>
      </c>
      <c r="B23" s="35" t="s">
        <v>3</v>
      </c>
      <c r="C23" s="39" t="s">
        <v>65</v>
      </c>
      <c r="D23" s="36">
        <v>189</v>
      </c>
      <c r="E23" s="12">
        <v>50</v>
      </c>
      <c r="F23" s="21">
        <f t="shared" si="2"/>
        <v>13.227513227513228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6">
        <v>643.03</v>
      </c>
      <c r="M23" s="21">
        <v>1.1440999999999999</v>
      </c>
      <c r="N23" s="21">
        <v>7.1169307808344868</v>
      </c>
      <c r="O23" s="17">
        <v>0</v>
      </c>
      <c r="P23" s="35">
        <v>0.04</v>
      </c>
      <c r="Q23" s="35">
        <v>100</v>
      </c>
      <c r="R23" s="35">
        <v>350</v>
      </c>
      <c r="S23" s="35">
        <v>35</v>
      </c>
      <c r="T23" s="21">
        <v>2.1232804232804199</v>
      </c>
      <c r="U23" s="21">
        <f t="shared" ref="U23:U28" si="3">T23/F23</f>
        <v>0.16051999999999975</v>
      </c>
      <c r="V23" s="37">
        <v>30.5</v>
      </c>
      <c r="W23" s="37">
        <v>61.45</v>
      </c>
      <c r="X23" s="38" t="s">
        <v>1</v>
      </c>
      <c r="Y23" s="23" t="s">
        <v>6</v>
      </c>
      <c r="Z23" s="21" t="s">
        <v>6</v>
      </c>
      <c r="AA23" s="35" t="s">
        <v>1</v>
      </c>
      <c r="AB23" s="35" t="s">
        <v>1</v>
      </c>
      <c r="AC23" s="1" t="s">
        <v>9</v>
      </c>
    </row>
    <row r="24" spans="1:29">
      <c r="A24" s="35" t="s">
        <v>7</v>
      </c>
      <c r="B24" s="35" t="s">
        <v>3</v>
      </c>
      <c r="C24" s="39" t="s">
        <v>65</v>
      </c>
      <c r="D24" s="36">
        <v>189</v>
      </c>
      <c r="E24" s="12">
        <v>50</v>
      </c>
      <c r="F24" s="21">
        <f t="shared" si="2"/>
        <v>13.227513227513228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6">
        <v>643.03</v>
      </c>
      <c r="M24" s="21">
        <v>1.1440999999999999</v>
      </c>
      <c r="N24" s="21">
        <v>7.1169307808344868</v>
      </c>
      <c r="O24" s="17">
        <v>0</v>
      </c>
      <c r="P24" s="35">
        <v>0.04</v>
      </c>
      <c r="Q24" s="35">
        <v>100</v>
      </c>
      <c r="R24" s="35">
        <v>350</v>
      </c>
      <c r="S24" s="35">
        <v>45</v>
      </c>
      <c r="T24" s="21">
        <v>2.0746031746031699</v>
      </c>
      <c r="U24" s="21">
        <f t="shared" si="3"/>
        <v>0.15683999999999965</v>
      </c>
      <c r="V24" s="37">
        <v>30.58</v>
      </c>
      <c r="W24" s="37">
        <v>58.93</v>
      </c>
      <c r="X24" s="38" t="s">
        <v>1</v>
      </c>
      <c r="Y24" s="23" t="s">
        <v>6</v>
      </c>
      <c r="Z24" s="21" t="s">
        <v>6</v>
      </c>
      <c r="AA24" s="35" t="s">
        <v>1</v>
      </c>
      <c r="AB24" s="35" t="s">
        <v>1</v>
      </c>
      <c r="AC24" s="1" t="s">
        <v>9</v>
      </c>
    </row>
    <row r="25" spans="1:29">
      <c r="A25" s="35" t="s">
        <v>7</v>
      </c>
      <c r="B25" s="35" t="s">
        <v>3</v>
      </c>
      <c r="C25" s="39" t="s">
        <v>65</v>
      </c>
      <c r="D25" s="36">
        <v>189</v>
      </c>
      <c r="E25" s="12">
        <v>50</v>
      </c>
      <c r="F25" s="21">
        <f t="shared" si="2"/>
        <v>13.227513227513228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6">
        <v>643.03</v>
      </c>
      <c r="M25" s="21">
        <v>1.1440999999999999</v>
      </c>
      <c r="N25" s="21">
        <v>7.1169307808344868</v>
      </c>
      <c r="O25" s="17">
        <v>0</v>
      </c>
      <c r="P25" s="35">
        <v>0.04</v>
      </c>
      <c r="Q25" s="35">
        <v>100</v>
      </c>
      <c r="R25" s="35">
        <v>350</v>
      </c>
      <c r="S25" s="35">
        <v>55</v>
      </c>
      <c r="T25" s="21">
        <v>2.0513227513227501</v>
      </c>
      <c r="U25" s="21">
        <f t="shared" si="3"/>
        <v>0.15507999999999991</v>
      </c>
      <c r="V25" s="37">
        <v>30.58</v>
      </c>
      <c r="W25" s="37">
        <v>75.53</v>
      </c>
      <c r="X25" s="38" t="s">
        <v>1</v>
      </c>
      <c r="Y25" s="23" t="s">
        <v>6</v>
      </c>
      <c r="Z25" s="21" t="s">
        <v>6</v>
      </c>
      <c r="AA25" s="35" t="s">
        <v>1</v>
      </c>
      <c r="AB25" s="35" t="s">
        <v>1</v>
      </c>
      <c r="AC25" s="1" t="s">
        <v>9</v>
      </c>
    </row>
    <row r="26" spans="1:29">
      <c r="A26" s="35" t="s">
        <v>7</v>
      </c>
      <c r="B26" s="35" t="s">
        <v>3</v>
      </c>
      <c r="C26" s="39" t="s">
        <v>65</v>
      </c>
      <c r="D26" s="36">
        <v>189</v>
      </c>
      <c r="E26" s="12">
        <v>50</v>
      </c>
      <c r="F26" s="21">
        <f t="shared" si="2"/>
        <v>13.227513227513228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6">
        <v>643.03</v>
      </c>
      <c r="M26" s="21">
        <v>1.1440999999999999</v>
      </c>
      <c r="N26" s="21">
        <v>7.1169307808344868</v>
      </c>
      <c r="O26" s="17">
        <v>0</v>
      </c>
      <c r="P26" s="35">
        <v>0.04</v>
      </c>
      <c r="Q26" s="35">
        <v>100</v>
      </c>
      <c r="R26" s="35">
        <v>350</v>
      </c>
      <c r="S26" s="35">
        <v>65</v>
      </c>
      <c r="T26" s="21">
        <v>1.13492063492063</v>
      </c>
      <c r="U26" s="21">
        <f t="shared" si="3"/>
        <v>8.5799999999999627E-2</v>
      </c>
      <c r="V26" s="37">
        <v>21.28</v>
      </c>
      <c r="W26" s="37">
        <v>59.08</v>
      </c>
      <c r="X26" s="38" t="s">
        <v>1</v>
      </c>
      <c r="Y26" s="23" t="s">
        <v>6</v>
      </c>
      <c r="Z26" s="21" t="s">
        <v>6</v>
      </c>
      <c r="AA26" s="35" t="s">
        <v>1</v>
      </c>
      <c r="AB26" s="35" t="s">
        <v>1</v>
      </c>
      <c r="AC26" s="1" t="s">
        <v>9</v>
      </c>
    </row>
    <row r="27" spans="1:29">
      <c r="A27" s="35" t="s">
        <v>7</v>
      </c>
      <c r="B27" s="35" t="s">
        <v>3</v>
      </c>
      <c r="C27" s="39" t="s">
        <v>65</v>
      </c>
      <c r="D27" s="36">
        <v>189</v>
      </c>
      <c r="E27" s="12">
        <v>50</v>
      </c>
      <c r="F27" s="21">
        <f t="shared" si="2"/>
        <v>13.227513227513228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6">
        <v>643.03</v>
      </c>
      <c r="M27" s="21">
        <v>1.1440999999999999</v>
      </c>
      <c r="N27" s="21">
        <v>7.1169307808344868</v>
      </c>
      <c r="O27" s="17">
        <v>0</v>
      </c>
      <c r="P27" s="35">
        <v>0.04</v>
      </c>
      <c r="Q27" s="35">
        <v>100</v>
      </c>
      <c r="R27" s="35">
        <v>350</v>
      </c>
      <c r="S27" s="35">
        <v>75</v>
      </c>
      <c r="T27" s="21">
        <v>0.33280423280423199</v>
      </c>
      <c r="U27" s="21">
        <f t="shared" si="3"/>
        <v>2.5159999999999939E-2</v>
      </c>
      <c r="V27" s="37" t="s">
        <v>1</v>
      </c>
      <c r="W27" s="37" t="s">
        <v>5</v>
      </c>
      <c r="X27" s="38" t="s">
        <v>1</v>
      </c>
      <c r="Y27" s="23" t="s">
        <v>6</v>
      </c>
      <c r="Z27" s="21" t="s">
        <v>6</v>
      </c>
      <c r="AA27" s="35" t="s">
        <v>1</v>
      </c>
      <c r="AB27" s="35" t="s">
        <v>1</v>
      </c>
      <c r="AC27" s="1" t="s">
        <v>9</v>
      </c>
    </row>
    <row r="28" spans="1:29">
      <c r="A28" s="35" t="s">
        <v>7</v>
      </c>
      <c r="B28" s="35" t="s">
        <v>3</v>
      </c>
      <c r="C28" s="39" t="s">
        <v>66</v>
      </c>
      <c r="D28" s="36">
        <v>189</v>
      </c>
      <c r="E28" s="12">
        <v>50</v>
      </c>
      <c r="F28" s="21">
        <f t="shared" si="2"/>
        <v>13.227513227513228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6">
        <v>643.03</v>
      </c>
      <c r="M28" s="21">
        <v>1.1440999999999999</v>
      </c>
      <c r="N28" s="21">
        <v>7.1169307808344868</v>
      </c>
      <c r="O28" s="17">
        <v>0</v>
      </c>
      <c r="P28" s="35">
        <v>0.04</v>
      </c>
      <c r="Q28" s="35">
        <v>100</v>
      </c>
      <c r="R28" s="35">
        <v>350</v>
      </c>
      <c r="S28" s="35">
        <v>25</v>
      </c>
      <c r="T28" s="35">
        <v>2.2999999999999998</v>
      </c>
      <c r="U28" s="21">
        <f t="shared" si="3"/>
        <v>0.17387999999999998</v>
      </c>
      <c r="V28" s="37">
        <v>41.6</v>
      </c>
      <c r="W28" s="37">
        <v>100.1</v>
      </c>
      <c r="X28" s="38" t="s">
        <v>1</v>
      </c>
      <c r="Y28" s="23" t="s">
        <v>6</v>
      </c>
      <c r="Z28" s="21" t="s">
        <v>6</v>
      </c>
      <c r="AA28" s="35" t="s">
        <v>1</v>
      </c>
      <c r="AB28" s="35" t="s">
        <v>1</v>
      </c>
      <c r="AC28" s="1" t="s">
        <v>9</v>
      </c>
    </row>
    <row r="29" spans="1:29">
      <c r="A29" s="35" t="s">
        <v>7</v>
      </c>
      <c r="B29" s="35" t="s">
        <v>29</v>
      </c>
      <c r="C29" s="39" t="s">
        <v>65</v>
      </c>
      <c r="D29" s="36">
        <v>189</v>
      </c>
      <c r="E29" s="12">
        <v>75</v>
      </c>
      <c r="F29" s="21">
        <f t="shared" si="2"/>
        <v>19.841269841269842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6">
        <v>643.03</v>
      </c>
      <c r="M29" s="21">
        <v>1.1440999999999999</v>
      </c>
      <c r="N29" s="21">
        <v>7.1169307808344868</v>
      </c>
      <c r="O29" s="17">
        <v>0</v>
      </c>
      <c r="P29" s="35">
        <v>0.04</v>
      </c>
      <c r="Q29" s="35">
        <v>100</v>
      </c>
      <c r="R29" s="35">
        <v>350</v>
      </c>
      <c r="S29" s="35">
        <v>25</v>
      </c>
      <c r="T29" s="35">
        <v>3.44</v>
      </c>
      <c r="U29" s="21">
        <v>4.3414405333333329E-2</v>
      </c>
      <c r="V29" s="37">
        <v>113</v>
      </c>
      <c r="W29" s="37">
        <v>241.5</v>
      </c>
      <c r="X29" s="35">
        <v>90</v>
      </c>
      <c r="Y29" s="23">
        <v>3.6383818450912777</v>
      </c>
      <c r="Z29" s="21">
        <v>5.5172413793103328</v>
      </c>
      <c r="AA29" s="35">
        <v>10</v>
      </c>
      <c r="AB29" s="35" t="s">
        <v>1</v>
      </c>
      <c r="AC29" s="1" t="s">
        <v>9</v>
      </c>
    </row>
    <row r="30" spans="1:29" ht="15.45" customHeight="1">
      <c r="A30" s="35" t="s">
        <v>7</v>
      </c>
      <c r="B30" s="35" t="s">
        <v>29</v>
      </c>
      <c r="C30" s="39" t="s">
        <v>66</v>
      </c>
      <c r="D30" s="36">
        <v>189</v>
      </c>
      <c r="E30" s="12">
        <v>75</v>
      </c>
      <c r="F30" s="21">
        <f t="shared" si="2"/>
        <v>19.841269841269842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6">
        <v>643.03</v>
      </c>
      <c r="M30" s="21">
        <v>1.1440999999999999</v>
      </c>
      <c r="N30" s="21">
        <v>7.1169307808344868</v>
      </c>
      <c r="O30" s="17">
        <v>0</v>
      </c>
      <c r="P30" s="35">
        <v>0.04</v>
      </c>
      <c r="Q30" s="35">
        <v>100</v>
      </c>
      <c r="R30" s="35">
        <v>350</v>
      </c>
      <c r="S30" s="35">
        <v>25</v>
      </c>
      <c r="T30" s="35">
        <v>3.44</v>
      </c>
      <c r="U30" s="21">
        <f>T30/F30</f>
        <v>0.173376</v>
      </c>
      <c r="V30" s="37">
        <v>113</v>
      </c>
      <c r="W30" s="37">
        <v>241.5</v>
      </c>
      <c r="X30" s="35">
        <v>110</v>
      </c>
      <c r="Y30" s="23">
        <v>8.0751173708920287</v>
      </c>
      <c r="Z30" s="21">
        <v>0</v>
      </c>
      <c r="AA30" s="35">
        <v>10</v>
      </c>
      <c r="AB30" s="35" t="s">
        <v>1</v>
      </c>
      <c r="AC30" s="2" t="s">
        <v>9</v>
      </c>
    </row>
    <row r="31" spans="1:29" ht="11.55" customHeight="1">
      <c r="A31" s="35" t="s">
        <v>7</v>
      </c>
      <c r="B31" s="35" t="s">
        <v>123</v>
      </c>
      <c r="C31" s="40" t="s">
        <v>89</v>
      </c>
      <c r="D31" s="36">
        <v>105.14</v>
      </c>
      <c r="E31" s="12">
        <v>50</v>
      </c>
      <c r="F31" s="21">
        <f t="shared" ref="F31:F62" si="4">T31/U31</f>
        <v>4.9090909090909092</v>
      </c>
      <c r="G31" s="35">
        <v>0</v>
      </c>
      <c r="H31" s="35">
        <v>0</v>
      </c>
      <c r="I31" s="41">
        <v>0</v>
      </c>
      <c r="J31" s="41">
        <v>0</v>
      </c>
      <c r="K31" s="12">
        <v>2</v>
      </c>
      <c r="L31" s="36">
        <v>934.91</v>
      </c>
      <c r="M31" s="21">
        <v>1.45</v>
      </c>
      <c r="N31" s="21">
        <v>6.2038057139189871</v>
      </c>
      <c r="O31" s="17">
        <v>0</v>
      </c>
      <c r="P31" s="35">
        <v>0.04</v>
      </c>
      <c r="Q31" s="35">
        <v>100</v>
      </c>
      <c r="R31" s="35">
        <v>300</v>
      </c>
      <c r="S31" s="35">
        <v>25</v>
      </c>
      <c r="T31" s="35">
        <v>0.54</v>
      </c>
      <c r="U31" s="21">
        <v>0.11</v>
      </c>
      <c r="V31" s="37">
        <v>11.85</v>
      </c>
      <c r="W31" s="37">
        <v>42.2</v>
      </c>
      <c r="X31" s="35" t="s">
        <v>1</v>
      </c>
      <c r="Y31" s="23" t="s">
        <v>6</v>
      </c>
      <c r="Z31" s="21" t="s">
        <v>6</v>
      </c>
      <c r="AA31" s="42" t="s">
        <v>1</v>
      </c>
      <c r="AB31" s="35" t="s">
        <v>1</v>
      </c>
      <c r="AC31" s="1" t="s">
        <v>53</v>
      </c>
    </row>
    <row r="32" spans="1:29">
      <c r="A32" s="35" t="s">
        <v>7</v>
      </c>
      <c r="B32" s="35" t="s">
        <v>54</v>
      </c>
      <c r="C32" s="40" t="s">
        <v>66</v>
      </c>
      <c r="D32" s="36">
        <v>189</v>
      </c>
      <c r="E32" s="12">
        <v>50</v>
      </c>
      <c r="F32" s="21">
        <f t="shared" si="4"/>
        <v>6.4705882352941178</v>
      </c>
      <c r="G32" s="35" t="s">
        <v>51</v>
      </c>
      <c r="H32" s="35">
        <v>0</v>
      </c>
      <c r="I32" s="41">
        <v>4</v>
      </c>
      <c r="J32" s="41">
        <v>0</v>
      </c>
      <c r="K32" s="12">
        <v>1.18</v>
      </c>
      <c r="L32" s="36">
        <v>934.91</v>
      </c>
      <c r="M32" s="21">
        <v>1.45</v>
      </c>
      <c r="N32" s="21">
        <v>6.2038057139189871</v>
      </c>
      <c r="O32" s="17">
        <v>0</v>
      </c>
      <c r="P32" s="35">
        <v>0.04</v>
      </c>
      <c r="Q32" s="35">
        <v>100</v>
      </c>
      <c r="R32" s="35">
        <v>300</v>
      </c>
      <c r="S32" s="35">
        <v>25</v>
      </c>
      <c r="T32" s="35">
        <v>1.1000000000000001</v>
      </c>
      <c r="U32" s="21">
        <v>0.17</v>
      </c>
      <c r="V32" s="37">
        <v>16.05</v>
      </c>
      <c r="W32" s="37">
        <v>42.65</v>
      </c>
      <c r="X32" s="35" t="s">
        <v>1</v>
      </c>
      <c r="Y32" s="23" t="s">
        <v>6</v>
      </c>
      <c r="Z32" s="21" t="s">
        <v>6</v>
      </c>
      <c r="AA32" s="42" t="s">
        <v>1</v>
      </c>
      <c r="AB32" s="35" t="s">
        <v>1</v>
      </c>
      <c r="AC32" s="1" t="s">
        <v>11</v>
      </c>
    </row>
    <row r="33" spans="1:29">
      <c r="A33" s="35" t="s">
        <v>7</v>
      </c>
      <c r="B33" s="35" t="s">
        <v>54</v>
      </c>
      <c r="C33" s="39" t="s">
        <v>66</v>
      </c>
      <c r="D33" s="36">
        <v>189</v>
      </c>
      <c r="E33" s="12">
        <v>50</v>
      </c>
      <c r="F33" s="21">
        <f t="shared" si="4"/>
        <v>7.6666666666666661</v>
      </c>
      <c r="G33" s="35" t="s">
        <v>51</v>
      </c>
      <c r="H33" s="35">
        <v>0</v>
      </c>
      <c r="I33" s="35">
        <f>1/0.5</f>
        <v>2</v>
      </c>
      <c r="J33" s="41">
        <v>0</v>
      </c>
      <c r="K33" s="12">
        <v>0.84</v>
      </c>
      <c r="L33" s="36">
        <v>934.91</v>
      </c>
      <c r="M33" s="21">
        <v>1.45</v>
      </c>
      <c r="N33" s="21">
        <v>6.2038057139189871</v>
      </c>
      <c r="O33" s="17">
        <v>0</v>
      </c>
      <c r="P33" s="35">
        <v>0.04</v>
      </c>
      <c r="Q33" s="35">
        <v>100</v>
      </c>
      <c r="R33" s="35">
        <v>300</v>
      </c>
      <c r="S33" s="35">
        <v>25</v>
      </c>
      <c r="T33" s="35">
        <v>1.38</v>
      </c>
      <c r="U33" s="21">
        <v>0.18</v>
      </c>
      <c r="V33" s="37">
        <v>23.55</v>
      </c>
      <c r="W33" s="37">
        <v>52</v>
      </c>
      <c r="X33" s="35" t="s">
        <v>1</v>
      </c>
      <c r="Y33" s="23" t="s">
        <v>6</v>
      </c>
      <c r="Z33" s="21" t="s">
        <v>6</v>
      </c>
      <c r="AA33" s="42" t="s">
        <v>1</v>
      </c>
      <c r="AB33" s="35" t="s">
        <v>1</v>
      </c>
      <c r="AC33" s="1" t="s">
        <v>11</v>
      </c>
    </row>
    <row r="34" spans="1:29">
      <c r="A34" s="35" t="s">
        <v>7</v>
      </c>
      <c r="B34" s="35" t="s">
        <v>54</v>
      </c>
      <c r="C34" s="39" t="s">
        <v>66</v>
      </c>
      <c r="D34" s="36">
        <v>189</v>
      </c>
      <c r="E34" s="12">
        <v>50</v>
      </c>
      <c r="F34" s="21">
        <f t="shared" si="4"/>
        <v>8.8421052631578938</v>
      </c>
      <c r="G34" s="35" t="s">
        <v>51</v>
      </c>
      <c r="H34" s="35">
        <v>0</v>
      </c>
      <c r="I34" s="35">
        <f>1/1</f>
        <v>1</v>
      </c>
      <c r="J34" s="41">
        <v>0</v>
      </c>
      <c r="K34" s="12">
        <v>0.53</v>
      </c>
      <c r="L34" s="36">
        <v>934.91</v>
      </c>
      <c r="M34" s="21">
        <v>1.45</v>
      </c>
      <c r="N34" s="21">
        <v>6.2038057139189871</v>
      </c>
      <c r="O34" s="17">
        <v>0</v>
      </c>
      <c r="P34" s="35">
        <v>0.04</v>
      </c>
      <c r="Q34" s="35">
        <v>100</v>
      </c>
      <c r="R34" s="35">
        <v>300</v>
      </c>
      <c r="S34" s="35">
        <v>25</v>
      </c>
      <c r="T34" s="35">
        <v>1.68</v>
      </c>
      <c r="U34" s="21">
        <v>0.19</v>
      </c>
      <c r="V34" s="37">
        <v>24.5</v>
      </c>
      <c r="W34" s="37">
        <v>55.4</v>
      </c>
      <c r="X34" s="35">
        <v>80</v>
      </c>
      <c r="Y34" s="23" t="s">
        <v>6</v>
      </c>
      <c r="Z34" s="21">
        <v>3.5000000000000004</v>
      </c>
      <c r="AA34" s="35">
        <v>10</v>
      </c>
      <c r="AB34" s="35" t="s">
        <v>1</v>
      </c>
      <c r="AC34" s="1" t="s">
        <v>11</v>
      </c>
    </row>
    <row r="35" spans="1:29">
      <c r="A35" s="35" t="s">
        <v>7</v>
      </c>
      <c r="B35" s="35" t="s">
        <v>54</v>
      </c>
      <c r="C35" s="39" t="s">
        <v>66</v>
      </c>
      <c r="D35" s="36">
        <v>189</v>
      </c>
      <c r="E35" s="12">
        <v>50</v>
      </c>
      <c r="F35" s="21">
        <f t="shared" si="4"/>
        <v>10.555555555555555</v>
      </c>
      <c r="G35" s="35" t="s">
        <v>51</v>
      </c>
      <c r="H35" s="35">
        <v>0</v>
      </c>
      <c r="I35" s="35">
        <f>1/2</f>
        <v>0.5</v>
      </c>
      <c r="J35" s="41">
        <v>0</v>
      </c>
      <c r="K35" s="12">
        <v>0.31</v>
      </c>
      <c r="L35" s="36">
        <v>934.91</v>
      </c>
      <c r="M35" s="21">
        <v>1.45</v>
      </c>
      <c r="N35" s="21">
        <v>6.2038057139189871</v>
      </c>
      <c r="O35" s="17">
        <v>0</v>
      </c>
      <c r="P35" s="35">
        <v>0.04</v>
      </c>
      <c r="Q35" s="35">
        <v>100</v>
      </c>
      <c r="R35" s="35">
        <v>300</v>
      </c>
      <c r="S35" s="35">
        <v>25</v>
      </c>
      <c r="T35" s="35">
        <v>1.9</v>
      </c>
      <c r="U35" s="21">
        <v>0.18</v>
      </c>
      <c r="V35" s="37">
        <v>27.7</v>
      </c>
      <c r="W35" s="37">
        <v>58.25</v>
      </c>
      <c r="X35" s="35">
        <v>70</v>
      </c>
      <c r="Y35" s="23">
        <v>0.21978021978021509</v>
      </c>
      <c r="Z35" s="21">
        <v>6.1</v>
      </c>
      <c r="AA35" s="35">
        <v>10</v>
      </c>
      <c r="AB35" s="35" t="s">
        <v>1</v>
      </c>
      <c r="AC35" s="1" t="s">
        <v>11</v>
      </c>
    </row>
    <row r="36" spans="1:29" ht="14.55" customHeight="1">
      <c r="A36" s="35" t="s">
        <v>7</v>
      </c>
      <c r="B36" s="35" t="s">
        <v>54</v>
      </c>
      <c r="C36" s="39" t="s">
        <v>66</v>
      </c>
      <c r="D36" s="36">
        <v>189</v>
      </c>
      <c r="E36" s="12">
        <v>50</v>
      </c>
      <c r="F36" s="21">
        <f t="shared" si="4"/>
        <v>10.555555555555555</v>
      </c>
      <c r="G36" s="35" t="s">
        <v>51</v>
      </c>
      <c r="H36" s="35">
        <v>0</v>
      </c>
      <c r="I36" s="35">
        <f>1/2</f>
        <v>0.5</v>
      </c>
      <c r="J36" s="41">
        <v>0</v>
      </c>
      <c r="K36" s="12">
        <v>0.31</v>
      </c>
      <c r="L36" s="36">
        <v>934.91</v>
      </c>
      <c r="M36" s="21">
        <v>1.45</v>
      </c>
      <c r="N36" s="21">
        <v>6.2038057139189871</v>
      </c>
      <c r="O36" s="17">
        <v>0</v>
      </c>
      <c r="P36" s="35">
        <v>0.04</v>
      </c>
      <c r="Q36" s="35">
        <v>100</v>
      </c>
      <c r="R36" s="35">
        <v>300</v>
      </c>
      <c r="S36" s="35">
        <v>25</v>
      </c>
      <c r="T36" s="35">
        <v>1.9</v>
      </c>
      <c r="U36" s="21">
        <v>0.18</v>
      </c>
      <c r="V36" s="37">
        <v>27.7</v>
      </c>
      <c r="W36" s="37">
        <v>58.25</v>
      </c>
      <c r="X36" s="35">
        <v>80</v>
      </c>
      <c r="Y36" s="23">
        <v>1.1037527593818945</v>
      </c>
      <c r="Z36" s="21">
        <v>2</v>
      </c>
      <c r="AA36" s="35">
        <v>10</v>
      </c>
      <c r="AB36" s="35" t="s">
        <v>1</v>
      </c>
      <c r="AC36" s="1" t="s">
        <v>11</v>
      </c>
    </row>
    <row r="37" spans="1:29">
      <c r="A37" s="35" t="s">
        <v>7</v>
      </c>
      <c r="B37" s="35" t="s">
        <v>54</v>
      </c>
      <c r="C37" s="39" t="s">
        <v>66</v>
      </c>
      <c r="D37" s="36">
        <v>189</v>
      </c>
      <c r="E37" s="12">
        <v>50</v>
      </c>
      <c r="F37" s="21">
        <f t="shared" si="4"/>
        <v>10.555555555555555</v>
      </c>
      <c r="G37" s="35" t="s">
        <v>51</v>
      </c>
      <c r="H37" s="35">
        <v>0</v>
      </c>
      <c r="I37" s="35">
        <f t="shared" ref="I37:I39" si="5">1/2</f>
        <v>0.5</v>
      </c>
      <c r="J37" s="41">
        <v>0</v>
      </c>
      <c r="K37" s="12">
        <v>0.31</v>
      </c>
      <c r="L37" s="36">
        <v>934.91</v>
      </c>
      <c r="M37" s="21">
        <v>1.45</v>
      </c>
      <c r="N37" s="21">
        <v>6.2038057139189871</v>
      </c>
      <c r="O37" s="17">
        <v>0</v>
      </c>
      <c r="P37" s="35">
        <v>0.04</v>
      </c>
      <c r="Q37" s="35">
        <v>100</v>
      </c>
      <c r="R37" s="35">
        <v>300</v>
      </c>
      <c r="S37" s="35">
        <v>25</v>
      </c>
      <c r="T37" s="35">
        <v>1.9</v>
      </c>
      <c r="U37" s="21">
        <v>0.18</v>
      </c>
      <c r="V37" s="37">
        <v>27.7</v>
      </c>
      <c r="W37" s="37">
        <v>58.25</v>
      </c>
      <c r="X37" s="35">
        <v>90</v>
      </c>
      <c r="Y37" s="23">
        <v>23.255813953488371</v>
      </c>
      <c r="Z37" s="21">
        <v>5</v>
      </c>
      <c r="AA37" s="35">
        <v>10</v>
      </c>
      <c r="AB37" s="35" t="s">
        <v>1</v>
      </c>
      <c r="AC37" s="1" t="s">
        <v>11</v>
      </c>
    </row>
    <row r="38" spans="1:29">
      <c r="A38" s="35" t="s">
        <v>7</v>
      </c>
      <c r="B38" s="35" t="s">
        <v>54</v>
      </c>
      <c r="C38" s="39" t="s">
        <v>66</v>
      </c>
      <c r="D38" s="36">
        <v>189</v>
      </c>
      <c r="E38" s="12">
        <v>50</v>
      </c>
      <c r="F38" s="21">
        <f t="shared" si="4"/>
        <v>10.555555555555555</v>
      </c>
      <c r="G38" s="35" t="s">
        <v>51</v>
      </c>
      <c r="H38" s="35">
        <v>0</v>
      </c>
      <c r="I38" s="35">
        <f t="shared" si="5"/>
        <v>0.5</v>
      </c>
      <c r="J38" s="41">
        <v>0</v>
      </c>
      <c r="K38" s="12">
        <v>0.31</v>
      </c>
      <c r="L38" s="36">
        <v>934.91</v>
      </c>
      <c r="M38" s="21">
        <v>1.45</v>
      </c>
      <c r="N38" s="21">
        <v>6.2038057139189871</v>
      </c>
      <c r="O38" s="17">
        <v>0</v>
      </c>
      <c r="P38" s="35">
        <v>0.04</v>
      </c>
      <c r="Q38" s="35">
        <v>100</v>
      </c>
      <c r="R38" s="35">
        <v>300</v>
      </c>
      <c r="S38" s="35">
        <v>25</v>
      </c>
      <c r="T38" s="35">
        <v>1.9</v>
      </c>
      <c r="U38" s="21">
        <v>0.18</v>
      </c>
      <c r="V38" s="37">
        <v>27.7</v>
      </c>
      <c r="W38" s="37">
        <v>58.25</v>
      </c>
      <c r="X38" s="42" t="s">
        <v>1</v>
      </c>
      <c r="Y38" s="23" t="s">
        <v>6</v>
      </c>
      <c r="Z38" s="21" t="s">
        <v>6</v>
      </c>
      <c r="AA38" s="42" t="s">
        <v>1</v>
      </c>
      <c r="AB38" s="35" t="s">
        <v>1</v>
      </c>
      <c r="AC38" s="1" t="s">
        <v>11</v>
      </c>
    </row>
    <row r="39" spans="1:29">
      <c r="A39" s="35" t="s">
        <v>7</v>
      </c>
      <c r="B39" s="35" t="s">
        <v>54</v>
      </c>
      <c r="C39" s="39" t="s">
        <v>66</v>
      </c>
      <c r="D39" s="36">
        <v>189</v>
      </c>
      <c r="E39" s="12">
        <v>50</v>
      </c>
      <c r="F39" s="21">
        <f t="shared" si="4"/>
        <v>10.555555555555555</v>
      </c>
      <c r="G39" s="35" t="s">
        <v>51</v>
      </c>
      <c r="H39" s="35">
        <v>0</v>
      </c>
      <c r="I39" s="35">
        <f t="shared" si="5"/>
        <v>0.5</v>
      </c>
      <c r="J39" s="41">
        <v>0</v>
      </c>
      <c r="K39" s="12">
        <v>0.31</v>
      </c>
      <c r="L39" s="36">
        <v>934.91</v>
      </c>
      <c r="M39" s="21">
        <v>1.45</v>
      </c>
      <c r="N39" s="21">
        <v>6.2038057139189871</v>
      </c>
      <c r="O39" s="17">
        <v>0</v>
      </c>
      <c r="P39" s="35">
        <v>0.04</v>
      </c>
      <c r="Q39" s="35">
        <v>100</v>
      </c>
      <c r="R39" s="35">
        <v>300</v>
      </c>
      <c r="S39" s="35">
        <v>25</v>
      </c>
      <c r="T39" s="35">
        <v>1.9</v>
      </c>
      <c r="U39" s="21">
        <v>0.18</v>
      </c>
      <c r="V39" s="37">
        <v>27.7</v>
      </c>
      <c r="W39" s="37">
        <v>58.25</v>
      </c>
      <c r="X39" s="35">
        <v>110</v>
      </c>
      <c r="Y39" s="23">
        <v>7.8160919540229852</v>
      </c>
      <c r="Z39" s="21">
        <v>13</v>
      </c>
      <c r="AA39" s="35">
        <v>10</v>
      </c>
      <c r="AB39" s="35" t="s">
        <v>1</v>
      </c>
      <c r="AC39" s="1" t="s">
        <v>11</v>
      </c>
    </row>
    <row r="40" spans="1:29">
      <c r="A40" s="35" t="s">
        <v>7</v>
      </c>
      <c r="B40" s="35" t="s">
        <v>54</v>
      </c>
      <c r="C40" s="39" t="s">
        <v>66</v>
      </c>
      <c r="D40" s="36">
        <v>189</v>
      </c>
      <c r="E40" s="12">
        <v>50</v>
      </c>
      <c r="F40" s="21">
        <f t="shared" si="4"/>
        <v>11.352941176470587</v>
      </c>
      <c r="G40" s="35" t="s">
        <v>51</v>
      </c>
      <c r="H40" s="35">
        <v>0</v>
      </c>
      <c r="I40" s="35">
        <f>1/4</f>
        <v>0.25</v>
      </c>
      <c r="J40" s="41">
        <v>0</v>
      </c>
      <c r="K40" s="12">
        <v>0.17</v>
      </c>
      <c r="L40" s="36">
        <v>934.91</v>
      </c>
      <c r="M40" s="21">
        <v>1.45</v>
      </c>
      <c r="N40" s="21">
        <v>6.2038057139189871</v>
      </c>
      <c r="O40" s="17">
        <v>0</v>
      </c>
      <c r="P40" s="35">
        <v>0.04</v>
      </c>
      <c r="Q40" s="35">
        <v>100</v>
      </c>
      <c r="R40" s="35">
        <v>300</v>
      </c>
      <c r="S40" s="35">
        <v>25</v>
      </c>
      <c r="T40" s="35">
        <v>1.93</v>
      </c>
      <c r="U40" s="21">
        <v>0.17</v>
      </c>
      <c r="V40" s="37">
        <v>26.15</v>
      </c>
      <c r="W40" s="37">
        <v>52.7</v>
      </c>
      <c r="X40" s="35">
        <v>70</v>
      </c>
      <c r="Y40" s="23">
        <v>0.21881838074399723</v>
      </c>
      <c r="Z40" s="21">
        <v>6</v>
      </c>
      <c r="AA40" s="35">
        <v>10</v>
      </c>
      <c r="AB40" s="35" t="s">
        <v>1</v>
      </c>
      <c r="AC40" s="1" t="s">
        <v>11</v>
      </c>
    </row>
    <row r="41" spans="1:29">
      <c r="A41" s="35" t="s">
        <v>7</v>
      </c>
      <c r="B41" s="35" t="s">
        <v>54</v>
      </c>
      <c r="C41" s="39" t="s">
        <v>66</v>
      </c>
      <c r="D41" s="36">
        <v>189</v>
      </c>
      <c r="E41" s="12">
        <v>50</v>
      </c>
      <c r="F41" s="21">
        <f t="shared" si="4"/>
        <v>11.352941176470587</v>
      </c>
      <c r="G41" s="35" t="s">
        <v>51</v>
      </c>
      <c r="H41" s="35">
        <v>0</v>
      </c>
      <c r="I41" s="35">
        <f t="shared" ref="I41:I44" si="6">1/4</f>
        <v>0.25</v>
      </c>
      <c r="J41" s="41">
        <v>0</v>
      </c>
      <c r="K41" s="12">
        <v>0.17</v>
      </c>
      <c r="L41" s="36">
        <v>934.91</v>
      </c>
      <c r="M41" s="21">
        <v>1.45</v>
      </c>
      <c r="N41" s="21">
        <v>6.2038057139189871</v>
      </c>
      <c r="O41" s="17">
        <v>0</v>
      </c>
      <c r="P41" s="35">
        <v>0.04</v>
      </c>
      <c r="Q41" s="35">
        <v>100</v>
      </c>
      <c r="R41" s="35">
        <v>300</v>
      </c>
      <c r="S41" s="35">
        <v>25</v>
      </c>
      <c r="T41" s="35">
        <v>1.93</v>
      </c>
      <c r="U41" s="21">
        <v>0.17</v>
      </c>
      <c r="V41" s="37">
        <v>26.15</v>
      </c>
      <c r="W41" s="37">
        <v>52.7</v>
      </c>
      <c r="X41" s="35">
        <v>80</v>
      </c>
      <c r="Y41" s="23">
        <v>0.74074074074073593</v>
      </c>
      <c r="Z41" s="21">
        <v>3.6999999999999997</v>
      </c>
      <c r="AA41" s="35">
        <v>10</v>
      </c>
      <c r="AB41" s="35" t="s">
        <v>1</v>
      </c>
      <c r="AC41" s="1" t="s">
        <v>11</v>
      </c>
    </row>
    <row r="42" spans="1:29">
      <c r="A42" s="35" t="s">
        <v>7</v>
      </c>
      <c r="B42" s="35" t="s">
        <v>54</v>
      </c>
      <c r="C42" s="39" t="s">
        <v>66</v>
      </c>
      <c r="D42" s="36">
        <v>189</v>
      </c>
      <c r="E42" s="12">
        <v>50</v>
      </c>
      <c r="F42" s="21">
        <f t="shared" si="4"/>
        <v>11.352941176470587</v>
      </c>
      <c r="G42" s="35" t="s">
        <v>51</v>
      </c>
      <c r="H42" s="35">
        <v>0</v>
      </c>
      <c r="I42" s="35">
        <f t="shared" si="6"/>
        <v>0.25</v>
      </c>
      <c r="J42" s="41">
        <v>0</v>
      </c>
      <c r="K42" s="12">
        <v>0.17</v>
      </c>
      <c r="L42" s="36">
        <v>934.91</v>
      </c>
      <c r="M42" s="21">
        <v>1.45</v>
      </c>
      <c r="N42" s="21">
        <v>6.2038057139189871</v>
      </c>
      <c r="O42" s="17">
        <v>0</v>
      </c>
      <c r="P42" s="35">
        <v>0.04</v>
      </c>
      <c r="Q42" s="35">
        <v>100</v>
      </c>
      <c r="R42" s="35">
        <v>300</v>
      </c>
      <c r="S42" s="35">
        <v>25</v>
      </c>
      <c r="T42" s="35">
        <v>1.93</v>
      </c>
      <c r="U42" s="21">
        <v>0.17</v>
      </c>
      <c r="V42" s="37">
        <v>26.15</v>
      </c>
      <c r="W42" s="37">
        <v>52.7</v>
      </c>
      <c r="X42" s="35">
        <v>90</v>
      </c>
      <c r="Y42" s="23">
        <v>2.1978021978021998</v>
      </c>
      <c r="Z42" s="21">
        <v>4.5</v>
      </c>
      <c r="AA42" s="35">
        <v>10</v>
      </c>
      <c r="AB42" s="35" t="s">
        <v>1</v>
      </c>
      <c r="AC42" s="1" t="s">
        <v>11</v>
      </c>
    </row>
    <row r="43" spans="1:29">
      <c r="A43" s="35" t="s">
        <v>7</v>
      </c>
      <c r="B43" s="35" t="s">
        <v>54</v>
      </c>
      <c r="C43" s="39" t="s">
        <v>66</v>
      </c>
      <c r="D43" s="36">
        <v>189</v>
      </c>
      <c r="E43" s="12">
        <v>50</v>
      </c>
      <c r="F43" s="21">
        <f t="shared" si="4"/>
        <v>11.352941176470587</v>
      </c>
      <c r="G43" s="35" t="s">
        <v>51</v>
      </c>
      <c r="H43" s="35">
        <v>0</v>
      </c>
      <c r="I43" s="35">
        <f t="shared" si="6"/>
        <v>0.25</v>
      </c>
      <c r="J43" s="41">
        <v>0</v>
      </c>
      <c r="K43" s="12">
        <v>0.17</v>
      </c>
      <c r="L43" s="36">
        <v>934.91</v>
      </c>
      <c r="M43" s="21">
        <v>1.45</v>
      </c>
      <c r="N43" s="21">
        <v>6.2038057139189871</v>
      </c>
      <c r="O43" s="17">
        <v>0</v>
      </c>
      <c r="P43" s="35">
        <v>0.04</v>
      </c>
      <c r="Q43" s="35">
        <v>100</v>
      </c>
      <c r="R43" s="35">
        <v>300</v>
      </c>
      <c r="S43" s="35">
        <v>25</v>
      </c>
      <c r="T43" s="35">
        <v>1.93</v>
      </c>
      <c r="U43" s="21">
        <v>0.17</v>
      </c>
      <c r="V43" s="37">
        <v>26.15</v>
      </c>
      <c r="W43" s="37">
        <v>52.7</v>
      </c>
      <c r="X43" s="43" t="s">
        <v>1</v>
      </c>
      <c r="Y43" s="23" t="s">
        <v>6</v>
      </c>
      <c r="Z43" s="21" t="s">
        <v>6</v>
      </c>
      <c r="AA43" s="43" t="s">
        <v>1</v>
      </c>
      <c r="AB43" s="35" t="s">
        <v>1</v>
      </c>
      <c r="AC43" s="1" t="s">
        <v>11</v>
      </c>
    </row>
    <row r="44" spans="1:29">
      <c r="A44" s="35" t="s">
        <v>7</v>
      </c>
      <c r="B44" s="35" t="s">
        <v>54</v>
      </c>
      <c r="C44" s="39" t="s">
        <v>66</v>
      </c>
      <c r="D44" s="36">
        <v>189</v>
      </c>
      <c r="E44" s="12">
        <v>50</v>
      </c>
      <c r="F44" s="21">
        <f t="shared" si="4"/>
        <v>11.352941176470587</v>
      </c>
      <c r="G44" s="35" t="s">
        <v>51</v>
      </c>
      <c r="H44" s="35">
        <v>0</v>
      </c>
      <c r="I44" s="35">
        <f t="shared" si="6"/>
        <v>0.25</v>
      </c>
      <c r="J44" s="41">
        <v>0</v>
      </c>
      <c r="K44" s="12">
        <v>0.17</v>
      </c>
      <c r="L44" s="36">
        <v>934.91</v>
      </c>
      <c r="M44" s="21">
        <v>1.45</v>
      </c>
      <c r="N44" s="21">
        <v>6.2038057139189871</v>
      </c>
      <c r="O44" s="17">
        <v>0</v>
      </c>
      <c r="P44" s="35">
        <v>0.04</v>
      </c>
      <c r="Q44" s="35">
        <v>100</v>
      </c>
      <c r="R44" s="35">
        <v>300</v>
      </c>
      <c r="S44" s="35">
        <v>25</v>
      </c>
      <c r="T44" s="35">
        <v>1.93</v>
      </c>
      <c r="U44" s="21">
        <v>0.17</v>
      </c>
      <c r="V44" s="37">
        <v>26.15</v>
      </c>
      <c r="W44" s="37">
        <v>52.7</v>
      </c>
      <c r="X44" s="35">
        <v>110</v>
      </c>
      <c r="Y44" s="23">
        <v>7.9019073569482305</v>
      </c>
      <c r="Z44" s="21">
        <v>14.899999999999999</v>
      </c>
      <c r="AA44" s="35">
        <v>10</v>
      </c>
      <c r="AB44" s="35" t="s">
        <v>1</v>
      </c>
      <c r="AC44" s="1" t="s">
        <v>11</v>
      </c>
    </row>
    <row r="45" spans="1:29">
      <c r="A45" s="35" t="s">
        <v>7</v>
      </c>
      <c r="B45" s="35" t="s">
        <v>3</v>
      </c>
      <c r="C45" s="39" t="s">
        <v>66</v>
      </c>
      <c r="D45" s="36">
        <v>189</v>
      </c>
      <c r="E45" s="12">
        <v>50</v>
      </c>
      <c r="F45" s="21">
        <f t="shared" si="4"/>
        <v>13.642857142857141</v>
      </c>
      <c r="G45" s="35">
        <v>0</v>
      </c>
      <c r="H45" s="35">
        <v>0</v>
      </c>
      <c r="I45" s="35">
        <v>0</v>
      </c>
      <c r="J45" s="41">
        <v>0</v>
      </c>
      <c r="K45" s="41">
        <v>0</v>
      </c>
      <c r="L45" s="36">
        <v>934.91</v>
      </c>
      <c r="M45" s="21">
        <v>1.45</v>
      </c>
      <c r="N45" s="21">
        <v>6.2038057139189871</v>
      </c>
      <c r="O45" s="17">
        <v>0</v>
      </c>
      <c r="P45" s="35">
        <v>0.04</v>
      </c>
      <c r="Q45" s="35">
        <v>100</v>
      </c>
      <c r="R45" s="35">
        <v>300</v>
      </c>
      <c r="S45" s="35">
        <v>25</v>
      </c>
      <c r="T45" s="35">
        <v>1.91</v>
      </c>
      <c r="U45" s="21">
        <v>0.14000000000000001</v>
      </c>
      <c r="V45" s="37">
        <v>28.5</v>
      </c>
      <c r="W45" s="37">
        <v>57.6</v>
      </c>
      <c r="X45" s="35" t="s">
        <v>1</v>
      </c>
      <c r="Y45" s="23" t="s">
        <v>6</v>
      </c>
      <c r="Z45" s="21" t="s">
        <v>6</v>
      </c>
      <c r="AA45" s="35" t="s">
        <v>1</v>
      </c>
      <c r="AB45" s="35" t="s">
        <v>1</v>
      </c>
      <c r="AC45" s="2" t="s">
        <v>11</v>
      </c>
    </row>
    <row r="46" spans="1:29" s="44" customFormat="1" ht="13.8">
      <c r="A46" s="35" t="s">
        <v>7</v>
      </c>
      <c r="B46" s="35" t="s">
        <v>123</v>
      </c>
      <c r="C46" s="39" t="s">
        <v>89</v>
      </c>
      <c r="D46" s="36">
        <v>105.14</v>
      </c>
      <c r="E46" s="12">
        <v>50</v>
      </c>
      <c r="F46" s="21">
        <f t="shared" si="4"/>
        <v>4.8916666666666666</v>
      </c>
      <c r="G46" s="35">
        <v>0</v>
      </c>
      <c r="H46" s="35">
        <v>0</v>
      </c>
      <c r="I46" s="35">
        <v>0</v>
      </c>
      <c r="J46" s="35">
        <v>0</v>
      </c>
      <c r="K46" s="21">
        <v>2</v>
      </c>
      <c r="L46" s="36">
        <v>992</v>
      </c>
      <c r="M46" s="21">
        <v>1.1299999999999999</v>
      </c>
      <c r="N46" s="21">
        <v>4.556451612903226</v>
      </c>
      <c r="O46" s="17">
        <v>0</v>
      </c>
      <c r="P46" s="35">
        <v>0.04</v>
      </c>
      <c r="Q46" s="35">
        <v>100</v>
      </c>
      <c r="R46" s="35">
        <v>120</v>
      </c>
      <c r="S46" s="35">
        <v>25</v>
      </c>
      <c r="T46" s="21">
        <v>0.58699999999999997</v>
      </c>
      <c r="U46" s="21">
        <v>0.12</v>
      </c>
      <c r="V46" s="37">
        <v>12.37</v>
      </c>
      <c r="W46" s="37">
        <v>70.489999999999995</v>
      </c>
      <c r="X46" s="35" t="s">
        <v>1</v>
      </c>
      <c r="Y46" s="23" t="s">
        <v>6</v>
      </c>
      <c r="Z46" s="21" t="s">
        <v>6</v>
      </c>
      <c r="AA46" s="42" t="s">
        <v>1</v>
      </c>
      <c r="AB46" s="35" t="s">
        <v>1</v>
      </c>
      <c r="AC46" s="2" t="s">
        <v>12</v>
      </c>
    </row>
    <row r="47" spans="1:29" s="44" customFormat="1" ht="13.8">
      <c r="A47" s="35" t="s">
        <v>7</v>
      </c>
      <c r="B47" s="35" t="s">
        <v>180</v>
      </c>
      <c r="C47" s="35" t="s">
        <v>60</v>
      </c>
      <c r="D47" s="36">
        <v>600</v>
      </c>
      <c r="E47" s="12">
        <v>50</v>
      </c>
      <c r="F47" s="21">
        <f t="shared" si="4"/>
        <v>6.875</v>
      </c>
      <c r="G47" s="43" t="s">
        <v>122</v>
      </c>
      <c r="H47" s="35">
        <v>0</v>
      </c>
      <c r="I47" s="35">
        <v>4</v>
      </c>
      <c r="J47" s="35">
        <v>0</v>
      </c>
      <c r="K47" s="12">
        <v>1.25</v>
      </c>
      <c r="L47" s="36">
        <v>992</v>
      </c>
      <c r="M47" s="21">
        <v>1.1299999999999999</v>
      </c>
      <c r="N47" s="21">
        <v>4.556451612903226</v>
      </c>
      <c r="O47" s="17">
        <v>0</v>
      </c>
      <c r="P47" s="35">
        <v>0.04</v>
      </c>
      <c r="Q47" s="35">
        <v>100</v>
      </c>
      <c r="R47" s="35">
        <v>120</v>
      </c>
      <c r="S47" s="35">
        <v>25</v>
      </c>
      <c r="T47" s="21">
        <v>1.1000000000000001</v>
      </c>
      <c r="U47" s="21">
        <v>0.16</v>
      </c>
      <c r="V47" s="37">
        <v>14.22</v>
      </c>
      <c r="W47" s="37">
        <v>32.46</v>
      </c>
      <c r="X47" s="35" t="s">
        <v>1</v>
      </c>
      <c r="Y47" s="23" t="s">
        <v>6</v>
      </c>
      <c r="Z47" s="21" t="s">
        <v>6</v>
      </c>
      <c r="AA47" s="42" t="s">
        <v>1</v>
      </c>
      <c r="AB47" s="35" t="s">
        <v>1</v>
      </c>
      <c r="AC47" s="2" t="s">
        <v>12</v>
      </c>
    </row>
    <row r="48" spans="1:29" s="44" customFormat="1" ht="13.8">
      <c r="A48" s="35" t="s">
        <v>7</v>
      </c>
      <c r="B48" s="35" t="s">
        <v>180</v>
      </c>
      <c r="C48" s="35" t="s">
        <v>60</v>
      </c>
      <c r="D48" s="36">
        <v>600</v>
      </c>
      <c r="E48" s="12">
        <v>50</v>
      </c>
      <c r="F48" s="21">
        <f t="shared" si="4"/>
        <v>7.158823529411765</v>
      </c>
      <c r="G48" s="35" t="s">
        <v>55</v>
      </c>
      <c r="H48" s="35">
        <v>0</v>
      </c>
      <c r="I48" s="12">
        <v>2</v>
      </c>
      <c r="J48" s="35">
        <v>0</v>
      </c>
      <c r="K48" s="12">
        <v>0.91</v>
      </c>
      <c r="L48" s="36">
        <v>992</v>
      </c>
      <c r="M48" s="21">
        <v>1.1299999999999999</v>
      </c>
      <c r="N48" s="21">
        <v>4.556451612903226</v>
      </c>
      <c r="O48" s="17">
        <v>0</v>
      </c>
      <c r="P48" s="35">
        <v>0.04</v>
      </c>
      <c r="Q48" s="35">
        <v>100</v>
      </c>
      <c r="R48" s="35">
        <v>120</v>
      </c>
      <c r="S48" s="35">
        <v>25</v>
      </c>
      <c r="T48" s="21">
        <v>1.2170000000000001</v>
      </c>
      <c r="U48" s="21">
        <v>0.17</v>
      </c>
      <c r="V48" s="37">
        <v>19.059999999999999</v>
      </c>
      <c r="W48" s="37">
        <v>53.87</v>
      </c>
      <c r="X48" s="35">
        <v>60</v>
      </c>
      <c r="Y48" s="23" t="s">
        <v>6</v>
      </c>
      <c r="Z48" s="21">
        <v>5.4200000000000026</v>
      </c>
      <c r="AA48" s="35">
        <v>10</v>
      </c>
      <c r="AB48" s="35" t="s">
        <v>1</v>
      </c>
      <c r="AC48" s="2" t="s">
        <v>12</v>
      </c>
    </row>
    <row r="49" spans="1:29" s="44" customFormat="1" ht="13.8">
      <c r="A49" s="35" t="s">
        <v>7</v>
      </c>
      <c r="B49" s="35" t="s">
        <v>180</v>
      </c>
      <c r="C49" s="35" t="s">
        <v>60</v>
      </c>
      <c r="D49" s="36">
        <v>600</v>
      </c>
      <c r="E49" s="12">
        <v>50</v>
      </c>
      <c r="F49" s="21">
        <f t="shared" si="4"/>
        <v>7.158823529411765</v>
      </c>
      <c r="G49" s="35" t="s">
        <v>55</v>
      </c>
      <c r="H49" s="35">
        <v>0</v>
      </c>
      <c r="I49" s="12">
        <v>2</v>
      </c>
      <c r="J49" s="35">
        <v>0</v>
      </c>
      <c r="K49" s="12">
        <v>0.91</v>
      </c>
      <c r="L49" s="36">
        <v>992</v>
      </c>
      <c r="M49" s="21">
        <v>1.1299999999999999</v>
      </c>
      <c r="N49" s="21">
        <v>4.556451612903226</v>
      </c>
      <c r="O49" s="17">
        <v>0</v>
      </c>
      <c r="P49" s="35">
        <v>0.04</v>
      </c>
      <c r="Q49" s="35">
        <v>100</v>
      </c>
      <c r="R49" s="35">
        <v>120</v>
      </c>
      <c r="S49" s="35">
        <v>25</v>
      </c>
      <c r="T49" s="21">
        <v>1.2170000000000001</v>
      </c>
      <c r="U49" s="21">
        <v>0.17</v>
      </c>
      <c r="V49" s="37">
        <v>19.059999999999999</v>
      </c>
      <c r="W49" s="37">
        <v>53.87</v>
      </c>
      <c r="X49" s="35">
        <v>70</v>
      </c>
      <c r="Y49" s="23" t="s">
        <v>6</v>
      </c>
      <c r="Z49" s="21">
        <v>1.3720999999999983</v>
      </c>
      <c r="AA49" s="35">
        <v>10</v>
      </c>
      <c r="AB49" s="35" t="s">
        <v>1</v>
      </c>
      <c r="AC49" s="2" t="s">
        <v>12</v>
      </c>
    </row>
    <row r="50" spans="1:29" s="44" customFormat="1" ht="13.8">
      <c r="A50" s="35" t="s">
        <v>7</v>
      </c>
      <c r="B50" s="35" t="s">
        <v>180</v>
      </c>
      <c r="C50" s="35" t="s">
        <v>60</v>
      </c>
      <c r="D50" s="36">
        <v>600</v>
      </c>
      <c r="E50" s="12">
        <v>50</v>
      </c>
      <c r="F50" s="21">
        <f t="shared" si="4"/>
        <v>7.158823529411765</v>
      </c>
      <c r="G50" s="35" t="s">
        <v>55</v>
      </c>
      <c r="H50" s="35">
        <v>0</v>
      </c>
      <c r="I50" s="12">
        <v>2</v>
      </c>
      <c r="J50" s="35">
        <v>0</v>
      </c>
      <c r="K50" s="12">
        <v>0.91</v>
      </c>
      <c r="L50" s="36">
        <v>992</v>
      </c>
      <c r="M50" s="21">
        <v>1.1299999999999999</v>
      </c>
      <c r="N50" s="21">
        <v>4.556451612903226</v>
      </c>
      <c r="O50" s="17">
        <v>0</v>
      </c>
      <c r="P50" s="35">
        <v>0.04</v>
      </c>
      <c r="Q50" s="35">
        <v>100</v>
      </c>
      <c r="R50" s="35">
        <v>120</v>
      </c>
      <c r="S50" s="35">
        <v>25</v>
      </c>
      <c r="T50" s="21">
        <v>1.2170000000000001</v>
      </c>
      <c r="U50" s="21">
        <v>0.17</v>
      </c>
      <c r="V50" s="37">
        <v>19.059999999999999</v>
      </c>
      <c r="W50" s="37">
        <v>53.87</v>
      </c>
      <c r="X50" s="35">
        <v>80</v>
      </c>
      <c r="Y50" s="23" t="s">
        <v>6</v>
      </c>
      <c r="Z50" s="21">
        <v>4.1499999999999986</v>
      </c>
      <c r="AA50" s="35">
        <v>10</v>
      </c>
      <c r="AB50" s="35" t="s">
        <v>1</v>
      </c>
      <c r="AC50" s="2" t="s">
        <v>12</v>
      </c>
    </row>
    <row r="51" spans="1:29" s="44" customFormat="1" ht="13.8">
      <c r="A51" s="35" t="s">
        <v>7</v>
      </c>
      <c r="B51" s="35" t="s">
        <v>180</v>
      </c>
      <c r="C51" s="35" t="s">
        <v>60</v>
      </c>
      <c r="D51" s="36">
        <v>600</v>
      </c>
      <c r="E51" s="12">
        <v>50</v>
      </c>
      <c r="F51" s="21">
        <f t="shared" si="4"/>
        <v>7.158823529411765</v>
      </c>
      <c r="G51" s="35" t="s">
        <v>55</v>
      </c>
      <c r="H51" s="35">
        <v>0</v>
      </c>
      <c r="I51" s="12">
        <v>2</v>
      </c>
      <c r="J51" s="35">
        <v>0</v>
      </c>
      <c r="K51" s="12">
        <v>0.91</v>
      </c>
      <c r="L51" s="36">
        <v>992</v>
      </c>
      <c r="M51" s="21">
        <v>1.1299999999999999</v>
      </c>
      <c r="N51" s="21">
        <v>4.556451612903226</v>
      </c>
      <c r="O51" s="17">
        <v>0</v>
      </c>
      <c r="P51" s="35">
        <v>0.04</v>
      </c>
      <c r="Q51" s="35">
        <v>100</v>
      </c>
      <c r="R51" s="35">
        <v>120</v>
      </c>
      <c r="S51" s="35">
        <v>25</v>
      </c>
      <c r="T51" s="21">
        <v>1.2170000000000001</v>
      </c>
      <c r="U51" s="21">
        <v>0.17</v>
      </c>
      <c r="V51" s="37">
        <v>19.059999999999999</v>
      </c>
      <c r="W51" s="37">
        <v>53.87</v>
      </c>
      <c r="X51" s="35">
        <v>90</v>
      </c>
      <c r="Y51" s="23" t="s">
        <v>6</v>
      </c>
      <c r="Z51" s="21">
        <v>8.9010000000000034</v>
      </c>
      <c r="AA51" s="35">
        <v>10</v>
      </c>
      <c r="AB51" s="35" t="s">
        <v>1</v>
      </c>
      <c r="AC51" s="2" t="s">
        <v>12</v>
      </c>
    </row>
    <row r="52" spans="1:29" s="44" customFormat="1" ht="13.8">
      <c r="A52" s="35" t="s">
        <v>7</v>
      </c>
      <c r="B52" s="35" t="s">
        <v>180</v>
      </c>
      <c r="C52" s="35" t="s">
        <v>60</v>
      </c>
      <c r="D52" s="36">
        <v>600</v>
      </c>
      <c r="E52" s="12">
        <v>50</v>
      </c>
      <c r="F52" s="21">
        <f t="shared" si="4"/>
        <v>7.158823529411765</v>
      </c>
      <c r="G52" s="35" t="s">
        <v>55</v>
      </c>
      <c r="H52" s="35">
        <v>0</v>
      </c>
      <c r="I52" s="12">
        <v>2</v>
      </c>
      <c r="J52" s="35">
        <v>0</v>
      </c>
      <c r="K52" s="12">
        <v>0.91</v>
      </c>
      <c r="L52" s="36">
        <v>992</v>
      </c>
      <c r="M52" s="21">
        <v>1.1299999999999999</v>
      </c>
      <c r="N52" s="21">
        <v>4.556451612903226</v>
      </c>
      <c r="O52" s="17">
        <v>0</v>
      </c>
      <c r="P52" s="35">
        <v>0.04</v>
      </c>
      <c r="Q52" s="35">
        <v>100</v>
      </c>
      <c r="R52" s="35">
        <v>120</v>
      </c>
      <c r="S52" s="35">
        <v>25</v>
      </c>
      <c r="T52" s="21">
        <v>1.2170000000000001</v>
      </c>
      <c r="U52" s="21">
        <v>0.17</v>
      </c>
      <c r="V52" s="37">
        <v>19.059999999999999</v>
      </c>
      <c r="W52" s="37">
        <v>53.87</v>
      </c>
      <c r="X52" s="35">
        <v>110</v>
      </c>
      <c r="Y52" s="23" t="s">
        <v>6</v>
      </c>
      <c r="Z52" s="21">
        <v>31.310499999999998</v>
      </c>
      <c r="AA52" s="35">
        <v>10</v>
      </c>
      <c r="AB52" s="35" t="s">
        <v>1</v>
      </c>
      <c r="AC52" s="2" t="s">
        <v>126</v>
      </c>
    </row>
    <row r="53" spans="1:29" s="44" customFormat="1" ht="13.8">
      <c r="A53" s="35" t="s">
        <v>7</v>
      </c>
      <c r="B53" s="35" t="s">
        <v>180</v>
      </c>
      <c r="C53" s="35" t="s">
        <v>60</v>
      </c>
      <c r="D53" s="36">
        <v>600</v>
      </c>
      <c r="E53" s="12">
        <v>50</v>
      </c>
      <c r="F53" s="21">
        <f t="shared" si="4"/>
        <v>8.1</v>
      </c>
      <c r="G53" s="35" t="s">
        <v>55</v>
      </c>
      <c r="H53" s="35">
        <v>0</v>
      </c>
      <c r="I53" s="12">
        <v>1</v>
      </c>
      <c r="J53" s="35">
        <v>0</v>
      </c>
      <c r="K53" s="12">
        <v>0.59</v>
      </c>
      <c r="L53" s="36">
        <v>992</v>
      </c>
      <c r="M53" s="21">
        <v>1.1299999999999999</v>
      </c>
      <c r="N53" s="21">
        <v>4.556451612903226</v>
      </c>
      <c r="O53" s="17">
        <v>0</v>
      </c>
      <c r="P53" s="35">
        <v>0.04</v>
      </c>
      <c r="Q53" s="35">
        <v>100</v>
      </c>
      <c r="R53" s="35">
        <v>120</v>
      </c>
      <c r="S53" s="35">
        <v>25</v>
      </c>
      <c r="T53" s="21">
        <v>1.62</v>
      </c>
      <c r="U53" s="21">
        <v>0.2</v>
      </c>
      <c r="V53" s="37">
        <v>23.98</v>
      </c>
      <c r="W53" s="37">
        <v>57.95</v>
      </c>
      <c r="X53" s="35">
        <v>60</v>
      </c>
      <c r="Y53" s="23" t="s">
        <v>6</v>
      </c>
      <c r="Z53" s="21">
        <v>13.290000000000003</v>
      </c>
      <c r="AA53" s="35">
        <v>10</v>
      </c>
      <c r="AB53" s="35" t="s">
        <v>1</v>
      </c>
      <c r="AC53" s="2" t="s">
        <v>126</v>
      </c>
    </row>
    <row r="54" spans="1:29" s="44" customFormat="1" ht="13.8">
      <c r="A54" s="35" t="s">
        <v>7</v>
      </c>
      <c r="B54" s="35" t="s">
        <v>180</v>
      </c>
      <c r="C54" s="35" t="s">
        <v>60</v>
      </c>
      <c r="D54" s="36">
        <v>600</v>
      </c>
      <c r="E54" s="12">
        <v>50</v>
      </c>
      <c r="F54" s="21">
        <f t="shared" si="4"/>
        <v>8.1</v>
      </c>
      <c r="G54" s="35" t="s">
        <v>55</v>
      </c>
      <c r="H54" s="35">
        <v>0</v>
      </c>
      <c r="I54" s="12">
        <v>1</v>
      </c>
      <c r="J54" s="35">
        <v>0</v>
      </c>
      <c r="K54" s="12">
        <v>0.59</v>
      </c>
      <c r="L54" s="36">
        <v>992</v>
      </c>
      <c r="M54" s="21">
        <v>1.1299999999999999</v>
      </c>
      <c r="N54" s="21">
        <v>4.556451612903226</v>
      </c>
      <c r="O54" s="17">
        <v>0</v>
      </c>
      <c r="P54" s="35">
        <v>0.04</v>
      </c>
      <c r="Q54" s="35">
        <v>100</v>
      </c>
      <c r="R54" s="35">
        <v>120</v>
      </c>
      <c r="S54" s="35">
        <v>25</v>
      </c>
      <c r="T54" s="21">
        <v>1.62</v>
      </c>
      <c r="U54" s="21">
        <v>0.2</v>
      </c>
      <c r="V54" s="37">
        <v>23.98</v>
      </c>
      <c r="W54" s="37">
        <v>57.95</v>
      </c>
      <c r="X54" s="35">
        <v>70</v>
      </c>
      <c r="Y54" s="23" t="s">
        <v>6</v>
      </c>
      <c r="Z54" s="21">
        <v>1.8808000000000047</v>
      </c>
      <c r="AA54" s="35">
        <v>10</v>
      </c>
      <c r="AB54" s="35" t="s">
        <v>1</v>
      </c>
      <c r="AC54" s="2" t="s">
        <v>126</v>
      </c>
    </row>
    <row r="55" spans="1:29" s="44" customFormat="1" ht="13.8">
      <c r="A55" s="35" t="s">
        <v>7</v>
      </c>
      <c r="B55" s="35" t="s">
        <v>180</v>
      </c>
      <c r="C55" s="35" t="s">
        <v>60</v>
      </c>
      <c r="D55" s="36">
        <v>600</v>
      </c>
      <c r="E55" s="12">
        <v>50</v>
      </c>
      <c r="F55" s="21">
        <f t="shared" si="4"/>
        <v>8.1</v>
      </c>
      <c r="G55" s="35" t="s">
        <v>122</v>
      </c>
      <c r="H55" s="35">
        <v>0</v>
      </c>
      <c r="I55" s="12">
        <v>1</v>
      </c>
      <c r="J55" s="35">
        <v>0</v>
      </c>
      <c r="K55" s="12">
        <v>0.59</v>
      </c>
      <c r="L55" s="36">
        <v>992</v>
      </c>
      <c r="M55" s="21">
        <v>1.1299999999999999</v>
      </c>
      <c r="N55" s="21">
        <v>4.556451612903226</v>
      </c>
      <c r="O55" s="17">
        <v>0</v>
      </c>
      <c r="P55" s="35">
        <v>0.04</v>
      </c>
      <c r="Q55" s="35">
        <v>100</v>
      </c>
      <c r="R55" s="35">
        <v>120</v>
      </c>
      <c r="S55" s="35">
        <v>25</v>
      </c>
      <c r="T55" s="21">
        <v>1.62</v>
      </c>
      <c r="U55" s="21">
        <v>0.2</v>
      </c>
      <c r="V55" s="37">
        <v>23.98</v>
      </c>
      <c r="W55" s="37">
        <v>57.95</v>
      </c>
      <c r="X55" s="35">
        <v>70</v>
      </c>
      <c r="Y55" s="23" t="s">
        <v>6</v>
      </c>
      <c r="Z55" s="21">
        <v>21.999999999999996</v>
      </c>
      <c r="AA55" s="35">
        <v>50</v>
      </c>
      <c r="AB55" s="35" t="s">
        <v>1</v>
      </c>
      <c r="AC55" s="2" t="s">
        <v>126</v>
      </c>
    </row>
    <row r="56" spans="1:29" s="44" customFormat="1" ht="13.8">
      <c r="A56" s="35" t="s">
        <v>7</v>
      </c>
      <c r="B56" s="35" t="s">
        <v>180</v>
      </c>
      <c r="C56" s="35" t="s">
        <v>60</v>
      </c>
      <c r="D56" s="36">
        <v>600</v>
      </c>
      <c r="E56" s="12">
        <v>50</v>
      </c>
      <c r="F56" s="21">
        <f t="shared" si="4"/>
        <v>8.1</v>
      </c>
      <c r="G56" s="35" t="s">
        <v>55</v>
      </c>
      <c r="H56" s="35">
        <v>0</v>
      </c>
      <c r="I56" s="12">
        <v>1</v>
      </c>
      <c r="J56" s="35">
        <v>0</v>
      </c>
      <c r="K56" s="12">
        <v>0.59</v>
      </c>
      <c r="L56" s="36">
        <v>992</v>
      </c>
      <c r="M56" s="21">
        <v>1.1299999999999999</v>
      </c>
      <c r="N56" s="21">
        <v>4.556451612903226</v>
      </c>
      <c r="O56" s="17">
        <v>0</v>
      </c>
      <c r="P56" s="35">
        <v>0.04</v>
      </c>
      <c r="Q56" s="35">
        <v>100</v>
      </c>
      <c r="R56" s="35">
        <v>120</v>
      </c>
      <c r="S56" s="35">
        <v>25</v>
      </c>
      <c r="T56" s="21">
        <v>1.62</v>
      </c>
      <c r="U56" s="21">
        <v>0.2</v>
      </c>
      <c r="V56" s="37">
        <v>23.98</v>
      </c>
      <c r="W56" s="37">
        <v>57.95</v>
      </c>
      <c r="X56" s="35">
        <v>80</v>
      </c>
      <c r="Y56" s="23" t="s">
        <v>6</v>
      </c>
      <c r="Z56" s="21">
        <v>3.3582000000000001</v>
      </c>
      <c r="AA56" s="35">
        <v>10</v>
      </c>
      <c r="AB56" s="35" t="s">
        <v>1</v>
      </c>
      <c r="AC56" s="2" t="s">
        <v>126</v>
      </c>
    </row>
    <row r="57" spans="1:29" s="44" customFormat="1" ht="13.8">
      <c r="A57" s="35" t="s">
        <v>7</v>
      </c>
      <c r="B57" s="35" t="s">
        <v>180</v>
      </c>
      <c r="C57" s="35" t="s">
        <v>60</v>
      </c>
      <c r="D57" s="36">
        <v>600</v>
      </c>
      <c r="E57" s="12">
        <v>50</v>
      </c>
      <c r="F57" s="21">
        <f t="shared" si="4"/>
        <v>8.1</v>
      </c>
      <c r="G57" s="35" t="s">
        <v>55</v>
      </c>
      <c r="H57" s="35">
        <v>0</v>
      </c>
      <c r="I57" s="12">
        <v>1</v>
      </c>
      <c r="J57" s="35">
        <v>0</v>
      </c>
      <c r="K57" s="12">
        <v>0.59</v>
      </c>
      <c r="L57" s="36">
        <v>992</v>
      </c>
      <c r="M57" s="21">
        <v>1.1299999999999999</v>
      </c>
      <c r="N57" s="21">
        <v>4.556451612903226</v>
      </c>
      <c r="O57" s="17">
        <v>0</v>
      </c>
      <c r="P57" s="35">
        <v>0.04</v>
      </c>
      <c r="Q57" s="35">
        <v>100</v>
      </c>
      <c r="R57" s="35">
        <v>120</v>
      </c>
      <c r="S57" s="35">
        <v>25</v>
      </c>
      <c r="T57" s="21">
        <v>1.62</v>
      </c>
      <c r="U57" s="21">
        <v>0.2</v>
      </c>
      <c r="V57" s="37">
        <v>23.98</v>
      </c>
      <c r="W57" s="37">
        <v>57.95</v>
      </c>
      <c r="X57" s="35">
        <v>90</v>
      </c>
      <c r="Y57" s="23" t="s">
        <v>6</v>
      </c>
      <c r="Z57" s="21">
        <v>12.216000000000005</v>
      </c>
      <c r="AA57" s="35">
        <v>10</v>
      </c>
      <c r="AB57" s="35" t="s">
        <v>1</v>
      </c>
      <c r="AC57" s="2" t="s">
        <v>126</v>
      </c>
    </row>
    <row r="58" spans="1:29" s="44" customFormat="1" ht="13.8">
      <c r="A58" s="35" t="s">
        <v>7</v>
      </c>
      <c r="B58" s="35" t="s">
        <v>180</v>
      </c>
      <c r="C58" s="35" t="s">
        <v>60</v>
      </c>
      <c r="D58" s="36">
        <v>600</v>
      </c>
      <c r="E58" s="12">
        <v>50</v>
      </c>
      <c r="F58" s="21">
        <f t="shared" si="4"/>
        <v>8.1</v>
      </c>
      <c r="G58" s="35" t="s">
        <v>55</v>
      </c>
      <c r="H58" s="35">
        <v>0</v>
      </c>
      <c r="I58" s="12">
        <v>1</v>
      </c>
      <c r="J58" s="35">
        <v>0</v>
      </c>
      <c r="K58" s="12">
        <v>0.59</v>
      </c>
      <c r="L58" s="36">
        <v>992</v>
      </c>
      <c r="M58" s="21">
        <v>1.1299999999999999</v>
      </c>
      <c r="N58" s="21">
        <v>4.556451612903226</v>
      </c>
      <c r="O58" s="17">
        <v>0</v>
      </c>
      <c r="P58" s="35">
        <v>0.04</v>
      </c>
      <c r="Q58" s="35">
        <v>100</v>
      </c>
      <c r="R58" s="35">
        <v>120</v>
      </c>
      <c r="S58" s="35">
        <v>25</v>
      </c>
      <c r="T58" s="21">
        <v>1.62</v>
      </c>
      <c r="U58" s="21">
        <v>0.2</v>
      </c>
      <c r="V58" s="37">
        <v>23.98</v>
      </c>
      <c r="W58" s="37">
        <v>57.95</v>
      </c>
      <c r="X58" s="35">
        <v>110</v>
      </c>
      <c r="Y58" s="23" t="s">
        <v>6</v>
      </c>
      <c r="Z58" s="21">
        <v>17.900000000000006</v>
      </c>
      <c r="AA58" s="35">
        <v>10</v>
      </c>
      <c r="AB58" s="35" t="s">
        <v>1</v>
      </c>
      <c r="AC58" s="2" t="s">
        <v>126</v>
      </c>
    </row>
    <row r="59" spans="1:29" s="44" customFormat="1" ht="13.8">
      <c r="A59" s="35" t="s">
        <v>7</v>
      </c>
      <c r="B59" s="35" t="s">
        <v>180</v>
      </c>
      <c r="C59" s="35" t="s">
        <v>60</v>
      </c>
      <c r="D59" s="36">
        <v>600</v>
      </c>
      <c r="E59" s="12">
        <v>50</v>
      </c>
      <c r="F59" s="21">
        <f t="shared" si="4"/>
        <v>9.4499999999999993</v>
      </c>
      <c r="G59" s="35" t="s">
        <v>55</v>
      </c>
      <c r="H59" s="35">
        <v>0</v>
      </c>
      <c r="I59" s="12">
        <v>0.5</v>
      </c>
      <c r="J59" s="35">
        <v>0</v>
      </c>
      <c r="K59" s="12">
        <v>0.34</v>
      </c>
      <c r="L59" s="36">
        <v>992</v>
      </c>
      <c r="M59" s="21">
        <v>1.1299999999999999</v>
      </c>
      <c r="N59" s="21">
        <v>4.556451612903226</v>
      </c>
      <c r="O59" s="17">
        <v>0</v>
      </c>
      <c r="P59" s="35">
        <v>0.04</v>
      </c>
      <c r="Q59" s="35">
        <v>100</v>
      </c>
      <c r="R59" s="35">
        <v>120</v>
      </c>
      <c r="S59" s="35">
        <v>25</v>
      </c>
      <c r="T59" s="21">
        <v>1.512</v>
      </c>
      <c r="U59" s="21">
        <v>0.16</v>
      </c>
      <c r="V59" s="37">
        <v>23.33</v>
      </c>
      <c r="W59" s="37">
        <v>60.19</v>
      </c>
      <c r="X59" s="35">
        <v>60</v>
      </c>
      <c r="Y59" s="23" t="s">
        <v>6</v>
      </c>
      <c r="Z59" s="21">
        <v>26.41</v>
      </c>
      <c r="AA59" s="35">
        <v>10</v>
      </c>
      <c r="AB59" s="35" t="s">
        <v>1</v>
      </c>
      <c r="AC59" s="2" t="s">
        <v>126</v>
      </c>
    </row>
    <row r="60" spans="1:29" s="44" customFormat="1" ht="13.8">
      <c r="A60" s="35" t="s">
        <v>7</v>
      </c>
      <c r="B60" s="35" t="s">
        <v>180</v>
      </c>
      <c r="C60" s="35" t="s">
        <v>60</v>
      </c>
      <c r="D60" s="36">
        <v>600</v>
      </c>
      <c r="E60" s="12">
        <v>50</v>
      </c>
      <c r="F60" s="21">
        <f t="shared" si="4"/>
        <v>9.4499999999999993</v>
      </c>
      <c r="G60" s="35" t="s">
        <v>55</v>
      </c>
      <c r="H60" s="35">
        <v>0</v>
      </c>
      <c r="I60" s="12">
        <v>0.5</v>
      </c>
      <c r="J60" s="35">
        <v>0</v>
      </c>
      <c r="K60" s="12">
        <v>0.34</v>
      </c>
      <c r="L60" s="36">
        <v>992</v>
      </c>
      <c r="M60" s="21">
        <v>1.1299999999999999</v>
      </c>
      <c r="N60" s="21">
        <v>4.556451612903226</v>
      </c>
      <c r="O60" s="17">
        <v>0</v>
      </c>
      <c r="P60" s="35">
        <v>0.04</v>
      </c>
      <c r="Q60" s="35">
        <v>100</v>
      </c>
      <c r="R60" s="35">
        <v>120</v>
      </c>
      <c r="S60" s="35">
        <v>25</v>
      </c>
      <c r="T60" s="21">
        <v>1.512</v>
      </c>
      <c r="U60" s="21">
        <v>0.16</v>
      </c>
      <c r="V60" s="37">
        <v>23.33</v>
      </c>
      <c r="W60" s="37">
        <v>60.19</v>
      </c>
      <c r="X60" s="35">
        <v>70</v>
      </c>
      <c r="Y60" s="23" t="s">
        <v>6</v>
      </c>
      <c r="Z60" s="21">
        <v>7.3500000000000014</v>
      </c>
      <c r="AA60" s="35">
        <v>10</v>
      </c>
      <c r="AB60" s="35" t="s">
        <v>1</v>
      </c>
      <c r="AC60" s="2" t="s">
        <v>126</v>
      </c>
    </row>
    <row r="61" spans="1:29" s="44" customFormat="1" ht="13.8">
      <c r="A61" s="35" t="s">
        <v>7</v>
      </c>
      <c r="B61" s="35" t="s">
        <v>180</v>
      </c>
      <c r="C61" s="35" t="s">
        <v>60</v>
      </c>
      <c r="D61" s="36">
        <v>600</v>
      </c>
      <c r="E61" s="12">
        <v>50</v>
      </c>
      <c r="F61" s="21">
        <f t="shared" si="4"/>
        <v>9.4499999999999993</v>
      </c>
      <c r="G61" s="35" t="s">
        <v>55</v>
      </c>
      <c r="H61" s="35">
        <v>0</v>
      </c>
      <c r="I61" s="12">
        <v>0.5</v>
      </c>
      <c r="J61" s="35">
        <v>0</v>
      </c>
      <c r="K61" s="12">
        <v>0.34</v>
      </c>
      <c r="L61" s="36">
        <v>992</v>
      </c>
      <c r="M61" s="21">
        <v>1.1299999999999999</v>
      </c>
      <c r="N61" s="21">
        <v>4.556451612903226</v>
      </c>
      <c r="O61" s="17">
        <v>0</v>
      </c>
      <c r="P61" s="35">
        <v>0.04</v>
      </c>
      <c r="Q61" s="35">
        <v>100</v>
      </c>
      <c r="R61" s="35">
        <v>120</v>
      </c>
      <c r="S61" s="35">
        <v>25</v>
      </c>
      <c r="T61" s="21">
        <v>1.512</v>
      </c>
      <c r="U61" s="21">
        <v>0.16</v>
      </c>
      <c r="V61" s="37">
        <v>23.33</v>
      </c>
      <c r="W61" s="37">
        <v>60.19</v>
      </c>
      <c r="X61" s="35">
        <v>80</v>
      </c>
      <c r="Y61" s="23" t="s">
        <v>6</v>
      </c>
      <c r="Z61" s="21">
        <v>3.9100000000000024</v>
      </c>
      <c r="AA61" s="35">
        <v>10</v>
      </c>
      <c r="AB61" s="35" t="s">
        <v>1</v>
      </c>
      <c r="AC61" s="2" t="s">
        <v>126</v>
      </c>
    </row>
    <row r="62" spans="1:29" s="44" customFormat="1" ht="13.8">
      <c r="A62" s="35" t="s">
        <v>7</v>
      </c>
      <c r="B62" s="35" t="s">
        <v>180</v>
      </c>
      <c r="C62" s="35" t="s">
        <v>60</v>
      </c>
      <c r="D62" s="36">
        <v>600</v>
      </c>
      <c r="E62" s="12">
        <v>50</v>
      </c>
      <c r="F62" s="21">
        <f t="shared" si="4"/>
        <v>9.4499999999999993</v>
      </c>
      <c r="G62" s="35" t="s">
        <v>55</v>
      </c>
      <c r="H62" s="35">
        <v>0</v>
      </c>
      <c r="I62" s="12">
        <v>0.5</v>
      </c>
      <c r="J62" s="35">
        <v>0</v>
      </c>
      <c r="K62" s="12">
        <v>0.34</v>
      </c>
      <c r="L62" s="36">
        <v>992</v>
      </c>
      <c r="M62" s="21">
        <v>1.1299999999999999</v>
      </c>
      <c r="N62" s="21">
        <v>4.556451612903226</v>
      </c>
      <c r="O62" s="17">
        <v>0</v>
      </c>
      <c r="P62" s="35">
        <v>0.04</v>
      </c>
      <c r="Q62" s="35">
        <v>100</v>
      </c>
      <c r="R62" s="35">
        <v>120</v>
      </c>
      <c r="S62" s="35">
        <v>25</v>
      </c>
      <c r="T62" s="21">
        <v>1.512</v>
      </c>
      <c r="U62" s="21">
        <v>0.16</v>
      </c>
      <c r="V62" s="37">
        <v>23.33</v>
      </c>
      <c r="W62" s="37">
        <v>60.19</v>
      </c>
      <c r="X62" s="35">
        <v>90</v>
      </c>
      <c r="Y62" s="23" t="s">
        <v>6</v>
      </c>
      <c r="Z62" s="21">
        <v>5.4910000000000014</v>
      </c>
      <c r="AA62" s="35">
        <v>10</v>
      </c>
      <c r="AB62" s="35" t="s">
        <v>1</v>
      </c>
      <c r="AC62" s="2" t="s">
        <v>126</v>
      </c>
    </row>
    <row r="63" spans="1:29" s="44" customFormat="1" ht="13.8">
      <c r="A63" s="35" t="s">
        <v>7</v>
      </c>
      <c r="B63" s="35" t="s">
        <v>180</v>
      </c>
      <c r="C63" s="35" t="s">
        <v>60</v>
      </c>
      <c r="D63" s="36">
        <v>600</v>
      </c>
      <c r="E63" s="12">
        <v>50</v>
      </c>
      <c r="F63" s="21">
        <f t="shared" ref="F63:F94" si="7">T63/U63</f>
        <v>9.4499999999999993</v>
      </c>
      <c r="G63" s="35" t="s">
        <v>55</v>
      </c>
      <c r="H63" s="35">
        <v>0</v>
      </c>
      <c r="I63" s="12">
        <v>0.5</v>
      </c>
      <c r="J63" s="35">
        <v>0</v>
      </c>
      <c r="K63" s="12">
        <v>0.34</v>
      </c>
      <c r="L63" s="36">
        <v>992</v>
      </c>
      <c r="M63" s="21">
        <v>1.1299999999999999</v>
      </c>
      <c r="N63" s="21">
        <v>4.556451612903226</v>
      </c>
      <c r="O63" s="17">
        <v>0</v>
      </c>
      <c r="P63" s="35">
        <v>0.04</v>
      </c>
      <c r="Q63" s="35">
        <v>100</v>
      </c>
      <c r="R63" s="35">
        <v>120</v>
      </c>
      <c r="S63" s="35">
        <v>25</v>
      </c>
      <c r="T63" s="21">
        <v>1.512</v>
      </c>
      <c r="U63" s="21">
        <v>0.16</v>
      </c>
      <c r="V63" s="37">
        <v>23.33</v>
      </c>
      <c r="W63" s="37">
        <v>60.19</v>
      </c>
      <c r="X63" s="35">
        <v>110</v>
      </c>
      <c r="Y63" s="23" t="s">
        <v>6</v>
      </c>
      <c r="Z63" s="21">
        <v>8.3099999999999952</v>
      </c>
      <c r="AA63" s="35">
        <v>10</v>
      </c>
      <c r="AB63" s="35" t="s">
        <v>1</v>
      </c>
      <c r="AC63" s="2" t="s">
        <v>126</v>
      </c>
    </row>
    <row r="64" spans="1:29" s="44" customFormat="1" ht="13.8">
      <c r="A64" s="35" t="s">
        <v>7</v>
      </c>
      <c r="B64" s="35" t="s">
        <v>180</v>
      </c>
      <c r="C64" s="35" t="s">
        <v>60</v>
      </c>
      <c r="D64" s="36">
        <v>600</v>
      </c>
      <c r="E64" s="12">
        <v>50</v>
      </c>
      <c r="F64" s="21">
        <f t="shared" si="7"/>
        <v>9.9307692307692292</v>
      </c>
      <c r="G64" s="35" t="s">
        <v>55</v>
      </c>
      <c r="H64" s="35">
        <v>0</v>
      </c>
      <c r="I64" s="12">
        <v>0.25</v>
      </c>
      <c r="J64" s="35">
        <v>0</v>
      </c>
      <c r="K64" s="12">
        <v>0.19</v>
      </c>
      <c r="L64" s="36">
        <v>992</v>
      </c>
      <c r="M64" s="21">
        <v>1.1299999999999999</v>
      </c>
      <c r="N64" s="21">
        <v>4.556451612903226</v>
      </c>
      <c r="O64" s="17">
        <v>0</v>
      </c>
      <c r="P64" s="35">
        <v>0.04</v>
      </c>
      <c r="Q64" s="35">
        <v>100</v>
      </c>
      <c r="R64" s="35">
        <v>120</v>
      </c>
      <c r="S64" s="35">
        <v>25</v>
      </c>
      <c r="T64" s="21">
        <v>1.2909999999999999</v>
      </c>
      <c r="U64" s="21">
        <v>0.13</v>
      </c>
      <c r="V64" s="37">
        <v>20.079999999999998</v>
      </c>
      <c r="W64" s="37">
        <v>76.88</v>
      </c>
      <c r="X64" s="35">
        <v>60</v>
      </c>
      <c r="Y64" s="23" t="s">
        <v>6</v>
      </c>
      <c r="Z64" s="21">
        <v>41.712000000000003</v>
      </c>
      <c r="AA64" s="35">
        <v>10</v>
      </c>
      <c r="AB64" s="35" t="s">
        <v>1</v>
      </c>
      <c r="AC64" s="2" t="s">
        <v>126</v>
      </c>
    </row>
    <row r="65" spans="1:29" s="44" customFormat="1" ht="13.8">
      <c r="A65" s="35" t="s">
        <v>7</v>
      </c>
      <c r="B65" s="35" t="s">
        <v>180</v>
      </c>
      <c r="C65" s="35" t="s">
        <v>60</v>
      </c>
      <c r="D65" s="36">
        <v>600</v>
      </c>
      <c r="E65" s="12">
        <v>50</v>
      </c>
      <c r="F65" s="21">
        <f t="shared" si="7"/>
        <v>9.9307692307692292</v>
      </c>
      <c r="G65" s="35" t="s">
        <v>55</v>
      </c>
      <c r="H65" s="35">
        <v>0</v>
      </c>
      <c r="I65" s="12">
        <v>0.25</v>
      </c>
      <c r="J65" s="35">
        <v>0</v>
      </c>
      <c r="K65" s="12">
        <v>0.19</v>
      </c>
      <c r="L65" s="36">
        <v>992</v>
      </c>
      <c r="M65" s="21">
        <v>1.1299999999999999</v>
      </c>
      <c r="N65" s="21">
        <v>4.556451612903226</v>
      </c>
      <c r="O65" s="17">
        <v>0</v>
      </c>
      <c r="P65" s="35">
        <v>0.04</v>
      </c>
      <c r="Q65" s="35">
        <v>100</v>
      </c>
      <c r="R65" s="35">
        <v>120</v>
      </c>
      <c r="S65" s="35">
        <v>25</v>
      </c>
      <c r="T65" s="21">
        <v>1.2909999999999999</v>
      </c>
      <c r="U65" s="21">
        <v>0.13</v>
      </c>
      <c r="V65" s="37">
        <v>20.079999999999998</v>
      </c>
      <c r="W65" s="37">
        <v>76.88</v>
      </c>
      <c r="X65" s="35">
        <v>70</v>
      </c>
      <c r="Y65" s="23" t="s">
        <v>6</v>
      </c>
      <c r="Z65" s="21">
        <v>21.07</v>
      </c>
      <c r="AA65" s="35">
        <v>10</v>
      </c>
      <c r="AB65" s="35" t="s">
        <v>1</v>
      </c>
      <c r="AC65" s="2" t="s">
        <v>126</v>
      </c>
    </row>
    <row r="66" spans="1:29" s="44" customFormat="1" ht="13.8">
      <c r="A66" s="35" t="s">
        <v>7</v>
      </c>
      <c r="B66" s="35" t="s">
        <v>180</v>
      </c>
      <c r="C66" s="35" t="s">
        <v>60</v>
      </c>
      <c r="D66" s="36">
        <v>600</v>
      </c>
      <c r="E66" s="12">
        <v>50</v>
      </c>
      <c r="F66" s="21">
        <f t="shared" si="7"/>
        <v>9.9307692307692292</v>
      </c>
      <c r="G66" s="35" t="s">
        <v>55</v>
      </c>
      <c r="H66" s="35">
        <v>0</v>
      </c>
      <c r="I66" s="12">
        <v>0.25</v>
      </c>
      <c r="J66" s="35">
        <v>0</v>
      </c>
      <c r="K66" s="12">
        <v>0.19</v>
      </c>
      <c r="L66" s="36">
        <v>992</v>
      </c>
      <c r="M66" s="21">
        <v>1.1299999999999999</v>
      </c>
      <c r="N66" s="21">
        <v>4.556451612903226</v>
      </c>
      <c r="O66" s="17">
        <v>0</v>
      </c>
      <c r="P66" s="35">
        <v>0.04</v>
      </c>
      <c r="Q66" s="35">
        <v>100</v>
      </c>
      <c r="R66" s="35">
        <v>120</v>
      </c>
      <c r="S66" s="35">
        <v>25</v>
      </c>
      <c r="T66" s="21">
        <v>1.2909999999999999</v>
      </c>
      <c r="U66" s="21">
        <v>0.13</v>
      </c>
      <c r="V66" s="37">
        <v>20.079999999999998</v>
      </c>
      <c r="W66" s="37">
        <v>76.88</v>
      </c>
      <c r="X66" s="35">
        <v>80</v>
      </c>
      <c r="Y66" s="23" t="s">
        <v>6</v>
      </c>
      <c r="Z66" s="21">
        <v>7.740000000000002</v>
      </c>
      <c r="AA66" s="35">
        <v>10</v>
      </c>
      <c r="AB66" s="35" t="s">
        <v>1</v>
      </c>
      <c r="AC66" s="2" t="s">
        <v>126</v>
      </c>
    </row>
    <row r="67" spans="1:29" s="44" customFormat="1" ht="13.8">
      <c r="A67" s="35" t="s">
        <v>7</v>
      </c>
      <c r="B67" s="35" t="s">
        <v>180</v>
      </c>
      <c r="C67" s="35" t="s">
        <v>60</v>
      </c>
      <c r="D67" s="36">
        <v>600</v>
      </c>
      <c r="E67" s="12">
        <v>50</v>
      </c>
      <c r="F67" s="21">
        <f t="shared" si="7"/>
        <v>9.9307692307692292</v>
      </c>
      <c r="G67" s="35" t="s">
        <v>55</v>
      </c>
      <c r="H67" s="35">
        <v>0</v>
      </c>
      <c r="I67" s="12">
        <v>0.25</v>
      </c>
      <c r="J67" s="35">
        <v>0</v>
      </c>
      <c r="K67" s="12">
        <v>0.19</v>
      </c>
      <c r="L67" s="36">
        <v>992</v>
      </c>
      <c r="M67" s="21">
        <v>1.1299999999999999</v>
      </c>
      <c r="N67" s="21">
        <v>4.556451612903226</v>
      </c>
      <c r="O67" s="17">
        <v>0</v>
      </c>
      <c r="P67" s="35">
        <v>0.04</v>
      </c>
      <c r="Q67" s="35">
        <v>100</v>
      </c>
      <c r="R67" s="35">
        <v>120</v>
      </c>
      <c r="S67" s="35">
        <v>25</v>
      </c>
      <c r="T67" s="21">
        <v>1.2909999999999999</v>
      </c>
      <c r="U67" s="21">
        <v>0.13</v>
      </c>
      <c r="V67" s="37">
        <v>20.079999999999998</v>
      </c>
      <c r="W67" s="37">
        <v>76.88</v>
      </c>
      <c r="X67" s="35">
        <v>90</v>
      </c>
      <c r="Y67" s="23" t="s">
        <v>6</v>
      </c>
      <c r="Z67" s="21">
        <v>4.1170000000000044</v>
      </c>
      <c r="AA67" s="35">
        <v>10</v>
      </c>
      <c r="AB67" s="35" t="s">
        <v>1</v>
      </c>
      <c r="AC67" s="2" t="s">
        <v>126</v>
      </c>
    </row>
    <row r="68" spans="1:29" s="44" customFormat="1" ht="13.8">
      <c r="A68" s="35" t="s">
        <v>7</v>
      </c>
      <c r="B68" s="35" t="s">
        <v>180</v>
      </c>
      <c r="C68" s="35" t="s">
        <v>60</v>
      </c>
      <c r="D68" s="36">
        <v>600</v>
      </c>
      <c r="E68" s="12">
        <v>50</v>
      </c>
      <c r="F68" s="21">
        <f t="shared" si="7"/>
        <v>9.9307692307692292</v>
      </c>
      <c r="G68" s="35" t="s">
        <v>55</v>
      </c>
      <c r="H68" s="35">
        <v>0</v>
      </c>
      <c r="I68" s="12">
        <v>0.25</v>
      </c>
      <c r="J68" s="35">
        <v>0</v>
      </c>
      <c r="K68" s="12">
        <v>0.19</v>
      </c>
      <c r="L68" s="36">
        <v>992</v>
      </c>
      <c r="M68" s="21">
        <v>1.1299999999999999</v>
      </c>
      <c r="N68" s="21">
        <v>4.556451612903226</v>
      </c>
      <c r="O68" s="17">
        <v>0</v>
      </c>
      <c r="P68" s="35">
        <v>0.04</v>
      </c>
      <c r="Q68" s="35">
        <v>100</v>
      </c>
      <c r="R68" s="35">
        <v>120</v>
      </c>
      <c r="S68" s="35">
        <v>25</v>
      </c>
      <c r="T68" s="21">
        <v>1.2909999999999999</v>
      </c>
      <c r="U68" s="21">
        <v>0.13</v>
      </c>
      <c r="V68" s="37">
        <v>20.079999999999998</v>
      </c>
      <c r="W68" s="37">
        <v>76.88</v>
      </c>
      <c r="X68" s="35">
        <v>110</v>
      </c>
      <c r="Y68" s="23" t="s">
        <v>6</v>
      </c>
      <c r="Z68" s="21">
        <v>3.2649999999999957</v>
      </c>
      <c r="AA68" s="35">
        <v>10</v>
      </c>
      <c r="AB68" s="35" t="s">
        <v>1</v>
      </c>
      <c r="AC68" s="2" t="s">
        <v>126</v>
      </c>
    </row>
    <row r="69" spans="1:29" s="44" customFormat="1" ht="13.8">
      <c r="A69" s="35" t="s">
        <v>8</v>
      </c>
      <c r="B69" s="35" t="s">
        <v>180</v>
      </c>
      <c r="C69" s="35" t="s">
        <v>60</v>
      </c>
      <c r="D69" s="36">
        <v>600</v>
      </c>
      <c r="E69" s="12">
        <v>50</v>
      </c>
      <c r="F69" s="21">
        <f t="shared" si="7"/>
        <v>11.069999999999999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6">
        <v>992</v>
      </c>
      <c r="M69" s="21">
        <v>1.1299999999999999</v>
      </c>
      <c r="N69" s="21">
        <v>4.556451612903226</v>
      </c>
      <c r="O69" s="17">
        <v>0</v>
      </c>
      <c r="P69" s="35">
        <v>0.04</v>
      </c>
      <c r="Q69" s="35">
        <v>100</v>
      </c>
      <c r="R69" s="35">
        <v>120</v>
      </c>
      <c r="S69" s="35">
        <v>25</v>
      </c>
      <c r="T69" s="21">
        <v>1.107</v>
      </c>
      <c r="U69" s="21">
        <v>0.1</v>
      </c>
      <c r="V69" s="37">
        <v>16.45</v>
      </c>
      <c r="W69" s="37">
        <v>56.33</v>
      </c>
      <c r="X69" s="35">
        <v>70</v>
      </c>
      <c r="Y69" s="23" t="s">
        <v>6</v>
      </c>
      <c r="Z69" s="21">
        <v>24.185100000000006</v>
      </c>
      <c r="AA69" s="35">
        <v>10</v>
      </c>
      <c r="AB69" s="35" t="s">
        <v>1</v>
      </c>
      <c r="AC69" s="2" t="s">
        <v>126</v>
      </c>
    </row>
    <row r="70" spans="1:29" s="44" customFormat="1" ht="13.8">
      <c r="A70" s="35" t="s">
        <v>8</v>
      </c>
      <c r="B70" s="35" t="s">
        <v>180</v>
      </c>
      <c r="C70" s="35" t="s">
        <v>60</v>
      </c>
      <c r="D70" s="36">
        <v>600</v>
      </c>
      <c r="E70" s="12">
        <v>50</v>
      </c>
      <c r="F70" s="21">
        <f t="shared" si="7"/>
        <v>11.069999999999999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6">
        <v>992</v>
      </c>
      <c r="M70" s="21">
        <v>1.1299999999999999</v>
      </c>
      <c r="N70" s="21">
        <v>4.556451612903226</v>
      </c>
      <c r="O70" s="17">
        <v>0</v>
      </c>
      <c r="P70" s="35">
        <v>0.04</v>
      </c>
      <c r="Q70" s="35">
        <v>100</v>
      </c>
      <c r="R70" s="35">
        <v>120</v>
      </c>
      <c r="S70" s="35">
        <v>25</v>
      </c>
      <c r="T70" s="21">
        <v>1.107</v>
      </c>
      <c r="U70" s="21">
        <v>0.1</v>
      </c>
      <c r="V70" s="37">
        <v>16.45</v>
      </c>
      <c r="W70" s="37">
        <v>56.33</v>
      </c>
      <c r="X70" s="35">
        <v>80</v>
      </c>
      <c r="Y70" s="23">
        <v>0.65075921908894241</v>
      </c>
      <c r="Z70" s="21">
        <v>-0.24999999999999467</v>
      </c>
      <c r="AA70" s="35">
        <v>10</v>
      </c>
      <c r="AB70" s="35" t="s">
        <v>1</v>
      </c>
      <c r="AC70" s="2" t="s">
        <v>126</v>
      </c>
    </row>
    <row r="71" spans="1:29" s="44" customFormat="1" ht="13.8">
      <c r="A71" s="35" t="s">
        <v>8</v>
      </c>
      <c r="B71" s="35" t="s">
        <v>180</v>
      </c>
      <c r="C71" s="35" t="s">
        <v>60</v>
      </c>
      <c r="D71" s="36">
        <v>600</v>
      </c>
      <c r="E71" s="12">
        <v>50</v>
      </c>
      <c r="F71" s="21">
        <f t="shared" si="7"/>
        <v>11.069999999999999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6">
        <v>992</v>
      </c>
      <c r="M71" s="21">
        <v>1.1299999999999999</v>
      </c>
      <c r="N71" s="21">
        <v>4.556451612903226</v>
      </c>
      <c r="O71" s="17">
        <v>0</v>
      </c>
      <c r="P71" s="35">
        <v>0.04</v>
      </c>
      <c r="Q71" s="35">
        <v>100</v>
      </c>
      <c r="R71" s="35">
        <v>120</v>
      </c>
      <c r="S71" s="35">
        <v>25</v>
      </c>
      <c r="T71" s="21">
        <v>1.107</v>
      </c>
      <c r="U71" s="21">
        <v>0.1</v>
      </c>
      <c r="V71" s="37">
        <v>16.45</v>
      </c>
      <c r="W71" s="37">
        <v>56.33</v>
      </c>
      <c r="X71" s="35">
        <v>80</v>
      </c>
      <c r="Y71" s="23" t="s">
        <v>6</v>
      </c>
      <c r="Z71" s="21">
        <v>44.18</v>
      </c>
      <c r="AA71" s="35">
        <v>50</v>
      </c>
      <c r="AB71" s="35" t="s">
        <v>1</v>
      </c>
      <c r="AC71" s="2" t="s">
        <v>126</v>
      </c>
    </row>
    <row r="72" spans="1:29" s="44" customFormat="1" ht="13.8">
      <c r="A72" s="35" t="s">
        <v>8</v>
      </c>
      <c r="B72" s="35" t="s">
        <v>180</v>
      </c>
      <c r="C72" s="35" t="s">
        <v>60</v>
      </c>
      <c r="D72" s="36">
        <v>600</v>
      </c>
      <c r="E72" s="12">
        <v>50</v>
      </c>
      <c r="F72" s="21">
        <f t="shared" si="7"/>
        <v>11.069999999999999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6">
        <v>992</v>
      </c>
      <c r="M72" s="21">
        <v>1.1299999999999999</v>
      </c>
      <c r="N72" s="21">
        <v>4.556451612903226</v>
      </c>
      <c r="O72" s="17">
        <v>0</v>
      </c>
      <c r="P72" s="35">
        <v>0.04</v>
      </c>
      <c r="Q72" s="35">
        <v>100</v>
      </c>
      <c r="R72" s="35">
        <v>120</v>
      </c>
      <c r="S72" s="35">
        <v>25</v>
      </c>
      <c r="T72" s="21">
        <v>1.107</v>
      </c>
      <c r="U72" s="21">
        <v>0.1</v>
      </c>
      <c r="V72" s="37">
        <v>16.45</v>
      </c>
      <c r="W72" s="37">
        <v>56.33</v>
      </c>
      <c r="X72" s="35">
        <v>90</v>
      </c>
      <c r="Y72" s="23" t="s">
        <v>6</v>
      </c>
      <c r="Z72" s="21">
        <v>2.0800000000000041</v>
      </c>
      <c r="AA72" s="35">
        <v>10</v>
      </c>
      <c r="AB72" s="35" t="s">
        <v>1</v>
      </c>
      <c r="AC72" s="2" t="s">
        <v>126</v>
      </c>
    </row>
    <row r="73" spans="1:29" s="44" customFormat="1" ht="13.8">
      <c r="A73" s="35" t="s">
        <v>8</v>
      </c>
      <c r="B73" s="35" t="s">
        <v>180</v>
      </c>
      <c r="C73" s="35" t="s">
        <v>60</v>
      </c>
      <c r="D73" s="36">
        <v>600</v>
      </c>
      <c r="E73" s="12">
        <v>50</v>
      </c>
      <c r="F73" s="21">
        <f t="shared" si="7"/>
        <v>11.069999999999999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6">
        <v>992</v>
      </c>
      <c r="M73" s="21">
        <v>1.1299999999999999</v>
      </c>
      <c r="N73" s="21">
        <v>4.556451612903226</v>
      </c>
      <c r="O73" s="17">
        <v>0</v>
      </c>
      <c r="P73" s="35">
        <v>0.04</v>
      </c>
      <c r="Q73" s="35">
        <v>100</v>
      </c>
      <c r="R73" s="35">
        <v>120</v>
      </c>
      <c r="S73" s="35">
        <v>25</v>
      </c>
      <c r="T73" s="21">
        <v>1.107</v>
      </c>
      <c r="U73" s="21">
        <v>0.1</v>
      </c>
      <c r="V73" s="37">
        <v>16.45</v>
      </c>
      <c r="W73" s="37">
        <v>56.33</v>
      </c>
      <c r="X73" s="35">
        <v>110</v>
      </c>
      <c r="Y73" s="23" t="s">
        <v>6</v>
      </c>
      <c r="Z73" s="21">
        <v>2.3100000000000009</v>
      </c>
      <c r="AA73" s="35">
        <v>10</v>
      </c>
      <c r="AB73" s="35" t="s">
        <v>1</v>
      </c>
      <c r="AC73" s="2" t="s">
        <v>126</v>
      </c>
    </row>
    <row r="74" spans="1:29">
      <c r="A74" s="35" t="s">
        <v>7</v>
      </c>
      <c r="B74" s="35" t="s">
        <v>3</v>
      </c>
      <c r="C74" s="39" t="s">
        <v>66</v>
      </c>
      <c r="D74" s="36">
        <v>189</v>
      </c>
      <c r="E74" s="12">
        <v>50</v>
      </c>
      <c r="F74" s="21">
        <f t="shared" si="7"/>
        <v>9.5294117647058822</v>
      </c>
      <c r="G74" s="35">
        <v>0</v>
      </c>
      <c r="H74" s="35">
        <v>0</v>
      </c>
      <c r="I74" s="35">
        <v>0</v>
      </c>
      <c r="J74" s="35">
        <v>0</v>
      </c>
      <c r="K74" s="41">
        <v>0</v>
      </c>
      <c r="L74" s="36">
        <v>992</v>
      </c>
      <c r="M74" s="21">
        <v>1.08</v>
      </c>
      <c r="N74" s="21">
        <v>4.354838709677419</v>
      </c>
      <c r="O74" s="12">
        <v>0</v>
      </c>
      <c r="P74" s="35">
        <v>0.04</v>
      </c>
      <c r="Q74" s="35">
        <v>100</v>
      </c>
      <c r="R74" s="35">
        <v>180</v>
      </c>
      <c r="S74" s="35">
        <v>25</v>
      </c>
      <c r="T74" s="35">
        <v>1.62</v>
      </c>
      <c r="U74" s="21">
        <v>0.17</v>
      </c>
      <c r="V74" s="37">
        <v>25.16</v>
      </c>
      <c r="W74" s="37">
        <v>53.6</v>
      </c>
      <c r="X74" s="35">
        <v>80</v>
      </c>
      <c r="Y74" s="23" t="s">
        <v>6</v>
      </c>
      <c r="Z74" s="21">
        <v>7.0000000000000009</v>
      </c>
      <c r="AA74" s="35">
        <v>5</v>
      </c>
      <c r="AB74" s="35" t="s">
        <v>1</v>
      </c>
      <c r="AC74" s="1" t="s">
        <v>56</v>
      </c>
    </row>
    <row r="75" spans="1:29">
      <c r="A75" s="35" t="s">
        <v>7</v>
      </c>
      <c r="B75" s="35" t="s">
        <v>3</v>
      </c>
      <c r="C75" s="40" t="s">
        <v>65</v>
      </c>
      <c r="D75" s="36">
        <v>189</v>
      </c>
      <c r="E75" s="12">
        <v>50</v>
      </c>
      <c r="F75" s="21">
        <f t="shared" si="7"/>
        <v>9.0588235294117645</v>
      </c>
      <c r="G75" s="35" t="s">
        <v>43</v>
      </c>
      <c r="H75" s="35">
        <v>0</v>
      </c>
      <c r="I75" s="35">
        <v>4</v>
      </c>
      <c r="J75" s="35">
        <v>0</v>
      </c>
      <c r="K75" s="35">
        <v>0</v>
      </c>
      <c r="L75" s="36">
        <v>992</v>
      </c>
      <c r="M75" s="21">
        <v>1.08</v>
      </c>
      <c r="N75" s="21">
        <v>4.354838709677419</v>
      </c>
      <c r="O75" s="17">
        <v>0</v>
      </c>
      <c r="P75" s="35">
        <v>0.04</v>
      </c>
      <c r="Q75" s="35">
        <v>100</v>
      </c>
      <c r="R75" s="35">
        <v>180</v>
      </c>
      <c r="S75" s="35">
        <v>25</v>
      </c>
      <c r="T75" s="35">
        <v>1.54</v>
      </c>
      <c r="U75" s="21">
        <v>0.17</v>
      </c>
      <c r="V75" s="37">
        <v>24.69</v>
      </c>
      <c r="W75" s="37">
        <v>49.57</v>
      </c>
      <c r="X75" s="35">
        <v>80</v>
      </c>
      <c r="Y75" s="23" t="s">
        <v>6</v>
      </c>
      <c r="Z75" s="21">
        <v>10.199999999999999</v>
      </c>
      <c r="AA75" s="35">
        <v>5</v>
      </c>
      <c r="AB75" s="35" t="s">
        <v>1</v>
      </c>
      <c r="AC75" s="1" t="s">
        <v>17</v>
      </c>
    </row>
    <row r="76" spans="1:29">
      <c r="A76" s="35" t="s">
        <v>7</v>
      </c>
      <c r="B76" s="35" t="s">
        <v>3</v>
      </c>
      <c r="C76" s="40" t="s">
        <v>65</v>
      </c>
      <c r="D76" s="36">
        <v>189</v>
      </c>
      <c r="E76" s="12">
        <v>50</v>
      </c>
      <c r="F76" s="21">
        <f t="shared" si="7"/>
        <v>10.318181818181818</v>
      </c>
      <c r="G76" s="35" t="s">
        <v>55</v>
      </c>
      <c r="H76" s="35">
        <v>0</v>
      </c>
      <c r="I76" s="35">
        <v>4</v>
      </c>
      <c r="J76" s="35">
        <v>0</v>
      </c>
      <c r="K76" s="35">
        <v>0.18</v>
      </c>
      <c r="L76" s="36">
        <v>992</v>
      </c>
      <c r="M76" s="21">
        <v>1.08</v>
      </c>
      <c r="N76" s="21">
        <v>4.354838709677419</v>
      </c>
      <c r="O76" s="12">
        <v>0</v>
      </c>
      <c r="P76" s="35">
        <v>0.04</v>
      </c>
      <c r="Q76" s="35">
        <v>100</v>
      </c>
      <c r="R76" s="35">
        <v>180</v>
      </c>
      <c r="S76" s="35">
        <v>25</v>
      </c>
      <c r="T76" s="35">
        <v>2.27</v>
      </c>
      <c r="U76" s="21">
        <v>0.22</v>
      </c>
      <c r="V76" s="37">
        <v>32.74</v>
      </c>
      <c r="W76" s="37">
        <v>69.709999999999994</v>
      </c>
      <c r="X76" s="35">
        <v>80</v>
      </c>
      <c r="Y76" s="23" t="s">
        <v>6</v>
      </c>
      <c r="Z76" s="21">
        <v>2.2999999999999998</v>
      </c>
      <c r="AA76" s="35">
        <v>5</v>
      </c>
      <c r="AB76" s="35" t="s">
        <v>1</v>
      </c>
      <c r="AC76" s="1" t="s">
        <v>17</v>
      </c>
    </row>
    <row r="77" spans="1:29">
      <c r="A77" s="35" t="s">
        <v>7</v>
      </c>
      <c r="B77" s="35" t="s">
        <v>3</v>
      </c>
      <c r="C77" s="40" t="s">
        <v>65</v>
      </c>
      <c r="D77" s="36">
        <v>189</v>
      </c>
      <c r="E77" s="12">
        <v>50</v>
      </c>
      <c r="F77" s="21">
        <f t="shared" si="7"/>
        <v>8.8888888888888893</v>
      </c>
      <c r="G77" s="35" t="s">
        <v>30</v>
      </c>
      <c r="H77" s="35">
        <v>0</v>
      </c>
      <c r="I77" s="35">
        <v>4</v>
      </c>
      <c r="J77" s="35">
        <v>0</v>
      </c>
      <c r="K77" s="35">
        <v>4.0000000000000001E-3</v>
      </c>
      <c r="L77" s="36">
        <v>992</v>
      </c>
      <c r="M77" s="21">
        <v>1.08</v>
      </c>
      <c r="N77" s="21">
        <v>4.354838709677419</v>
      </c>
      <c r="O77" s="12">
        <v>0</v>
      </c>
      <c r="P77" s="35">
        <v>0.04</v>
      </c>
      <c r="Q77" s="35">
        <v>100</v>
      </c>
      <c r="R77" s="35">
        <v>180</v>
      </c>
      <c r="S77" s="35">
        <v>25</v>
      </c>
      <c r="T77" s="35">
        <v>1.6</v>
      </c>
      <c r="U77" s="21">
        <v>0.18</v>
      </c>
      <c r="V77" s="37">
        <v>25.11</v>
      </c>
      <c r="W77" s="37">
        <v>53.4</v>
      </c>
      <c r="X77" s="35">
        <v>80</v>
      </c>
      <c r="Y77" s="23" t="s">
        <v>6</v>
      </c>
      <c r="Z77" s="21">
        <v>5</v>
      </c>
      <c r="AA77" s="35">
        <v>5</v>
      </c>
      <c r="AB77" s="35" t="s">
        <v>1</v>
      </c>
      <c r="AC77" s="2" t="s">
        <v>17</v>
      </c>
    </row>
    <row r="78" spans="1:29">
      <c r="A78" s="35" t="s">
        <v>7</v>
      </c>
      <c r="B78" s="35" t="s">
        <v>3</v>
      </c>
      <c r="C78" s="40" t="s">
        <v>66</v>
      </c>
      <c r="D78" s="36">
        <v>189</v>
      </c>
      <c r="E78" s="12">
        <v>50</v>
      </c>
      <c r="F78" s="21">
        <f t="shared" si="7"/>
        <v>9.3333333333333339</v>
      </c>
      <c r="G78" s="35" t="s">
        <v>58</v>
      </c>
      <c r="H78" s="35">
        <v>0</v>
      </c>
      <c r="I78" s="35">
        <v>4</v>
      </c>
      <c r="J78" s="35">
        <v>0</v>
      </c>
      <c r="K78" s="35">
        <v>0</v>
      </c>
      <c r="L78" s="36">
        <v>992</v>
      </c>
      <c r="M78" s="21">
        <v>1.08</v>
      </c>
      <c r="N78" s="21">
        <v>4.354838709677419</v>
      </c>
      <c r="O78" s="12">
        <v>0</v>
      </c>
      <c r="P78" s="35">
        <v>0.04</v>
      </c>
      <c r="Q78" s="35">
        <v>100</v>
      </c>
      <c r="R78" s="35">
        <v>180</v>
      </c>
      <c r="S78" s="35">
        <v>25</v>
      </c>
      <c r="T78" s="35">
        <v>1.4</v>
      </c>
      <c r="U78" s="21">
        <v>0.15</v>
      </c>
      <c r="V78" s="37">
        <v>23.27</v>
      </c>
      <c r="W78" s="37">
        <v>43.64</v>
      </c>
      <c r="X78" s="35">
        <v>80</v>
      </c>
      <c r="Y78" s="23" t="s">
        <v>6</v>
      </c>
      <c r="Z78" s="21">
        <v>16.2</v>
      </c>
      <c r="AA78" s="35">
        <v>5</v>
      </c>
      <c r="AB78" s="35" t="s">
        <v>1</v>
      </c>
      <c r="AC78" s="1" t="s">
        <v>17</v>
      </c>
    </row>
    <row r="79" spans="1:29">
      <c r="A79" s="35" t="s">
        <v>7</v>
      </c>
      <c r="B79" s="35" t="s">
        <v>3</v>
      </c>
      <c r="C79" s="40" t="s">
        <v>66</v>
      </c>
      <c r="D79" s="36">
        <v>189</v>
      </c>
      <c r="E79" s="12">
        <v>50</v>
      </c>
      <c r="F79" s="21">
        <f t="shared" si="7"/>
        <v>9.3181818181818166</v>
      </c>
      <c r="G79" s="35" t="s">
        <v>27</v>
      </c>
      <c r="H79" s="35">
        <v>0</v>
      </c>
      <c r="I79" s="35">
        <v>4</v>
      </c>
      <c r="J79" s="35">
        <v>0</v>
      </c>
      <c r="K79" s="35">
        <v>0.11</v>
      </c>
      <c r="L79" s="36">
        <v>992</v>
      </c>
      <c r="M79" s="21">
        <v>1.08</v>
      </c>
      <c r="N79" s="21">
        <v>4.354838709677419</v>
      </c>
      <c r="O79" s="12">
        <v>0</v>
      </c>
      <c r="P79" s="35">
        <v>0.04</v>
      </c>
      <c r="Q79" s="35">
        <v>100</v>
      </c>
      <c r="R79" s="35">
        <v>180</v>
      </c>
      <c r="S79" s="35">
        <v>25</v>
      </c>
      <c r="T79" s="35">
        <v>2.0499999999999998</v>
      </c>
      <c r="U79" s="21">
        <v>0.22</v>
      </c>
      <c r="V79" s="37">
        <v>33.22</v>
      </c>
      <c r="W79" s="37">
        <v>65.92</v>
      </c>
      <c r="X79" s="35">
        <v>80</v>
      </c>
      <c r="Y79" s="23" t="s">
        <v>6</v>
      </c>
      <c r="Z79" s="21">
        <v>4.1000000000000005</v>
      </c>
      <c r="AA79" s="35">
        <v>5</v>
      </c>
      <c r="AB79" s="35" t="s">
        <v>1</v>
      </c>
      <c r="AC79" s="1" t="s">
        <v>17</v>
      </c>
    </row>
    <row r="80" spans="1:29">
      <c r="A80" s="35" t="s">
        <v>7</v>
      </c>
      <c r="B80" s="35" t="s">
        <v>3</v>
      </c>
      <c r="C80" s="40" t="s">
        <v>66</v>
      </c>
      <c r="D80" s="36">
        <v>189</v>
      </c>
      <c r="E80" s="12">
        <v>50</v>
      </c>
      <c r="F80" s="21">
        <f t="shared" si="7"/>
        <v>9.0555555555555554</v>
      </c>
      <c r="G80" s="35" t="s">
        <v>44</v>
      </c>
      <c r="H80" s="35">
        <v>0</v>
      </c>
      <c r="I80" s="35">
        <v>4</v>
      </c>
      <c r="J80" s="35">
        <v>0</v>
      </c>
      <c r="K80" s="35">
        <v>0</v>
      </c>
      <c r="L80" s="36">
        <v>992</v>
      </c>
      <c r="M80" s="21">
        <v>1.08</v>
      </c>
      <c r="N80" s="21">
        <v>4.354838709677419</v>
      </c>
      <c r="O80" s="17">
        <v>0</v>
      </c>
      <c r="P80" s="35">
        <v>0.04</v>
      </c>
      <c r="Q80" s="35">
        <v>100</v>
      </c>
      <c r="R80" s="35">
        <v>180</v>
      </c>
      <c r="S80" s="35">
        <v>25</v>
      </c>
      <c r="T80" s="35">
        <v>1.63</v>
      </c>
      <c r="U80" s="21">
        <v>0.18</v>
      </c>
      <c r="V80" s="37">
        <v>25.21</v>
      </c>
      <c r="W80" s="37">
        <v>53.69</v>
      </c>
      <c r="X80" s="35">
        <v>80</v>
      </c>
      <c r="Y80" s="23" t="s">
        <v>6</v>
      </c>
      <c r="Z80" s="21">
        <v>21.6</v>
      </c>
      <c r="AA80" s="35">
        <v>5</v>
      </c>
      <c r="AB80" s="35" t="s">
        <v>1</v>
      </c>
      <c r="AC80" s="1" t="s">
        <v>17</v>
      </c>
    </row>
    <row r="81" spans="1:29">
      <c r="A81" s="35" t="s">
        <v>7</v>
      </c>
      <c r="B81" s="35" t="s">
        <v>3</v>
      </c>
      <c r="C81" s="40" t="s">
        <v>66</v>
      </c>
      <c r="D81" s="36">
        <v>189</v>
      </c>
      <c r="E81" s="12">
        <v>50</v>
      </c>
      <c r="F81" s="21">
        <f t="shared" si="7"/>
        <v>8.875</v>
      </c>
      <c r="G81" s="35" t="s">
        <v>59</v>
      </c>
      <c r="H81" s="35">
        <v>0</v>
      </c>
      <c r="I81" s="35">
        <v>4</v>
      </c>
      <c r="J81" s="35">
        <v>0</v>
      </c>
      <c r="K81" s="35">
        <v>7.8E-2</v>
      </c>
      <c r="L81" s="36">
        <v>992</v>
      </c>
      <c r="M81" s="21">
        <v>1.08</v>
      </c>
      <c r="N81" s="21">
        <v>4.354838709677419</v>
      </c>
      <c r="O81" s="12">
        <v>0</v>
      </c>
      <c r="P81" s="35">
        <v>0.04</v>
      </c>
      <c r="Q81" s="35">
        <v>100</v>
      </c>
      <c r="R81" s="35">
        <v>180</v>
      </c>
      <c r="S81" s="35">
        <v>25</v>
      </c>
      <c r="T81" s="35">
        <v>1.42</v>
      </c>
      <c r="U81" s="21">
        <v>0.16</v>
      </c>
      <c r="V81" s="37">
        <v>23.31</v>
      </c>
      <c r="W81" s="37">
        <v>43.69</v>
      </c>
      <c r="X81" s="35">
        <v>80</v>
      </c>
      <c r="Y81" s="23" t="s">
        <v>6</v>
      </c>
      <c r="Z81" s="21">
        <v>6.2</v>
      </c>
      <c r="AA81" s="35">
        <v>5</v>
      </c>
      <c r="AB81" s="35" t="s">
        <v>1</v>
      </c>
      <c r="AC81" s="2" t="s">
        <v>17</v>
      </c>
    </row>
    <row r="82" spans="1:29">
      <c r="A82" s="35" t="s">
        <v>7</v>
      </c>
      <c r="B82" s="35" t="s">
        <v>180</v>
      </c>
      <c r="C82" s="35" t="s">
        <v>60</v>
      </c>
      <c r="D82" s="36">
        <v>305</v>
      </c>
      <c r="E82" s="12">
        <v>10</v>
      </c>
      <c r="F82" s="21">
        <f t="shared" si="7"/>
        <v>2.3512023697162578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6">
        <v>492.6</v>
      </c>
      <c r="M82" s="35">
        <v>1.35</v>
      </c>
      <c r="N82" s="21">
        <v>8.81</v>
      </c>
      <c r="O82" s="12">
        <v>0</v>
      </c>
      <c r="P82" s="35">
        <v>100</v>
      </c>
      <c r="Q82" s="35">
        <v>60</v>
      </c>
      <c r="R82" s="35">
        <v>90</v>
      </c>
      <c r="S82" s="35">
        <v>20</v>
      </c>
      <c r="T82" s="21">
        <v>0.65687037757882383</v>
      </c>
      <c r="U82" s="21">
        <v>0.279376367614879</v>
      </c>
      <c r="V82" s="37" t="s">
        <v>1</v>
      </c>
      <c r="W82" s="37" t="s">
        <v>1</v>
      </c>
      <c r="X82" s="45" t="s">
        <v>1</v>
      </c>
      <c r="Y82" s="22" t="s">
        <v>6</v>
      </c>
      <c r="Z82" s="24" t="s">
        <v>6</v>
      </c>
      <c r="AA82" s="38" t="s">
        <v>1</v>
      </c>
      <c r="AB82" s="35" t="s">
        <v>1</v>
      </c>
      <c r="AC82" s="1" t="s">
        <v>18</v>
      </c>
    </row>
    <row r="83" spans="1:29">
      <c r="A83" s="35" t="s">
        <v>7</v>
      </c>
      <c r="B83" s="35" t="s">
        <v>180</v>
      </c>
      <c r="C83" s="35" t="s">
        <v>60</v>
      </c>
      <c r="D83" s="36">
        <v>305</v>
      </c>
      <c r="E83" s="12">
        <v>10</v>
      </c>
      <c r="F83" s="21">
        <f t="shared" si="7"/>
        <v>2.373194302382073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6">
        <v>492.6</v>
      </c>
      <c r="M83" s="35">
        <v>1.35</v>
      </c>
      <c r="N83" s="21">
        <v>8.81</v>
      </c>
      <c r="O83" s="12">
        <v>0</v>
      </c>
      <c r="P83" s="35">
        <v>100</v>
      </c>
      <c r="Q83" s="35">
        <v>60</v>
      </c>
      <c r="R83" s="35">
        <v>90</v>
      </c>
      <c r="S83" s="35">
        <v>40</v>
      </c>
      <c r="T83" s="21">
        <v>0.52306344881276567</v>
      </c>
      <c r="U83" s="21">
        <v>0.220404814004376</v>
      </c>
      <c r="V83" s="37" t="s">
        <v>1</v>
      </c>
      <c r="W83" s="37" t="s">
        <v>1</v>
      </c>
      <c r="X83" s="35" t="s">
        <v>1</v>
      </c>
      <c r="Y83" s="23" t="s">
        <v>6</v>
      </c>
      <c r="Z83" s="21" t="s">
        <v>6</v>
      </c>
      <c r="AA83" s="35" t="s">
        <v>1</v>
      </c>
      <c r="AB83" s="35" t="s">
        <v>1</v>
      </c>
      <c r="AC83" s="1" t="s">
        <v>14</v>
      </c>
    </row>
    <row r="84" spans="1:29">
      <c r="A84" s="35" t="s">
        <v>7</v>
      </c>
      <c r="B84" s="35" t="s">
        <v>180</v>
      </c>
      <c r="C84" s="35" t="s">
        <v>60</v>
      </c>
      <c r="D84" s="36">
        <v>305</v>
      </c>
      <c r="E84" s="12">
        <v>10</v>
      </c>
      <c r="F84" s="21">
        <f t="shared" si="7"/>
        <v>2.3486594472218862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6">
        <v>492.6</v>
      </c>
      <c r="M84" s="35">
        <v>1.35</v>
      </c>
      <c r="N84" s="21">
        <v>8.81</v>
      </c>
      <c r="O84" s="12">
        <v>0</v>
      </c>
      <c r="P84" s="35">
        <v>100</v>
      </c>
      <c r="Q84" s="35">
        <v>60</v>
      </c>
      <c r="R84" s="35">
        <v>90</v>
      </c>
      <c r="S84" s="35">
        <v>60</v>
      </c>
      <c r="T84" s="21">
        <v>0.27572336836641914</v>
      </c>
      <c r="U84" s="21">
        <v>0.11739606126914599</v>
      </c>
      <c r="V84" s="37" t="s">
        <v>1</v>
      </c>
      <c r="W84" s="37" t="s">
        <v>1</v>
      </c>
      <c r="X84" s="35" t="s">
        <v>1</v>
      </c>
      <c r="Y84" s="23" t="s">
        <v>6</v>
      </c>
      <c r="Z84" s="21" t="s">
        <v>6</v>
      </c>
      <c r="AA84" s="35" t="s">
        <v>1</v>
      </c>
      <c r="AB84" s="35" t="s">
        <v>1</v>
      </c>
      <c r="AC84" s="1" t="s">
        <v>14</v>
      </c>
    </row>
    <row r="85" spans="1:29">
      <c r="A85" s="35" t="s">
        <v>7</v>
      </c>
      <c r="B85" s="35" t="s">
        <v>180</v>
      </c>
      <c r="C85" s="35" t="s">
        <v>60</v>
      </c>
      <c r="D85" s="36">
        <v>305</v>
      </c>
      <c r="E85" s="12">
        <v>10</v>
      </c>
      <c r="F85" s="21">
        <f t="shared" si="7"/>
        <v>2.3327845833460414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6">
        <v>492.6</v>
      </c>
      <c r="M85" s="35">
        <v>1.35</v>
      </c>
      <c r="N85" s="21">
        <v>8.81</v>
      </c>
      <c r="O85" s="12">
        <v>0</v>
      </c>
      <c r="P85" s="35">
        <v>100</v>
      </c>
      <c r="Q85" s="35">
        <v>60</v>
      </c>
      <c r="R85" s="35">
        <v>90</v>
      </c>
      <c r="S85" s="35">
        <v>80</v>
      </c>
      <c r="T85" s="21">
        <v>0.21490203710912104</v>
      </c>
      <c r="U85" s="21">
        <v>9.2122538293216594E-2</v>
      </c>
      <c r="V85" s="37">
        <v>0.85</v>
      </c>
      <c r="W85" s="37">
        <v>13.08</v>
      </c>
      <c r="X85" s="35" t="s">
        <v>1</v>
      </c>
      <c r="Y85" s="23" t="s">
        <v>6</v>
      </c>
      <c r="Z85" s="21" t="s">
        <v>6</v>
      </c>
      <c r="AA85" s="35" t="s">
        <v>1</v>
      </c>
      <c r="AB85" s="35" t="s">
        <v>1</v>
      </c>
      <c r="AC85" s="1" t="s">
        <v>14</v>
      </c>
    </row>
    <row r="86" spans="1:29">
      <c r="A86" s="35" t="s">
        <v>7</v>
      </c>
      <c r="B86" s="35" t="s">
        <v>180</v>
      </c>
      <c r="C86" s="35" t="s">
        <v>60</v>
      </c>
      <c r="D86" s="36">
        <v>305</v>
      </c>
      <c r="E86" s="12">
        <v>10</v>
      </c>
      <c r="F86" s="21">
        <f t="shared" si="7"/>
        <v>2.3145149200670234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6">
        <v>492.6</v>
      </c>
      <c r="M86" s="35">
        <v>1.35</v>
      </c>
      <c r="N86" s="21">
        <v>8.81</v>
      </c>
      <c r="O86" s="12">
        <v>0</v>
      </c>
      <c r="P86" s="35">
        <v>100</v>
      </c>
      <c r="Q86" s="35">
        <v>60</v>
      </c>
      <c r="R86" s="35">
        <v>90</v>
      </c>
      <c r="S86" s="35">
        <v>100</v>
      </c>
      <c r="T86" s="21">
        <v>0.16624497210328223</v>
      </c>
      <c r="U86" s="21">
        <v>7.1827133479212199E-2</v>
      </c>
      <c r="V86" s="37" t="s">
        <v>6</v>
      </c>
      <c r="W86" s="37" t="s">
        <v>6</v>
      </c>
      <c r="X86" s="38" t="s">
        <v>1</v>
      </c>
      <c r="Y86" s="22" t="s">
        <v>6</v>
      </c>
      <c r="Z86" s="24" t="s">
        <v>6</v>
      </c>
      <c r="AA86" s="38" t="s">
        <v>1</v>
      </c>
      <c r="AB86" s="35" t="s">
        <v>1</v>
      </c>
      <c r="AC86" s="1" t="s">
        <v>14</v>
      </c>
    </row>
    <row r="87" spans="1:29">
      <c r="A87" s="35" t="s">
        <v>7</v>
      </c>
      <c r="B87" s="35" t="s">
        <v>180</v>
      </c>
      <c r="C87" s="35" t="s">
        <v>60</v>
      </c>
      <c r="D87" s="36">
        <v>305</v>
      </c>
      <c r="E87" s="12">
        <v>10</v>
      </c>
      <c r="F87" s="21">
        <f t="shared" si="7"/>
        <v>2.1732988448852772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6">
        <v>492.6</v>
      </c>
      <c r="M87" s="35">
        <v>1.35</v>
      </c>
      <c r="N87" s="21">
        <v>8.81</v>
      </c>
      <c r="O87" s="12">
        <v>0</v>
      </c>
      <c r="P87" s="35">
        <v>100</v>
      </c>
      <c r="Q87" s="35">
        <v>60</v>
      </c>
      <c r="R87" s="35">
        <v>90</v>
      </c>
      <c r="S87" s="35">
        <v>120</v>
      </c>
      <c r="T87" s="21">
        <v>7.7040352925911215E-2</v>
      </c>
      <c r="U87" s="21">
        <v>3.5448577680525097E-2</v>
      </c>
      <c r="V87" s="37" t="s">
        <v>6</v>
      </c>
      <c r="W87" s="37" t="s">
        <v>6</v>
      </c>
      <c r="X87" s="35" t="s">
        <v>1</v>
      </c>
      <c r="Y87" s="23" t="s">
        <v>6</v>
      </c>
      <c r="Z87" s="21" t="s">
        <v>6</v>
      </c>
      <c r="AA87" s="35" t="s">
        <v>1</v>
      </c>
      <c r="AB87" s="35" t="s">
        <v>1</v>
      </c>
      <c r="AC87" s="1" t="s">
        <v>14</v>
      </c>
    </row>
    <row r="88" spans="1:29">
      <c r="A88" s="35" t="s">
        <v>7</v>
      </c>
      <c r="B88" s="35" t="s">
        <v>180</v>
      </c>
      <c r="C88" s="35" t="s">
        <v>60</v>
      </c>
      <c r="D88" s="36">
        <v>305</v>
      </c>
      <c r="E88" s="12">
        <v>19.77</v>
      </c>
      <c r="F88" s="21">
        <f t="shared" si="7"/>
        <v>4.3988153458225971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6">
        <v>492.6</v>
      </c>
      <c r="M88" s="35">
        <v>1.35</v>
      </c>
      <c r="N88" s="21">
        <v>8.81</v>
      </c>
      <c r="O88" s="12">
        <v>0</v>
      </c>
      <c r="P88" s="35">
        <v>100</v>
      </c>
      <c r="Q88" s="35">
        <v>60</v>
      </c>
      <c r="R88" s="35">
        <v>90</v>
      </c>
      <c r="S88" s="35">
        <v>20</v>
      </c>
      <c r="T88" s="21">
        <v>1.0015245880368482</v>
      </c>
      <c r="U88" s="21">
        <v>0.227680525164113</v>
      </c>
      <c r="V88" s="37" t="s">
        <v>6</v>
      </c>
      <c r="W88" s="37" t="s">
        <v>6</v>
      </c>
      <c r="X88" s="35" t="s">
        <v>1</v>
      </c>
      <c r="Y88" s="23" t="s">
        <v>6</v>
      </c>
      <c r="Z88" s="21" t="s">
        <v>6</v>
      </c>
      <c r="AA88" s="35" t="s">
        <v>1</v>
      </c>
      <c r="AB88" s="35" t="s">
        <v>1</v>
      </c>
      <c r="AC88" s="1" t="s">
        <v>14</v>
      </c>
    </row>
    <row r="89" spans="1:29">
      <c r="A89" s="35" t="s">
        <v>7</v>
      </c>
      <c r="B89" s="35" t="s">
        <v>180</v>
      </c>
      <c r="C89" s="35" t="s">
        <v>60</v>
      </c>
      <c r="D89" s="36">
        <v>305</v>
      </c>
      <c r="E89" s="12">
        <v>19.77</v>
      </c>
      <c r="F89" s="21">
        <f t="shared" si="7"/>
        <v>4.3938535218071051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6">
        <v>492.6</v>
      </c>
      <c r="M89" s="35">
        <v>1.35</v>
      </c>
      <c r="N89" s="21">
        <v>8.81</v>
      </c>
      <c r="O89" s="12">
        <v>0</v>
      </c>
      <c r="P89" s="35">
        <v>100</v>
      </c>
      <c r="Q89" s="35">
        <v>60</v>
      </c>
      <c r="R89" s="35">
        <v>90</v>
      </c>
      <c r="S89" s="35">
        <v>40</v>
      </c>
      <c r="T89" s="21">
        <v>1.0542364084598412</v>
      </c>
      <c r="U89" s="21">
        <v>0.23993435448577599</v>
      </c>
      <c r="V89" s="37" t="s">
        <v>6</v>
      </c>
      <c r="W89" s="37" t="s">
        <v>6</v>
      </c>
      <c r="X89" s="35" t="s">
        <v>1</v>
      </c>
      <c r="Y89" s="23" t="s">
        <v>6</v>
      </c>
      <c r="Z89" s="21" t="s">
        <v>6</v>
      </c>
      <c r="AA89" s="35" t="s">
        <v>1</v>
      </c>
      <c r="AB89" s="35" t="s">
        <v>1</v>
      </c>
      <c r="AC89" s="1" t="s">
        <v>14</v>
      </c>
    </row>
    <row r="90" spans="1:29">
      <c r="A90" s="35" t="s">
        <v>7</v>
      </c>
      <c r="B90" s="35" t="s">
        <v>180</v>
      </c>
      <c r="C90" s="35" t="s">
        <v>60</v>
      </c>
      <c r="D90" s="36">
        <v>305</v>
      </c>
      <c r="E90" s="12">
        <v>19.77</v>
      </c>
      <c r="F90" s="21">
        <f t="shared" si="7"/>
        <v>4.3802400867502316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6">
        <v>492.6</v>
      </c>
      <c r="M90" s="35">
        <v>1.35</v>
      </c>
      <c r="N90" s="21">
        <v>8.81</v>
      </c>
      <c r="O90" s="12">
        <v>0</v>
      </c>
      <c r="P90" s="35">
        <v>100</v>
      </c>
      <c r="Q90" s="35">
        <v>60</v>
      </c>
      <c r="R90" s="35">
        <v>90</v>
      </c>
      <c r="S90" s="35">
        <v>60</v>
      </c>
      <c r="T90" s="21">
        <v>0.87988192552225253</v>
      </c>
      <c r="U90" s="21">
        <v>0.20087527352297499</v>
      </c>
      <c r="V90" s="37" t="s">
        <v>6</v>
      </c>
      <c r="W90" s="37" t="s">
        <v>6</v>
      </c>
      <c r="X90" s="35" t="s">
        <v>1</v>
      </c>
      <c r="Y90" s="23" t="s">
        <v>6</v>
      </c>
      <c r="Z90" s="21" t="s">
        <v>6</v>
      </c>
      <c r="AA90" s="35" t="s">
        <v>1</v>
      </c>
      <c r="AB90" s="35" t="s">
        <v>1</v>
      </c>
      <c r="AC90" s="1" t="s">
        <v>14</v>
      </c>
    </row>
    <row r="91" spans="1:29">
      <c r="A91" s="35" t="s">
        <v>7</v>
      </c>
      <c r="B91" s="35" t="s">
        <v>180</v>
      </c>
      <c r="C91" s="35" t="s">
        <v>60</v>
      </c>
      <c r="D91" s="36">
        <v>305</v>
      </c>
      <c r="E91" s="12">
        <v>19.77</v>
      </c>
      <c r="F91" s="21">
        <f t="shared" si="7"/>
        <v>4.3998724992342355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6">
        <v>492.6</v>
      </c>
      <c r="M91" s="35">
        <v>1.35</v>
      </c>
      <c r="N91" s="21">
        <v>8.81</v>
      </c>
      <c r="O91" s="12">
        <v>0</v>
      </c>
      <c r="P91" s="35">
        <v>100</v>
      </c>
      <c r="Q91" s="35">
        <v>60</v>
      </c>
      <c r="R91" s="35">
        <v>90</v>
      </c>
      <c r="S91" s="35">
        <v>80</v>
      </c>
      <c r="T91" s="21">
        <v>0.84338912676787248</v>
      </c>
      <c r="U91" s="21">
        <v>0.19168490153172801</v>
      </c>
      <c r="V91" s="37">
        <v>0.68</v>
      </c>
      <c r="W91" s="37">
        <v>2.5099999999999998</v>
      </c>
      <c r="X91" s="38" t="s">
        <v>1</v>
      </c>
      <c r="Y91" s="22" t="s">
        <v>6</v>
      </c>
      <c r="Z91" s="24" t="s">
        <v>6</v>
      </c>
      <c r="AA91" s="38" t="s">
        <v>1</v>
      </c>
      <c r="AB91" s="35" t="s">
        <v>1</v>
      </c>
      <c r="AC91" s="1" t="s">
        <v>14</v>
      </c>
    </row>
    <row r="92" spans="1:29">
      <c r="A92" s="35" t="s">
        <v>7</v>
      </c>
      <c r="B92" s="35" t="s">
        <v>180</v>
      </c>
      <c r="C92" s="35" t="s">
        <v>60</v>
      </c>
      <c r="D92" s="36">
        <v>305</v>
      </c>
      <c r="E92" s="12">
        <v>19.77</v>
      </c>
      <c r="F92" s="21">
        <f t="shared" si="7"/>
        <v>4.430610354566249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6">
        <v>492.6</v>
      </c>
      <c r="M92" s="35">
        <v>1.35</v>
      </c>
      <c r="N92" s="21">
        <v>8.81</v>
      </c>
      <c r="O92" s="12">
        <v>0</v>
      </c>
      <c r="P92" s="35">
        <v>100</v>
      </c>
      <c r="Q92" s="35">
        <v>60</v>
      </c>
      <c r="R92" s="35">
        <v>90</v>
      </c>
      <c r="S92" s="35">
        <v>100</v>
      </c>
      <c r="T92" s="21">
        <v>0.73391073050473432</v>
      </c>
      <c r="U92" s="21">
        <v>0.16564551422319401</v>
      </c>
      <c r="V92" s="37" t="s">
        <v>6</v>
      </c>
      <c r="W92" s="37" t="s">
        <v>6</v>
      </c>
      <c r="X92" s="35" t="s">
        <v>1</v>
      </c>
      <c r="Y92" s="23" t="s">
        <v>6</v>
      </c>
      <c r="Z92" s="21" t="s">
        <v>6</v>
      </c>
      <c r="AA92" s="35" t="s">
        <v>1</v>
      </c>
      <c r="AB92" s="35" t="s">
        <v>1</v>
      </c>
      <c r="AC92" s="1" t="s">
        <v>18</v>
      </c>
    </row>
    <row r="93" spans="1:29">
      <c r="A93" s="35" t="s">
        <v>7</v>
      </c>
      <c r="B93" s="35" t="s">
        <v>180</v>
      </c>
      <c r="C93" s="35" t="s">
        <v>60</v>
      </c>
      <c r="D93" s="36">
        <v>305</v>
      </c>
      <c r="E93" s="12">
        <v>19.77</v>
      </c>
      <c r="F93" s="21">
        <f t="shared" si="7"/>
        <v>4.3621407991120034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6">
        <v>492.6</v>
      </c>
      <c r="M93" s="35">
        <v>1.35</v>
      </c>
      <c r="N93" s="21">
        <v>8.81</v>
      </c>
      <c r="O93" s="12">
        <v>0</v>
      </c>
      <c r="P93" s="35">
        <v>100</v>
      </c>
      <c r="Q93" s="35">
        <v>60</v>
      </c>
      <c r="R93" s="35">
        <v>90</v>
      </c>
      <c r="S93" s="35">
        <v>120</v>
      </c>
      <c r="T93" s="21">
        <v>0.4987349163098479</v>
      </c>
      <c r="U93" s="21">
        <v>0.11433260393873</v>
      </c>
      <c r="V93" s="37" t="s">
        <v>6</v>
      </c>
      <c r="W93" s="37" t="s">
        <v>6</v>
      </c>
      <c r="X93" s="35" t="s">
        <v>1</v>
      </c>
      <c r="Y93" s="23" t="s">
        <v>6</v>
      </c>
      <c r="Z93" s="21" t="s">
        <v>6</v>
      </c>
      <c r="AA93" s="35" t="s">
        <v>1</v>
      </c>
      <c r="AB93" s="35" t="s">
        <v>1</v>
      </c>
      <c r="AC93" s="1" t="s">
        <v>14</v>
      </c>
    </row>
    <row r="94" spans="1:29">
      <c r="A94" s="35" t="s">
        <v>7</v>
      </c>
      <c r="B94" s="35" t="s">
        <v>180</v>
      </c>
      <c r="C94" s="35" t="s">
        <v>60</v>
      </c>
      <c r="D94" s="36">
        <v>305</v>
      </c>
      <c r="E94" s="12">
        <v>33.36</v>
      </c>
      <c r="F94" s="21">
        <f t="shared" si="7"/>
        <v>7.5141878461174993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6">
        <v>492.6</v>
      </c>
      <c r="M94" s="35">
        <v>1.35</v>
      </c>
      <c r="N94" s="21">
        <v>8.81</v>
      </c>
      <c r="O94" s="12">
        <v>0</v>
      </c>
      <c r="P94" s="35">
        <v>100</v>
      </c>
      <c r="Q94" s="35">
        <v>60</v>
      </c>
      <c r="R94" s="35">
        <v>90</v>
      </c>
      <c r="S94" s="35">
        <v>20</v>
      </c>
      <c r="T94" s="21">
        <v>1.492149993512391</v>
      </c>
      <c r="U94" s="21">
        <v>0.198577680525164</v>
      </c>
      <c r="V94" s="37" t="s">
        <v>6</v>
      </c>
      <c r="W94" s="37" t="s">
        <v>6</v>
      </c>
      <c r="X94" s="35" t="s">
        <v>1</v>
      </c>
      <c r="Y94" s="23" t="s">
        <v>6</v>
      </c>
      <c r="Z94" s="21" t="s">
        <v>6</v>
      </c>
      <c r="AA94" s="35" t="s">
        <v>1</v>
      </c>
      <c r="AB94" s="35" t="s">
        <v>1</v>
      </c>
      <c r="AC94" s="1" t="s">
        <v>14</v>
      </c>
    </row>
    <row r="95" spans="1:29">
      <c r="A95" s="35" t="s">
        <v>7</v>
      </c>
      <c r="B95" s="35" t="s">
        <v>180</v>
      </c>
      <c r="C95" s="35" t="s">
        <v>60</v>
      </c>
      <c r="D95" s="36">
        <v>305</v>
      </c>
      <c r="E95" s="12">
        <v>33.36</v>
      </c>
      <c r="F95" s="21">
        <f t="shared" ref="F95:F126" si="8">T95/U95</f>
        <v>7.5050120999845253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6">
        <v>492.6</v>
      </c>
      <c r="M95" s="35">
        <v>1.35</v>
      </c>
      <c r="N95" s="21">
        <v>8.81</v>
      </c>
      <c r="O95" s="12">
        <v>0</v>
      </c>
      <c r="P95" s="35">
        <v>100</v>
      </c>
      <c r="Q95" s="35">
        <v>60</v>
      </c>
      <c r="R95" s="35">
        <v>90</v>
      </c>
      <c r="S95" s="35">
        <v>40</v>
      </c>
      <c r="T95" s="21">
        <v>1.7029972752043596</v>
      </c>
      <c r="U95" s="21">
        <v>0.22691466083150899</v>
      </c>
      <c r="V95" s="37" t="s">
        <v>6</v>
      </c>
      <c r="W95" s="37" t="s">
        <v>6</v>
      </c>
      <c r="X95" s="35" t="s">
        <v>1</v>
      </c>
      <c r="Y95" s="23" t="s">
        <v>6</v>
      </c>
      <c r="Z95" s="21" t="s">
        <v>6</v>
      </c>
      <c r="AA95" s="35" t="s">
        <v>1</v>
      </c>
      <c r="AB95" s="35" t="s">
        <v>1</v>
      </c>
      <c r="AC95" s="1" t="s">
        <v>14</v>
      </c>
    </row>
    <row r="96" spans="1:29">
      <c r="A96" s="35" t="s">
        <v>7</v>
      </c>
      <c r="B96" s="35" t="s">
        <v>180</v>
      </c>
      <c r="C96" s="35" t="s">
        <v>60</v>
      </c>
      <c r="D96" s="36">
        <v>305</v>
      </c>
      <c r="E96" s="12">
        <v>33.36</v>
      </c>
      <c r="F96" s="21">
        <f t="shared" si="8"/>
        <v>7.5152152166187447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6">
        <v>492.6</v>
      </c>
      <c r="M96" s="35">
        <v>1.35</v>
      </c>
      <c r="N96" s="21">
        <v>8.81</v>
      </c>
      <c r="O96" s="12">
        <v>0</v>
      </c>
      <c r="P96" s="35">
        <v>100</v>
      </c>
      <c r="Q96" s="35">
        <v>60</v>
      </c>
      <c r="R96" s="35">
        <v>90</v>
      </c>
      <c r="S96" s="35">
        <v>60</v>
      </c>
      <c r="T96" s="21">
        <v>2.1571298819255222</v>
      </c>
      <c r="U96" s="21">
        <v>0.28703501094091899</v>
      </c>
      <c r="V96" s="37" t="s">
        <v>6</v>
      </c>
      <c r="W96" s="37" t="s">
        <v>6</v>
      </c>
      <c r="X96" s="38" t="s">
        <v>1</v>
      </c>
      <c r="Y96" s="22" t="s">
        <v>6</v>
      </c>
      <c r="Z96" s="24" t="s">
        <v>6</v>
      </c>
      <c r="AA96" s="38" t="s">
        <v>1</v>
      </c>
      <c r="AB96" s="35" t="s">
        <v>1</v>
      </c>
      <c r="AC96" s="1" t="s">
        <v>14</v>
      </c>
    </row>
    <row r="97" spans="1:29">
      <c r="A97" s="35" t="s">
        <v>7</v>
      </c>
      <c r="B97" s="35" t="s">
        <v>180</v>
      </c>
      <c r="C97" s="35" t="s">
        <v>60</v>
      </c>
      <c r="D97" s="36">
        <v>305</v>
      </c>
      <c r="E97" s="12">
        <v>33.36</v>
      </c>
      <c r="F97" s="21">
        <f t="shared" si="8"/>
        <v>7.5230893020952134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6">
        <v>492.6</v>
      </c>
      <c r="M97" s="35">
        <v>1.35</v>
      </c>
      <c r="N97" s="21">
        <v>8.81</v>
      </c>
      <c r="O97" s="12">
        <v>0</v>
      </c>
      <c r="P97" s="35">
        <v>100</v>
      </c>
      <c r="Q97" s="35">
        <v>60</v>
      </c>
      <c r="R97" s="35">
        <v>90</v>
      </c>
      <c r="S97" s="35">
        <v>80</v>
      </c>
      <c r="T97" s="21">
        <v>2.473400804463465</v>
      </c>
      <c r="U97" s="21">
        <v>0.32877461706783301</v>
      </c>
      <c r="V97" s="37">
        <v>0.86</v>
      </c>
      <c r="W97" s="37">
        <v>4.33</v>
      </c>
      <c r="X97" s="35" t="s">
        <v>1</v>
      </c>
      <c r="Y97" s="23" t="s">
        <v>6</v>
      </c>
      <c r="Z97" s="21" t="s">
        <v>6</v>
      </c>
      <c r="AA97" s="35" t="s">
        <v>1</v>
      </c>
      <c r="AB97" s="35" t="s">
        <v>1</v>
      </c>
      <c r="AC97" s="1" t="s">
        <v>14</v>
      </c>
    </row>
    <row r="98" spans="1:29">
      <c r="A98" s="35" t="s">
        <v>7</v>
      </c>
      <c r="B98" s="35" t="s">
        <v>180</v>
      </c>
      <c r="C98" s="35" t="s">
        <v>60</v>
      </c>
      <c r="D98" s="36">
        <v>305</v>
      </c>
      <c r="E98" s="12">
        <v>33.36</v>
      </c>
      <c r="F98" s="21">
        <f t="shared" si="8"/>
        <v>7.5138575784798887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6">
        <v>492.6</v>
      </c>
      <c r="M98" s="35">
        <v>1.35</v>
      </c>
      <c r="N98" s="21">
        <v>8.81</v>
      </c>
      <c r="O98" s="12">
        <v>0</v>
      </c>
      <c r="P98" s="35">
        <v>100</v>
      </c>
      <c r="Q98" s="35">
        <v>60</v>
      </c>
      <c r="R98" s="35">
        <v>90</v>
      </c>
      <c r="S98" s="35">
        <v>100</v>
      </c>
      <c r="T98" s="21">
        <v>2.1855131698455947</v>
      </c>
      <c r="U98" s="21">
        <v>0.29086433260393801</v>
      </c>
      <c r="V98" s="37" t="s">
        <v>6</v>
      </c>
      <c r="W98" s="37" t="s">
        <v>6</v>
      </c>
      <c r="X98" s="35" t="s">
        <v>1</v>
      </c>
      <c r="Y98" s="23" t="s">
        <v>6</v>
      </c>
      <c r="Z98" s="21" t="s">
        <v>6</v>
      </c>
      <c r="AA98" s="35" t="s">
        <v>1</v>
      </c>
      <c r="AB98" s="35" t="s">
        <v>1</v>
      </c>
      <c r="AC98" s="1" t="s">
        <v>14</v>
      </c>
    </row>
    <row r="99" spans="1:29">
      <c r="A99" s="35" t="s">
        <v>7</v>
      </c>
      <c r="B99" s="35" t="s">
        <v>180</v>
      </c>
      <c r="C99" s="35" t="s">
        <v>60</v>
      </c>
      <c r="D99" s="36">
        <v>305</v>
      </c>
      <c r="E99" s="12">
        <v>33.36</v>
      </c>
      <c r="F99" s="21">
        <f t="shared" si="8"/>
        <v>7.3620594885562411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6">
        <v>492.6</v>
      </c>
      <c r="M99" s="35">
        <v>1.35</v>
      </c>
      <c r="N99" s="21">
        <v>8.81</v>
      </c>
      <c r="O99" s="12">
        <v>0</v>
      </c>
      <c r="P99" s="35">
        <v>100</v>
      </c>
      <c r="Q99" s="35">
        <v>60</v>
      </c>
      <c r="R99" s="35">
        <v>90</v>
      </c>
      <c r="S99" s="35">
        <v>120</v>
      </c>
      <c r="T99" s="21">
        <v>1.6705592318671321</v>
      </c>
      <c r="U99" s="21">
        <v>0.22691466083150899</v>
      </c>
      <c r="V99" s="37" t="s">
        <v>6</v>
      </c>
      <c r="W99" s="37" t="s">
        <v>6</v>
      </c>
      <c r="X99" s="35" t="s">
        <v>1</v>
      </c>
      <c r="Y99" s="23" t="s">
        <v>6</v>
      </c>
      <c r="Z99" s="21" t="s">
        <v>6</v>
      </c>
      <c r="AA99" s="35" t="s">
        <v>1</v>
      </c>
      <c r="AB99" s="35" t="s">
        <v>1</v>
      </c>
      <c r="AC99" s="1" t="s">
        <v>14</v>
      </c>
    </row>
    <row r="100" spans="1:29">
      <c r="A100" s="35" t="s">
        <v>7</v>
      </c>
      <c r="B100" s="35" t="s">
        <v>180</v>
      </c>
      <c r="C100" s="35" t="s">
        <v>60</v>
      </c>
      <c r="D100" s="36">
        <v>305</v>
      </c>
      <c r="E100" s="12">
        <v>38.49</v>
      </c>
      <c r="F100" s="21">
        <f t="shared" si="8"/>
        <v>8.6057096999175986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6">
        <v>492.6</v>
      </c>
      <c r="M100" s="35">
        <v>1.35</v>
      </c>
      <c r="N100" s="21">
        <v>8.81</v>
      </c>
      <c r="O100" s="12">
        <v>0</v>
      </c>
      <c r="P100" s="35">
        <v>100</v>
      </c>
      <c r="Q100" s="35">
        <v>60</v>
      </c>
      <c r="R100" s="35">
        <v>90</v>
      </c>
      <c r="S100" s="35">
        <v>20</v>
      </c>
      <c r="T100" s="21">
        <v>1.4353834176722458</v>
      </c>
      <c r="U100" s="21">
        <v>0.16679431072209999</v>
      </c>
      <c r="V100" s="37" t="s">
        <v>6</v>
      </c>
      <c r="W100" s="37" t="s">
        <v>6</v>
      </c>
      <c r="X100" s="35" t="s">
        <v>1</v>
      </c>
      <c r="Y100" s="23" t="s">
        <v>6</v>
      </c>
      <c r="Z100" s="21" t="s">
        <v>6</v>
      </c>
      <c r="AA100" s="35" t="s">
        <v>1</v>
      </c>
      <c r="AB100" s="35" t="s">
        <v>1</v>
      </c>
      <c r="AC100" s="1" t="s">
        <v>14</v>
      </c>
    </row>
    <row r="101" spans="1:29">
      <c r="A101" s="35" t="s">
        <v>7</v>
      </c>
      <c r="B101" s="35" t="s">
        <v>180</v>
      </c>
      <c r="C101" s="35" t="s">
        <v>60</v>
      </c>
      <c r="D101" s="36">
        <v>305</v>
      </c>
      <c r="E101" s="12">
        <v>38.49</v>
      </c>
      <c r="F101" s="21">
        <f t="shared" si="8"/>
        <v>8.6126431614208503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6">
        <v>492.6</v>
      </c>
      <c r="M101" s="35">
        <v>1.35</v>
      </c>
      <c r="N101" s="21">
        <v>8.81</v>
      </c>
      <c r="O101" s="12">
        <v>0</v>
      </c>
      <c r="P101" s="35">
        <v>100</v>
      </c>
      <c r="Q101" s="35">
        <v>60</v>
      </c>
      <c r="R101" s="35">
        <v>90</v>
      </c>
      <c r="S101" s="35">
        <v>40</v>
      </c>
      <c r="T101" s="21">
        <v>2.0071039314908514</v>
      </c>
      <c r="U101" s="21">
        <v>0.233041575492341</v>
      </c>
      <c r="V101" s="37" t="s">
        <v>6</v>
      </c>
      <c r="W101" s="37" t="s">
        <v>6</v>
      </c>
      <c r="X101" s="38" t="s">
        <v>1</v>
      </c>
      <c r="Y101" s="22" t="s">
        <v>6</v>
      </c>
      <c r="Z101" s="24" t="s">
        <v>6</v>
      </c>
      <c r="AA101" s="38" t="s">
        <v>1</v>
      </c>
      <c r="AB101" s="35" t="s">
        <v>1</v>
      </c>
      <c r="AC101" s="1" t="s">
        <v>14</v>
      </c>
    </row>
    <row r="102" spans="1:29">
      <c r="A102" s="35" t="s">
        <v>7</v>
      </c>
      <c r="B102" s="35" t="s">
        <v>180</v>
      </c>
      <c r="C102" s="35" t="s">
        <v>60</v>
      </c>
      <c r="D102" s="36">
        <v>305</v>
      </c>
      <c r="E102" s="12">
        <v>38.49</v>
      </c>
      <c r="F102" s="21">
        <f t="shared" si="8"/>
        <v>8.7466866855733425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6">
        <v>492.6</v>
      </c>
      <c r="M102" s="35">
        <v>1.35</v>
      </c>
      <c r="N102" s="21">
        <v>8.81</v>
      </c>
      <c r="O102" s="12">
        <v>0</v>
      </c>
      <c r="P102" s="35">
        <v>100</v>
      </c>
      <c r="Q102" s="35">
        <v>60</v>
      </c>
      <c r="R102" s="35">
        <v>90</v>
      </c>
      <c r="S102" s="35">
        <v>60</v>
      </c>
      <c r="T102" s="21">
        <v>2.449072271960536</v>
      </c>
      <c r="U102" s="21">
        <v>0.28000000000000003</v>
      </c>
      <c r="V102" s="37" t="s">
        <v>6</v>
      </c>
      <c r="W102" s="37" t="s">
        <v>6</v>
      </c>
      <c r="X102" s="35" t="s">
        <v>1</v>
      </c>
      <c r="Y102" s="23" t="s">
        <v>6</v>
      </c>
      <c r="Z102" s="21" t="s">
        <v>6</v>
      </c>
      <c r="AA102" s="35" t="s">
        <v>1</v>
      </c>
      <c r="AB102" s="35" t="s">
        <v>1</v>
      </c>
      <c r="AC102" s="1" t="s">
        <v>14</v>
      </c>
    </row>
    <row r="103" spans="1:29">
      <c r="A103" s="35" t="s">
        <v>7</v>
      </c>
      <c r="B103" s="35" t="s">
        <v>180</v>
      </c>
      <c r="C103" s="35" t="s">
        <v>60</v>
      </c>
      <c r="D103" s="36">
        <v>305</v>
      </c>
      <c r="E103" s="12">
        <v>38.49</v>
      </c>
      <c r="F103" s="21">
        <f t="shared" si="8"/>
        <v>8.3892669717634885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6">
        <v>492.6</v>
      </c>
      <c r="M103" s="35">
        <v>1.35</v>
      </c>
      <c r="N103" s="21">
        <v>8.81</v>
      </c>
      <c r="O103" s="12">
        <v>0</v>
      </c>
      <c r="P103" s="35">
        <v>100</v>
      </c>
      <c r="Q103" s="35">
        <v>60</v>
      </c>
      <c r="R103" s="35">
        <v>90</v>
      </c>
      <c r="S103" s="35">
        <v>80</v>
      </c>
      <c r="T103" s="21">
        <v>2.809945504087171</v>
      </c>
      <c r="U103" s="21">
        <v>0.33494529540481399</v>
      </c>
      <c r="V103" s="37">
        <v>0.59</v>
      </c>
      <c r="W103" s="37">
        <v>2.91</v>
      </c>
      <c r="X103" s="35" t="s">
        <v>1</v>
      </c>
      <c r="Y103" s="23" t="s">
        <v>6</v>
      </c>
      <c r="Z103" s="21" t="s">
        <v>6</v>
      </c>
      <c r="AA103" s="35" t="s">
        <v>1</v>
      </c>
      <c r="AB103" s="35" t="s">
        <v>1</v>
      </c>
      <c r="AC103" s="1" t="s">
        <v>14</v>
      </c>
    </row>
    <row r="104" spans="1:29">
      <c r="A104" s="35" t="s">
        <v>7</v>
      </c>
      <c r="B104" s="35" t="s">
        <v>180</v>
      </c>
      <c r="C104" s="35" t="s">
        <v>60</v>
      </c>
      <c r="D104" s="36">
        <v>305</v>
      </c>
      <c r="E104" s="12">
        <v>38.49</v>
      </c>
      <c r="F104" s="21">
        <f t="shared" si="8"/>
        <v>8.6224851778893452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6">
        <v>492.6</v>
      </c>
      <c r="M104" s="35">
        <v>1.35</v>
      </c>
      <c r="N104" s="21">
        <v>8.81</v>
      </c>
      <c r="O104" s="12">
        <v>0</v>
      </c>
      <c r="P104" s="35">
        <v>100</v>
      </c>
      <c r="Q104" s="35">
        <v>60</v>
      </c>
      <c r="R104" s="35">
        <v>90</v>
      </c>
      <c r="S104" s="35">
        <v>100</v>
      </c>
      <c r="T104" s="21">
        <v>2.8018359932528836</v>
      </c>
      <c r="U104" s="21">
        <v>0.32494529540481398</v>
      </c>
      <c r="V104" s="37" t="s">
        <v>6</v>
      </c>
      <c r="W104" s="37" t="s">
        <v>6</v>
      </c>
      <c r="X104" s="35" t="s">
        <v>1</v>
      </c>
      <c r="Y104" s="23" t="s">
        <v>6</v>
      </c>
      <c r="Z104" s="21" t="s">
        <v>6</v>
      </c>
      <c r="AA104" s="35" t="s">
        <v>1</v>
      </c>
      <c r="AB104" s="35" t="s">
        <v>1</v>
      </c>
      <c r="AC104" s="1" t="s">
        <v>14</v>
      </c>
    </row>
    <row r="105" spans="1:29">
      <c r="A105" s="35" t="s">
        <v>7</v>
      </c>
      <c r="B105" s="35" t="s">
        <v>180</v>
      </c>
      <c r="C105" s="35" t="s">
        <v>60</v>
      </c>
      <c r="D105" s="36">
        <v>305</v>
      </c>
      <c r="E105" s="12">
        <v>38.49</v>
      </c>
      <c r="F105" s="21">
        <f t="shared" si="8"/>
        <v>8.6309429040615857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6">
        <v>492.6</v>
      </c>
      <c r="M105" s="35">
        <v>1.35</v>
      </c>
      <c r="N105" s="21">
        <v>8.81</v>
      </c>
      <c r="O105" s="12">
        <v>0</v>
      </c>
      <c r="P105" s="35">
        <v>100</v>
      </c>
      <c r="Q105" s="35">
        <v>60</v>
      </c>
      <c r="R105" s="35">
        <v>90</v>
      </c>
      <c r="S105" s="35">
        <v>120</v>
      </c>
      <c r="T105" s="21">
        <v>2.2625535227715052</v>
      </c>
      <c r="U105" s="21">
        <v>0.26214442013129102</v>
      </c>
      <c r="V105" s="37" t="s">
        <v>6</v>
      </c>
      <c r="W105" s="37" t="s">
        <v>6</v>
      </c>
      <c r="X105" s="35" t="s">
        <v>1</v>
      </c>
      <c r="Y105" s="23" t="s">
        <v>6</v>
      </c>
      <c r="Z105" s="21" t="s">
        <v>6</v>
      </c>
      <c r="AA105" s="35" t="s">
        <v>1</v>
      </c>
      <c r="AB105" s="35" t="s">
        <v>1</v>
      </c>
      <c r="AC105" s="1" t="s">
        <v>14</v>
      </c>
    </row>
    <row r="106" spans="1:29">
      <c r="A106" s="35" t="s">
        <v>7</v>
      </c>
      <c r="B106" s="35" t="s">
        <v>180</v>
      </c>
      <c r="C106" s="35" t="s">
        <v>60</v>
      </c>
      <c r="D106" s="36">
        <v>305</v>
      </c>
      <c r="E106" s="12">
        <v>44.12</v>
      </c>
      <c r="F106" s="21">
        <f t="shared" si="8"/>
        <v>10.390310756455168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6">
        <v>492.6</v>
      </c>
      <c r="M106" s="35">
        <v>1.35</v>
      </c>
      <c r="N106" s="21">
        <v>8.81</v>
      </c>
      <c r="O106" s="12">
        <v>0</v>
      </c>
      <c r="P106" s="35">
        <v>100</v>
      </c>
      <c r="Q106" s="35">
        <v>60</v>
      </c>
      <c r="R106" s="35">
        <v>90</v>
      </c>
      <c r="S106" s="35">
        <v>20</v>
      </c>
      <c r="T106" s="21">
        <v>1.6624497210328268</v>
      </c>
      <c r="U106" s="21">
        <v>0.16</v>
      </c>
      <c r="V106" s="37" t="s">
        <v>6</v>
      </c>
      <c r="W106" s="37" t="s">
        <v>6</v>
      </c>
      <c r="X106" s="38" t="s">
        <v>1</v>
      </c>
      <c r="Y106" s="22" t="s">
        <v>6</v>
      </c>
      <c r="Z106" s="24" t="s">
        <v>6</v>
      </c>
      <c r="AA106" s="38" t="s">
        <v>1</v>
      </c>
      <c r="AB106" s="35" t="s">
        <v>1</v>
      </c>
      <c r="AC106" s="1" t="s">
        <v>14</v>
      </c>
    </row>
    <row r="107" spans="1:29">
      <c r="A107" s="35" t="s">
        <v>7</v>
      </c>
      <c r="B107" s="35" t="s">
        <v>180</v>
      </c>
      <c r="C107" s="35" t="s">
        <v>60</v>
      </c>
      <c r="D107" s="36">
        <v>305</v>
      </c>
      <c r="E107" s="12">
        <v>44.12</v>
      </c>
      <c r="F107" s="21">
        <f t="shared" si="8"/>
        <v>10.291355415917501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6">
        <v>492.6</v>
      </c>
      <c r="M107" s="35">
        <v>1.35</v>
      </c>
      <c r="N107" s="21">
        <v>8.81</v>
      </c>
      <c r="O107" s="12">
        <v>0</v>
      </c>
      <c r="P107" s="35">
        <v>100</v>
      </c>
      <c r="Q107" s="35">
        <v>60</v>
      </c>
      <c r="R107" s="35">
        <v>90</v>
      </c>
      <c r="S107" s="35">
        <v>40</v>
      </c>
      <c r="T107" s="21">
        <v>2.1611846373426751</v>
      </c>
      <c r="U107" s="21">
        <v>0.21</v>
      </c>
      <c r="V107" s="37" t="s">
        <v>6</v>
      </c>
      <c r="W107" s="37" t="s">
        <v>6</v>
      </c>
      <c r="X107" s="35" t="s">
        <v>1</v>
      </c>
      <c r="Y107" s="23" t="s">
        <v>6</v>
      </c>
      <c r="Z107" s="21" t="s">
        <v>6</v>
      </c>
      <c r="AA107" s="35" t="s">
        <v>1</v>
      </c>
      <c r="AB107" s="35" t="s">
        <v>1</v>
      </c>
      <c r="AC107" s="1" t="s">
        <v>14</v>
      </c>
    </row>
    <row r="108" spans="1:29">
      <c r="A108" s="35" t="s">
        <v>7</v>
      </c>
      <c r="B108" s="35" t="s">
        <v>180</v>
      </c>
      <c r="C108" s="35" t="s">
        <v>60</v>
      </c>
      <c r="D108" s="36">
        <v>305</v>
      </c>
      <c r="E108" s="12">
        <v>44.12</v>
      </c>
      <c r="F108" s="21">
        <f t="shared" si="8"/>
        <v>10.181941380851415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6">
        <v>492.6</v>
      </c>
      <c r="M108" s="35">
        <v>1.35</v>
      </c>
      <c r="N108" s="21">
        <v>8.81</v>
      </c>
      <c r="O108" s="12">
        <v>0</v>
      </c>
      <c r="P108" s="35">
        <v>100</v>
      </c>
      <c r="Q108" s="35">
        <v>60</v>
      </c>
      <c r="R108" s="35">
        <v>90</v>
      </c>
      <c r="S108" s="35">
        <v>60</v>
      </c>
      <c r="T108" s="21">
        <v>2.7491241728298821</v>
      </c>
      <c r="U108" s="21">
        <v>0.27</v>
      </c>
      <c r="V108" s="37" t="s">
        <v>6</v>
      </c>
      <c r="W108" s="37" t="s">
        <v>6</v>
      </c>
      <c r="X108" s="35" t="s">
        <v>1</v>
      </c>
      <c r="Y108" s="23" t="s">
        <v>6</v>
      </c>
      <c r="Z108" s="21" t="s">
        <v>6</v>
      </c>
      <c r="AA108" s="35" t="s">
        <v>1</v>
      </c>
      <c r="AB108" s="35" t="s">
        <v>1</v>
      </c>
      <c r="AC108" s="1" t="s">
        <v>14</v>
      </c>
    </row>
    <row r="109" spans="1:29">
      <c r="A109" s="35" t="s">
        <v>7</v>
      </c>
      <c r="B109" s="35" t="s">
        <v>180</v>
      </c>
      <c r="C109" s="35" t="s">
        <v>60</v>
      </c>
      <c r="D109" s="36">
        <v>305</v>
      </c>
      <c r="E109" s="12">
        <v>44.12</v>
      </c>
      <c r="F109" s="21">
        <f t="shared" si="8"/>
        <v>10.100027129999862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6">
        <v>492.6</v>
      </c>
      <c r="M109" s="35">
        <v>1.35</v>
      </c>
      <c r="N109" s="21">
        <v>8.81</v>
      </c>
      <c r="O109" s="12">
        <v>0</v>
      </c>
      <c r="P109" s="35">
        <v>100</v>
      </c>
      <c r="Q109" s="35">
        <v>60</v>
      </c>
      <c r="R109" s="35">
        <v>90</v>
      </c>
      <c r="S109" s="35">
        <v>80</v>
      </c>
      <c r="T109" s="21">
        <v>3.3330089528999545</v>
      </c>
      <c r="U109" s="21">
        <v>0.33</v>
      </c>
      <c r="V109" s="37">
        <v>0.59</v>
      </c>
      <c r="W109" s="37">
        <v>2.21</v>
      </c>
      <c r="X109" s="35" t="s">
        <v>1</v>
      </c>
      <c r="Y109" s="23" t="s">
        <v>6</v>
      </c>
      <c r="Z109" s="21" t="s">
        <v>6</v>
      </c>
      <c r="AA109" s="35" t="s">
        <v>1</v>
      </c>
      <c r="AB109" s="35" t="s">
        <v>1</v>
      </c>
      <c r="AC109" s="1" t="s">
        <v>14</v>
      </c>
    </row>
    <row r="110" spans="1:29">
      <c r="A110" s="35" t="s">
        <v>7</v>
      </c>
      <c r="B110" s="35" t="s">
        <v>180</v>
      </c>
      <c r="C110" s="35" t="s">
        <v>60</v>
      </c>
      <c r="D110" s="36">
        <v>305</v>
      </c>
      <c r="E110" s="12">
        <v>44.12</v>
      </c>
      <c r="F110" s="21">
        <f t="shared" si="8"/>
        <v>10.125303527405475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6">
        <v>492.6</v>
      </c>
      <c r="M110" s="35">
        <v>1.35</v>
      </c>
      <c r="N110" s="21">
        <v>8.81</v>
      </c>
      <c r="O110" s="12">
        <v>0</v>
      </c>
      <c r="P110" s="35">
        <v>100</v>
      </c>
      <c r="Q110" s="35">
        <v>60</v>
      </c>
      <c r="R110" s="35">
        <v>90</v>
      </c>
      <c r="S110" s="35">
        <v>100</v>
      </c>
      <c r="T110" s="21">
        <v>3.543856234591916</v>
      </c>
      <c r="U110" s="21">
        <v>0.35</v>
      </c>
      <c r="V110" s="37" t="s">
        <v>6</v>
      </c>
      <c r="W110" s="37" t="s">
        <v>6</v>
      </c>
      <c r="X110" s="35" t="s">
        <v>1</v>
      </c>
      <c r="Y110" s="23" t="s">
        <v>6</v>
      </c>
      <c r="Z110" s="21" t="s">
        <v>6</v>
      </c>
      <c r="AA110" s="35" t="s">
        <v>1</v>
      </c>
      <c r="AB110" s="35" t="s">
        <v>1</v>
      </c>
      <c r="AC110" s="1" t="s">
        <v>14</v>
      </c>
    </row>
    <row r="111" spans="1:29">
      <c r="A111" s="35" t="s">
        <v>7</v>
      </c>
      <c r="B111" s="35" t="s">
        <v>180</v>
      </c>
      <c r="C111" s="35" t="s">
        <v>60</v>
      </c>
      <c r="D111" s="36">
        <v>305</v>
      </c>
      <c r="E111" s="12">
        <v>44.12</v>
      </c>
      <c r="F111" s="21">
        <f t="shared" si="8"/>
        <v>10.310663775046789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6">
        <v>492.6</v>
      </c>
      <c r="M111" s="35">
        <v>1.35</v>
      </c>
      <c r="N111" s="21">
        <v>8.81</v>
      </c>
      <c r="O111" s="12">
        <v>0</v>
      </c>
      <c r="P111" s="35">
        <v>100</v>
      </c>
      <c r="Q111" s="35">
        <v>60</v>
      </c>
      <c r="R111" s="35">
        <v>90</v>
      </c>
      <c r="S111" s="35">
        <v>120</v>
      </c>
      <c r="T111" s="21">
        <v>2.8869858570131015</v>
      </c>
      <c r="U111" s="21">
        <v>0.28000000000000003</v>
      </c>
      <c r="V111" s="37" t="s">
        <v>6</v>
      </c>
      <c r="W111" s="37" t="s">
        <v>6</v>
      </c>
      <c r="X111" s="38" t="s">
        <v>1</v>
      </c>
      <c r="Y111" s="22" t="s">
        <v>6</v>
      </c>
      <c r="Z111" s="24" t="s">
        <v>6</v>
      </c>
      <c r="AA111" s="38" t="s">
        <v>1</v>
      </c>
      <c r="AB111" s="35" t="s">
        <v>1</v>
      </c>
      <c r="AC111" s="1" t="s">
        <v>14</v>
      </c>
    </row>
    <row r="112" spans="1:29">
      <c r="A112" s="35" t="s">
        <v>7</v>
      </c>
      <c r="B112" s="35" t="s">
        <v>180</v>
      </c>
      <c r="C112" s="35" t="s">
        <v>60</v>
      </c>
      <c r="D112" s="36">
        <v>305</v>
      </c>
      <c r="E112" s="12">
        <v>50.160000000000004</v>
      </c>
      <c r="F112" s="21">
        <f t="shared" si="8"/>
        <v>12.127404838576501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6">
        <v>492.6</v>
      </c>
      <c r="M112" s="35">
        <v>1.35</v>
      </c>
      <c r="N112" s="21">
        <v>8.81</v>
      </c>
      <c r="O112" s="12">
        <v>0</v>
      </c>
      <c r="P112" s="35">
        <v>100</v>
      </c>
      <c r="Q112" s="35">
        <v>60</v>
      </c>
      <c r="R112" s="35">
        <v>90</v>
      </c>
      <c r="S112" s="35">
        <v>20</v>
      </c>
      <c r="T112" s="21">
        <v>1.3340145322434152</v>
      </c>
      <c r="U112" s="21">
        <v>0.11</v>
      </c>
      <c r="V112" s="37">
        <v>9.9700000000000006</v>
      </c>
      <c r="W112" s="37">
        <v>41.22</v>
      </c>
      <c r="X112" s="35" t="s">
        <v>1</v>
      </c>
      <c r="Y112" s="23" t="s">
        <v>6</v>
      </c>
      <c r="Z112" s="21" t="s">
        <v>6</v>
      </c>
      <c r="AA112" s="35" t="s">
        <v>1</v>
      </c>
      <c r="AB112" s="35" t="s">
        <v>1</v>
      </c>
      <c r="AC112" s="1" t="s">
        <v>14</v>
      </c>
    </row>
    <row r="113" spans="1:29">
      <c r="A113" s="35" t="s">
        <v>7</v>
      </c>
      <c r="B113" s="35" t="s">
        <v>180</v>
      </c>
      <c r="C113" s="35" t="s">
        <v>60</v>
      </c>
      <c r="D113" s="36">
        <v>305</v>
      </c>
      <c r="E113" s="12">
        <v>50.160000000000004</v>
      </c>
      <c r="F113" s="21">
        <f t="shared" si="8"/>
        <v>11.511000100918357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6">
        <v>492.6</v>
      </c>
      <c r="M113" s="35">
        <v>1.35</v>
      </c>
      <c r="N113" s="21">
        <v>8.81</v>
      </c>
      <c r="O113" s="12">
        <v>0</v>
      </c>
      <c r="P113" s="35">
        <v>100</v>
      </c>
      <c r="Q113" s="35">
        <v>60</v>
      </c>
      <c r="R113" s="35">
        <v>90</v>
      </c>
      <c r="S113" s="35">
        <v>40</v>
      </c>
      <c r="T113" s="21">
        <v>2.0719800181653043</v>
      </c>
      <c r="U113" s="21">
        <v>0.18</v>
      </c>
      <c r="V113" s="37">
        <v>1.5</v>
      </c>
      <c r="W113" s="37">
        <v>3.97</v>
      </c>
      <c r="X113" s="38" t="s">
        <v>1</v>
      </c>
      <c r="Y113" s="23" t="s">
        <v>6</v>
      </c>
      <c r="Z113" s="21" t="s">
        <v>6</v>
      </c>
      <c r="AA113" s="35" t="s">
        <v>1</v>
      </c>
      <c r="AB113" s="35" t="s">
        <v>1</v>
      </c>
      <c r="AC113" s="1" t="s">
        <v>18</v>
      </c>
    </row>
    <row r="114" spans="1:29">
      <c r="A114" s="35" t="s">
        <v>7</v>
      </c>
      <c r="B114" s="35" t="s">
        <v>180</v>
      </c>
      <c r="C114" s="35" t="s">
        <v>60</v>
      </c>
      <c r="D114" s="36">
        <v>305</v>
      </c>
      <c r="E114" s="12">
        <v>50.160000000000004</v>
      </c>
      <c r="F114" s="21">
        <f t="shared" si="8"/>
        <v>11.860159595173139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6">
        <v>492.6</v>
      </c>
      <c r="M114" s="35">
        <v>1.35</v>
      </c>
      <c r="N114" s="21">
        <v>8.81</v>
      </c>
      <c r="O114" s="12">
        <v>0</v>
      </c>
      <c r="P114" s="35">
        <v>100</v>
      </c>
      <c r="Q114" s="35">
        <v>60</v>
      </c>
      <c r="R114" s="35">
        <v>90</v>
      </c>
      <c r="S114" s="35">
        <v>60</v>
      </c>
      <c r="T114" s="21">
        <v>2.8464383028415532</v>
      </c>
      <c r="U114" s="21">
        <v>0.24</v>
      </c>
      <c r="V114" s="37">
        <v>1.37</v>
      </c>
      <c r="W114" s="37">
        <v>3.01</v>
      </c>
      <c r="X114" s="35" t="s">
        <v>1</v>
      </c>
      <c r="Y114" s="23" t="s">
        <v>6</v>
      </c>
      <c r="Z114" s="21" t="s">
        <v>6</v>
      </c>
      <c r="AA114" s="35" t="s">
        <v>1</v>
      </c>
      <c r="AB114" s="35" t="s">
        <v>1</v>
      </c>
      <c r="AC114" s="1" t="s">
        <v>14</v>
      </c>
    </row>
    <row r="115" spans="1:29">
      <c r="A115" s="35" t="s">
        <v>7</v>
      </c>
      <c r="B115" s="35" t="s">
        <v>180</v>
      </c>
      <c r="C115" s="35" t="s">
        <v>60</v>
      </c>
      <c r="D115" s="36">
        <v>305</v>
      </c>
      <c r="E115" s="12">
        <v>50.160000000000004</v>
      </c>
      <c r="F115" s="21">
        <f t="shared" si="8"/>
        <v>11.772306561134878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6">
        <v>492.6</v>
      </c>
      <c r="M115" s="35">
        <v>1.35</v>
      </c>
      <c r="N115" s="21">
        <v>8.81</v>
      </c>
      <c r="O115" s="12">
        <v>0</v>
      </c>
      <c r="P115" s="35">
        <v>100</v>
      </c>
      <c r="Q115" s="35">
        <v>60</v>
      </c>
      <c r="R115" s="35">
        <v>90</v>
      </c>
      <c r="S115" s="35">
        <v>80</v>
      </c>
      <c r="T115" s="21">
        <v>3.5316919683404633</v>
      </c>
      <c r="U115" s="21">
        <v>0.3</v>
      </c>
      <c r="V115" s="37">
        <v>1.05</v>
      </c>
      <c r="W115" s="37">
        <v>3.47</v>
      </c>
      <c r="X115" s="35" t="s">
        <v>1</v>
      </c>
      <c r="Y115" s="23" t="s">
        <v>6</v>
      </c>
      <c r="Z115" s="21" t="s">
        <v>6</v>
      </c>
      <c r="AA115" s="35" t="s">
        <v>1</v>
      </c>
      <c r="AB115" s="35" t="s">
        <v>1</v>
      </c>
      <c r="AC115" s="1" t="s">
        <v>14</v>
      </c>
    </row>
    <row r="116" spans="1:29">
      <c r="A116" s="35" t="s">
        <v>7</v>
      </c>
      <c r="B116" s="35" t="s">
        <v>180</v>
      </c>
      <c r="C116" s="35" t="s">
        <v>60</v>
      </c>
      <c r="D116" s="36">
        <v>305</v>
      </c>
      <c r="E116" s="12">
        <v>50.160000000000004</v>
      </c>
      <c r="F116" s="21">
        <f t="shared" si="8"/>
        <v>11.805130771654667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6">
        <v>492.6</v>
      </c>
      <c r="M116" s="35">
        <v>1.35</v>
      </c>
      <c r="N116" s="21">
        <v>8.81</v>
      </c>
      <c r="O116" s="12">
        <v>0</v>
      </c>
      <c r="P116" s="35">
        <v>100</v>
      </c>
      <c r="Q116" s="35">
        <v>60</v>
      </c>
      <c r="R116" s="35">
        <v>90</v>
      </c>
      <c r="S116" s="35">
        <v>100</v>
      </c>
      <c r="T116" s="21">
        <v>4.1317957700791332</v>
      </c>
      <c r="U116" s="21">
        <v>0.35</v>
      </c>
      <c r="V116" s="37">
        <v>1.37</v>
      </c>
      <c r="W116" s="37">
        <v>3.54</v>
      </c>
      <c r="X116" s="35">
        <v>100</v>
      </c>
      <c r="Y116" s="23" t="s">
        <v>6</v>
      </c>
      <c r="Z116" s="21">
        <v>6.1400000000000006</v>
      </c>
      <c r="AA116" s="35">
        <v>30</v>
      </c>
      <c r="AB116" s="35" t="s">
        <v>1</v>
      </c>
      <c r="AC116" s="1" t="s">
        <v>14</v>
      </c>
    </row>
    <row r="117" spans="1:29">
      <c r="A117" s="35" t="s">
        <v>7</v>
      </c>
      <c r="B117" s="35" t="s">
        <v>180</v>
      </c>
      <c r="C117" s="35" t="s">
        <v>60</v>
      </c>
      <c r="D117" s="36">
        <v>305</v>
      </c>
      <c r="E117" s="12">
        <v>50.160000000000004</v>
      </c>
      <c r="F117" s="21">
        <f t="shared" si="8"/>
        <v>11.818861160368854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6">
        <v>492.6</v>
      </c>
      <c r="M117" s="35">
        <v>1.35</v>
      </c>
      <c r="N117" s="21">
        <v>8.81</v>
      </c>
      <c r="O117" s="12">
        <v>0</v>
      </c>
      <c r="P117" s="35">
        <v>100</v>
      </c>
      <c r="Q117" s="35">
        <v>60</v>
      </c>
      <c r="R117" s="35">
        <v>90</v>
      </c>
      <c r="S117" s="35">
        <v>120</v>
      </c>
      <c r="T117" s="21">
        <v>3.1910925132995911</v>
      </c>
      <c r="U117" s="21">
        <v>0.27</v>
      </c>
      <c r="V117" s="37">
        <v>1.29</v>
      </c>
      <c r="W117" s="37">
        <v>2.98</v>
      </c>
      <c r="X117" s="35" t="s">
        <v>6</v>
      </c>
      <c r="Y117" s="23" t="s">
        <v>6</v>
      </c>
      <c r="Z117" s="21" t="s">
        <v>6</v>
      </c>
      <c r="AA117" s="35" t="s">
        <v>6</v>
      </c>
      <c r="AB117" s="35" t="s">
        <v>1</v>
      </c>
      <c r="AC117" s="1" t="s">
        <v>14</v>
      </c>
    </row>
    <row r="118" spans="1:29">
      <c r="A118" s="35" t="s">
        <v>7</v>
      </c>
      <c r="B118" s="35" t="s">
        <v>13</v>
      </c>
      <c r="C118" s="39" t="s">
        <v>68</v>
      </c>
      <c r="D118" s="36">
        <v>103</v>
      </c>
      <c r="E118" s="12">
        <v>9.7900000000000009</v>
      </c>
      <c r="F118" s="21">
        <f t="shared" si="8"/>
        <v>2.7506162680105413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6">
        <v>492.6</v>
      </c>
      <c r="M118" s="35">
        <v>1.35</v>
      </c>
      <c r="N118" s="21">
        <v>8.81</v>
      </c>
      <c r="O118" s="12">
        <v>0</v>
      </c>
      <c r="P118" s="35">
        <v>100</v>
      </c>
      <c r="Q118" s="35">
        <v>60</v>
      </c>
      <c r="R118" s="35">
        <v>90</v>
      </c>
      <c r="S118" s="35">
        <v>20</v>
      </c>
      <c r="T118" s="21">
        <v>0.83550013404296097</v>
      </c>
      <c r="U118" s="21">
        <v>0.303750160922032</v>
      </c>
      <c r="V118" s="37" t="s">
        <v>6</v>
      </c>
      <c r="W118" s="37" t="s">
        <v>6</v>
      </c>
      <c r="X118" s="35" t="s">
        <v>6</v>
      </c>
      <c r="Y118" s="23" t="s">
        <v>6</v>
      </c>
      <c r="Z118" s="21" t="s">
        <v>6</v>
      </c>
      <c r="AA118" s="35" t="s">
        <v>6</v>
      </c>
      <c r="AB118" s="35" t="s">
        <v>1</v>
      </c>
      <c r="AC118" s="1" t="s">
        <v>14</v>
      </c>
    </row>
    <row r="119" spans="1:29">
      <c r="A119" s="35" t="s">
        <v>7</v>
      </c>
      <c r="B119" s="35" t="s">
        <v>13</v>
      </c>
      <c r="C119" s="39" t="s">
        <v>68</v>
      </c>
      <c r="D119" s="36">
        <v>103</v>
      </c>
      <c r="E119" s="12">
        <v>9.7900000000000009</v>
      </c>
      <c r="F119" s="21">
        <f t="shared" si="8"/>
        <v>2.7189987914086919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6">
        <v>492.6</v>
      </c>
      <c r="M119" s="35">
        <v>1.35</v>
      </c>
      <c r="N119" s="21">
        <v>8.81</v>
      </c>
      <c r="O119" s="12">
        <v>0</v>
      </c>
      <c r="P119" s="35">
        <v>100</v>
      </c>
      <c r="Q119" s="35">
        <v>60</v>
      </c>
      <c r="R119" s="35">
        <v>90</v>
      </c>
      <c r="S119" s="35">
        <v>40</v>
      </c>
      <c r="T119" s="21">
        <v>0.79991018500351274</v>
      </c>
      <c r="U119" s="21">
        <v>0.29419291672030701</v>
      </c>
      <c r="V119" s="37" t="s">
        <v>6</v>
      </c>
      <c r="W119" s="37" t="s">
        <v>6</v>
      </c>
      <c r="X119" s="35" t="s">
        <v>6</v>
      </c>
      <c r="Y119" s="23" t="s">
        <v>6</v>
      </c>
      <c r="Z119" s="21" t="s">
        <v>6</v>
      </c>
      <c r="AA119" s="35" t="s">
        <v>6</v>
      </c>
      <c r="AB119" s="35" t="s">
        <v>1</v>
      </c>
      <c r="AC119" s="1" t="s">
        <v>14</v>
      </c>
    </row>
    <row r="120" spans="1:29">
      <c r="A120" s="35" t="s">
        <v>7</v>
      </c>
      <c r="B120" s="35" t="s">
        <v>13</v>
      </c>
      <c r="C120" s="39" t="s">
        <v>68</v>
      </c>
      <c r="D120" s="36">
        <v>103</v>
      </c>
      <c r="E120" s="12">
        <v>9.7900000000000009</v>
      </c>
      <c r="F120" s="21">
        <f t="shared" si="8"/>
        <v>2.7140568125558802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6">
        <v>492.6</v>
      </c>
      <c r="M120" s="35">
        <v>1.35</v>
      </c>
      <c r="N120" s="21">
        <v>8.81</v>
      </c>
      <c r="O120" s="12">
        <v>0</v>
      </c>
      <c r="P120" s="35">
        <v>100</v>
      </c>
      <c r="Q120" s="35">
        <v>60</v>
      </c>
      <c r="R120" s="35">
        <v>90</v>
      </c>
      <c r="S120" s="35">
        <v>60</v>
      </c>
      <c r="T120" s="21">
        <v>0.64672880538942334</v>
      </c>
      <c r="U120" s="21">
        <v>0.238288602654705</v>
      </c>
      <c r="V120" s="37" t="s">
        <v>6</v>
      </c>
      <c r="W120" s="37" t="s">
        <v>6</v>
      </c>
      <c r="X120" s="35" t="s">
        <v>6</v>
      </c>
      <c r="Y120" s="23" t="s">
        <v>6</v>
      </c>
      <c r="Z120" s="21" t="s">
        <v>6</v>
      </c>
      <c r="AA120" s="35" t="s">
        <v>6</v>
      </c>
      <c r="AB120" s="35" t="s">
        <v>1</v>
      </c>
      <c r="AC120" s="1" t="s">
        <v>14</v>
      </c>
    </row>
    <row r="121" spans="1:29">
      <c r="A121" s="35" t="s">
        <v>7</v>
      </c>
      <c r="B121" s="35" t="s">
        <v>13</v>
      </c>
      <c r="C121" s="39" t="s">
        <v>68</v>
      </c>
      <c r="D121" s="36">
        <v>103</v>
      </c>
      <c r="E121" s="12">
        <v>9.7900000000000009</v>
      </c>
      <c r="F121" s="21">
        <f t="shared" si="8"/>
        <v>2.7136372739829087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6">
        <v>492.6</v>
      </c>
      <c r="M121" s="35">
        <v>1.35</v>
      </c>
      <c r="N121" s="21">
        <v>8.81</v>
      </c>
      <c r="O121" s="12">
        <v>0</v>
      </c>
      <c r="P121" s="35">
        <v>100</v>
      </c>
      <c r="Q121" s="35">
        <v>60</v>
      </c>
      <c r="R121" s="35">
        <v>90</v>
      </c>
      <c r="S121" s="35">
        <v>80</v>
      </c>
      <c r="T121" s="21">
        <v>0.45300313726559488</v>
      </c>
      <c r="U121" s="21">
        <v>0.16693577347598301</v>
      </c>
      <c r="V121" s="37" t="s">
        <v>6</v>
      </c>
      <c r="W121" s="37" t="s">
        <v>6</v>
      </c>
      <c r="X121" s="35" t="s">
        <v>6</v>
      </c>
      <c r="Y121" s="23" t="s">
        <v>6</v>
      </c>
      <c r="Z121" s="21" t="s">
        <v>6</v>
      </c>
      <c r="AA121" s="35" t="s">
        <v>6</v>
      </c>
      <c r="AB121" s="35" t="s">
        <v>1</v>
      </c>
      <c r="AC121" s="1" t="s">
        <v>14</v>
      </c>
    </row>
    <row r="122" spans="1:29">
      <c r="A122" s="35" t="s">
        <v>7</v>
      </c>
      <c r="B122" s="35" t="s">
        <v>13</v>
      </c>
      <c r="C122" s="39" t="s">
        <v>68</v>
      </c>
      <c r="D122" s="36">
        <v>103</v>
      </c>
      <c r="E122" s="12">
        <v>9.7900000000000009</v>
      </c>
      <c r="F122" s="21">
        <f t="shared" si="8"/>
        <v>2.7962786585530144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6">
        <v>492.6</v>
      </c>
      <c r="M122" s="35">
        <v>1.35</v>
      </c>
      <c r="N122" s="21">
        <v>8.81</v>
      </c>
      <c r="O122" s="12">
        <v>0</v>
      </c>
      <c r="P122" s="35">
        <v>100</v>
      </c>
      <c r="Q122" s="35">
        <v>60</v>
      </c>
      <c r="R122" s="35">
        <v>90</v>
      </c>
      <c r="S122" s="35">
        <v>100</v>
      </c>
      <c r="T122" s="21">
        <v>0.25521937534565392</v>
      </c>
      <c r="U122" s="21">
        <v>9.1271080786248196E-2</v>
      </c>
      <c r="V122" s="37" t="s">
        <v>6</v>
      </c>
      <c r="W122" s="37" t="s">
        <v>6</v>
      </c>
      <c r="X122" s="35" t="s">
        <v>6</v>
      </c>
      <c r="Y122" s="23" t="s">
        <v>6</v>
      </c>
      <c r="Z122" s="21" t="s">
        <v>6</v>
      </c>
      <c r="AA122" s="35" t="s">
        <v>6</v>
      </c>
      <c r="AB122" s="35" t="s">
        <v>1</v>
      </c>
      <c r="AC122" s="1" t="s">
        <v>14</v>
      </c>
    </row>
    <row r="123" spans="1:29">
      <c r="A123" s="35" t="s">
        <v>7</v>
      </c>
      <c r="B123" s="35" t="s">
        <v>13</v>
      </c>
      <c r="C123" s="39" t="s">
        <v>67</v>
      </c>
      <c r="D123" s="36">
        <v>103</v>
      </c>
      <c r="E123" s="12">
        <v>9.7900000000000009</v>
      </c>
      <c r="F123" s="21">
        <f t="shared" si="8"/>
        <v>2.7503379143821896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6">
        <v>492.6</v>
      </c>
      <c r="M123" s="35">
        <v>1.35</v>
      </c>
      <c r="N123" s="21">
        <v>8.81</v>
      </c>
      <c r="O123" s="12">
        <v>0</v>
      </c>
      <c r="P123" s="35">
        <v>100</v>
      </c>
      <c r="Q123" s="35">
        <v>60</v>
      </c>
      <c r="R123" s="35">
        <v>90</v>
      </c>
      <c r="S123" s="35">
        <v>120</v>
      </c>
      <c r="T123" s="21">
        <v>0.18719133008377045</v>
      </c>
      <c r="U123" s="21">
        <v>6.8061211353303605E-2</v>
      </c>
      <c r="V123" s="37">
        <v>1.26</v>
      </c>
      <c r="W123" s="37">
        <v>43.37</v>
      </c>
      <c r="X123" s="35" t="s">
        <v>6</v>
      </c>
      <c r="Y123" s="23" t="s">
        <v>6</v>
      </c>
      <c r="Z123" s="21" t="s">
        <v>6</v>
      </c>
      <c r="AA123" s="35" t="s">
        <v>6</v>
      </c>
      <c r="AB123" s="35" t="s">
        <v>1</v>
      </c>
      <c r="AC123" s="1" t="s">
        <v>14</v>
      </c>
    </row>
    <row r="124" spans="1:29">
      <c r="A124" s="35" t="s">
        <v>7</v>
      </c>
      <c r="B124" s="35" t="s">
        <v>13</v>
      </c>
      <c r="C124" s="39" t="s">
        <v>67</v>
      </c>
      <c r="D124" s="36">
        <v>103</v>
      </c>
      <c r="E124" s="12">
        <v>19.689999999999998</v>
      </c>
      <c r="F124" s="21">
        <f t="shared" si="8"/>
        <v>5.2945213794982786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6">
        <v>492.6</v>
      </c>
      <c r="M124" s="35">
        <v>1.35</v>
      </c>
      <c r="N124" s="21">
        <v>8.81</v>
      </c>
      <c r="O124" s="12">
        <v>0</v>
      </c>
      <c r="P124" s="35">
        <v>100</v>
      </c>
      <c r="Q124" s="35">
        <v>60</v>
      </c>
      <c r="R124" s="35">
        <v>90</v>
      </c>
      <c r="S124" s="35">
        <v>20</v>
      </c>
      <c r="T124" s="21">
        <v>1.1193401395258968</v>
      </c>
      <c r="U124" s="21">
        <v>0.211414792630787</v>
      </c>
      <c r="V124" s="37" t="s">
        <v>6</v>
      </c>
      <c r="W124" s="37" t="s">
        <v>6</v>
      </c>
      <c r="X124" s="35" t="s">
        <v>6</v>
      </c>
      <c r="Y124" s="23" t="s">
        <v>6</v>
      </c>
      <c r="Z124" s="21" t="s">
        <v>6</v>
      </c>
      <c r="AA124" s="35" t="s">
        <v>6</v>
      </c>
      <c r="AB124" s="35" t="s">
        <v>1</v>
      </c>
      <c r="AC124" s="1" t="s">
        <v>14</v>
      </c>
    </row>
    <row r="125" spans="1:29">
      <c r="A125" s="35" t="s">
        <v>7</v>
      </c>
      <c r="B125" s="35" t="s">
        <v>13</v>
      </c>
      <c r="C125" s="39" t="s">
        <v>67</v>
      </c>
      <c r="D125" s="36">
        <v>103</v>
      </c>
      <c r="E125" s="12">
        <v>19.689999999999998</v>
      </c>
      <c r="F125" s="21">
        <f t="shared" si="8"/>
        <v>5.2670891450894324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6">
        <v>492.6</v>
      </c>
      <c r="M125" s="35">
        <v>1.35</v>
      </c>
      <c r="N125" s="21">
        <v>8.81</v>
      </c>
      <c r="O125" s="12">
        <v>0</v>
      </c>
      <c r="P125" s="35">
        <v>100</v>
      </c>
      <c r="Q125" s="35">
        <v>60</v>
      </c>
      <c r="R125" s="35">
        <v>90</v>
      </c>
      <c r="S125" s="35">
        <v>40</v>
      </c>
      <c r="T125" s="21">
        <v>1.0310316205883765</v>
      </c>
      <c r="U125" s="21">
        <v>0.19574979503614801</v>
      </c>
      <c r="V125" s="37" t="s">
        <v>6</v>
      </c>
      <c r="W125" s="37" t="s">
        <v>6</v>
      </c>
      <c r="X125" s="35" t="s">
        <v>6</v>
      </c>
      <c r="Y125" s="23" t="s">
        <v>6</v>
      </c>
      <c r="Z125" s="21" t="s">
        <v>6</v>
      </c>
      <c r="AA125" s="35" t="s">
        <v>6</v>
      </c>
      <c r="AB125" s="35" t="s">
        <v>1</v>
      </c>
      <c r="AC125" s="1" t="s">
        <v>14</v>
      </c>
    </row>
    <row r="126" spans="1:29">
      <c r="A126" s="35" t="s">
        <v>7</v>
      </c>
      <c r="B126" s="35" t="s">
        <v>13</v>
      </c>
      <c r="C126" s="39" t="s">
        <v>67</v>
      </c>
      <c r="D126" s="36">
        <v>103</v>
      </c>
      <c r="E126" s="12">
        <v>19.689999999999998</v>
      </c>
      <c r="F126" s="21">
        <f t="shared" si="8"/>
        <v>5.2168273536546828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6">
        <v>492.6</v>
      </c>
      <c r="M126" s="35">
        <v>1.35</v>
      </c>
      <c r="N126" s="21">
        <v>8.81</v>
      </c>
      <c r="O126" s="12">
        <v>0</v>
      </c>
      <c r="P126" s="35">
        <v>100</v>
      </c>
      <c r="Q126" s="35">
        <v>60</v>
      </c>
      <c r="R126" s="35">
        <v>90</v>
      </c>
      <c r="S126" s="35">
        <v>60</v>
      </c>
      <c r="T126" s="21">
        <v>0.82514166638113307</v>
      </c>
      <c r="U126" s="21">
        <v>0.15816924932412699</v>
      </c>
      <c r="V126" s="37" t="s">
        <v>6</v>
      </c>
      <c r="W126" s="37" t="s">
        <v>6</v>
      </c>
      <c r="X126" s="35" t="s">
        <v>6</v>
      </c>
      <c r="Y126" s="23" t="s">
        <v>6</v>
      </c>
      <c r="Z126" s="21" t="s">
        <v>6</v>
      </c>
      <c r="AA126" s="35" t="s">
        <v>6</v>
      </c>
      <c r="AB126" s="35" t="s">
        <v>1</v>
      </c>
      <c r="AC126" s="1" t="s">
        <v>14</v>
      </c>
    </row>
    <row r="127" spans="1:29" ht="15" customHeight="1">
      <c r="A127" s="35" t="s">
        <v>7</v>
      </c>
      <c r="B127" s="35" t="s">
        <v>13</v>
      </c>
      <c r="C127" s="39" t="s">
        <v>67</v>
      </c>
      <c r="D127" s="36">
        <v>103</v>
      </c>
      <c r="E127" s="12">
        <v>19.689999999999998</v>
      </c>
      <c r="F127" s="21">
        <f t="shared" ref="F127:F153" si="9">T127/U127</f>
        <v>5.174545696509167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6">
        <v>492.6</v>
      </c>
      <c r="M127" s="35">
        <v>1.35</v>
      </c>
      <c r="N127" s="21">
        <v>8.81</v>
      </c>
      <c r="O127" s="12">
        <v>0</v>
      </c>
      <c r="P127" s="35">
        <v>100</v>
      </c>
      <c r="Q127" s="35">
        <v>60</v>
      </c>
      <c r="R127" s="35">
        <v>90</v>
      </c>
      <c r="S127" s="35">
        <v>80</v>
      </c>
      <c r="T127" s="21">
        <v>0.58680695241484104</v>
      </c>
      <c r="U127" s="21">
        <v>0.113402603210309</v>
      </c>
      <c r="V127" s="37" t="s">
        <v>6</v>
      </c>
      <c r="W127" s="37" t="s">
        <v>6</v>
      </c>
      <c r="X127" s="35" t="s">
        <v>6</v>
      </c>
      <c r="Y127" s="23" t="s">
        <v>6</v>
      </c>
      <c r="Z127" s="21" t="s">
        <v>6</v>
      </c>
      <c r="AA127" s="35" t="s">
        <v>6</v>
      </c>
      <c r="AB127" s="35" t="s">
        <v>1</v>
      </c>
      <c r="AC127" s="1" t="s">
        <v>14</v>
      </c>
    </row>
    <row r="128" spans="1:29">
      <c r="A128" s="35" t="s">
        <v>7</v>
      </c>
      <c r="B128" s="35" t="s">
        <v>13</v>
      </c>
      <c r="C128" s="39" t="s">
        <v>67</v>
      </c>
      <c r="D128" s="36">
        <v>103</v>
      </c>
      <c r="E128" s="12">
        <v>19.689999999999998</v>
      </c>
      <c r="F128" s="21">
        <f t="shared" si="9"/>
        <v>5.5839614141492326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6">
        <v>492.6</v>
      </c>
      <c r="M128" s="35">
        <v>1.35</v>
      </c>
      <c r="N128" s="21">
        <v>8.81</v>
      </c>
      <c r="O128" s="12">
        <v>0</v>
      </c>
      <c r="P128" s="35">
        <v>100</v>
      </c>
      <c r="Q128" s="35">
        <v>60</v>
      </c>
      <c r="R128" s="35">
        <v>90</v>
      </c>
      <c r="S128" s="35">
        <v>100</v>
      </c>
      <c r="T128" s="21">
        <v>0.50255652727343092</v>
      </c>
      <c r="U128" s="21">
        <v>0.09</v>
      </c>
      <c r="V128" s="37" t="s">
        <v>6</v>
      </c>
      <c r="W128" s="37" t="s">
        <v>6</v>
      </c>
      <c r="X128" s="35" t="s">
        <v>6</v>
      </c>
      <c r="Y128" s="23" t="s">
        <v>6</v>
      </c>
      <c r="Z128" s="21" t="s">
        <v>6</v>
      </c>
      <c r="AA128" s="35" t="s">
        <v>6</v>
      </c>
      <c r="AB128" s="35" t="s">
        <v>1</v>
      </c>
      <c r="AC128" s="1" t="s">
        <v>14</v>
      </c>
    </row>
    <row r="129" spans="1:29">
      <c r="A129" s="35" t="s">
        <v>7</v>
      </c>
      <c r="B129" s="35" t="s">
        <v>13</v>
      </c>
      <c r="C129" s="39" t="s">
        <v>67</v>
      </c>
      <c r="D129" s="36">
        <v>103</v>
      </c>
      <c r="E129" s="12">
        <v>19.689999999999998</v>
      </c>
      <c r="F129" s="21">
        <f t="shared" si="9"/>
        <v>4.2412509307142319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6">
        <v>492.6</v>
      </c>
      <c r="M129" s="35">
        <v>1.35</v>
      </c>
      <c r="N129" s="21">
        <v>8.81</v>
      </c>
      <c r="O129" s="12">
        <v>0</v>
      </c>
      <c r="P129" s="35">
        <v>100</v>
      </c>
      <c r="Q129" s="35">
        <v>60</v>
      </c>
      <c r="R129" s="35">
        <v>90</v>
      </c>
      <c r="S129" s="35">
        <v>120</v>
      </c>
      <c r="T129" s="21">
        <v>0.23990323644522935</v>
      </c>
      <c r="U129" s="21">
        <v>5.65642637901713E-2</v>
      </c>
      <c r="V129" s="37">
        <v>0.51</v>
      </c>
      <c r="W129" s="37">
        <v>2.21</v>
      </c>
      <c r="X129" s="35" t="s">
        <v>6</v>
      </c>
      <c r="Y129" s="23" t="s">
        <v>6</v>
      </c>
      <c r="Z129" s="21" t="s">
        <v>6</v>
      </c>
      <c r="AA129" s="35" t="s">
        <v>6</v>
      </c>
      <c r="AB129" s="35" t="s">
        <v>1</v>
      </c>
      <c r="AC129" s="1" t="s">
        <v>14</v>
      </c>
    </row>
    <row r="130" spans="1:29">
      <c r="A130" s="35" t="s">
        <v>7</v>
      </c>
      <c r="B130" s="35" t="s">
        <v>13</v>
      </c>
      <c r="C130" s="39" t="s">
        <v>67</v>
      </c>
      <c r="D130" s="36">
        <v>103</v>
      </c>
      <c r="E130" s="12">
        <v>34.65</v>
      </c>
      <c r="F130" s="21">
        <f t="shared" si="9"/>
        <v>9.2548717005094741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6">
        <v>492.6</v>
      </c>
      <c r="M130" s="35">
        <v>1.35</v>
      </c>
      <c r="N130" s="21">
        <v>8.81</v>
      </c>
      <c r="O130" s="12">
        <v>0</v>
      </c>
      <c r="P130" s="35">
        <v>100</v>
      </c>
      <c r="Q130" s="35">
        <v>60</v>
      </c>
      <c r="R130" s="35">
        <v>90</v>
      </c>
      <c r="S130" s="35">
        <v>20</v>
      </c>
      <c r="T130" s="21">
        <v>1.0787891874795437</v>
      </c>
      <c r="U130" s="21">
        <v>0.11656446706010599</v>
      </c>
      <c r="V130" s="37" t="s">
        <v>6</v>
      </c>
      <c r="W130" s="37" t="s">
        <v>6</v>
      </c>
      <c r="X130" s="35" t="s">
        <v>6</v>
      </c>
      <c r="Y130" s="23" t="s">
        <v>6</v>
      </c>
      <c r="Z130" s="21" t="s">
        <v>6</v>
      </c>
      <c r="AA130" s="35" t="s">
        <v>6</v>
      </c>
      <c r="AB130" s="35" t="s">
        <v>1</v>
      </c>
      <c r="AC130" s="1" t="s">
        <v>14</v>
      </c>
    </row>
    <row r="131" spans="1:29">
      <c r="A131" s="35" t="s">
        <v>7</v>
      </c>
      <c r="B131" s="35" t="s">
        <v>13</v>
      </c>
      <c r="C131" s="39" t="s">
        <v>67</v>
      </c>
      <c r="D131" s="36">
        <v>103</v>
      </c>
      <c r="E131" s="12">
        <v>34.65</v>
      </c>
      <c r="F131" s="21">
        <f t="shared" si="9"/>
        <v>9.1335394418368274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6">
        <v>492.6</v>
      </c>
      <c r="M131" s="35">
        <v>1.35</v>
      </c>
      <c r="N131" s="21">
        <v>8.81</v>
      </c>
      <c r="O131" s="12">
        <v>0</v>
      </c>
      <c r="P131" s="35">
        <v>100</v>
      </c>
      <c r="Q131" s="35">
        <v>60</v>
      </c>
      <c r="R131" s="35">
        <v>90</v>
      </c>
      <c r="S131" s="35">
        <v>40</v>
      </c>
      <c r="T131" s="21">
        <v>0.99048066854202532</v>
      </c>
      <c r="U131" s="21">
        <v>0.10844434130377301</v>
      </c>
      <c r="V131" s="37" t="s">
        <v>6</v>
      </c>
      <c r="W131" s="37" t="s">
        <v>6</v>
      </c>
      <c r="X131" s="35" t="s">
        <v>6</v>
      </c>
      <c r="Y131" s="23" t="s">
        <v>6</v>
      </c>
      <c r="Z131" s="21" t="s">
        <v>6</v>
      </c>
      <c r="AA131" s="35" t="s">
        <v>6</v>
      </c>
      <c r="AB131" s="35" t="s">
        <v>1</v>
      </c>
      <c r="AC131" s="1" t="s">
        <v>14</v>
      </c>
    </row>
    <row r="132" spans="1:29">
      <c r="A132" s="35" t="s">
        <v>7</v>
      </c>
      <c r="B132" s="35" t="s">
        <v>13</v>
      </c>
      <c r="C132" s="39" t="s">
        <v>67</v>
      </c>
      <c r="D132" s="36">
        <v>103</v>
      </c>
      <c r="E132" s="12">
        <v>34.65</v>
      </c>
      <c r="F132" s="21">
        <f t="shared" si="9"/>
        <v>9.3085097483273742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6">
        <v>492.6</v>
      </c>
      <c r="M132" s="35">
        <v>1.35</v>
      </c>
      <c r="N132" s="21">
        <v>8.81</v>
      </c>
      <c r="O132" s="12">
        <v>0</v>
      </c>
      <c r="P132" s="35">
        <v>100</v>
      </c>
      <c r="Q132" s="35">
        <v>60</v>
      </c>
      <c r="R132" s="35">
        <v>90</v>
      </c>
      <c r="S132" s="35">
        <v>60</v>
      </c>
      <c r="T132" s="21">
        <v>0.79675500041819702</v>
      </c>
      <c r="U132" s="21">
        <v>8.5594259657015906E-2</v>
      </c>
      <c r="V132" s="37" t="s">
        <v>6</v>
      </c>
      <c r="W132" s="37" t="s">
        <v>6</v>
      </c>
      <c r="X132" s="35" t="s">
        <v>6</v>
      </c>
      <c r="Y132" s="23" t="s">
        <v>6</v>
      </c>
      <c r="Z132" s="21" t="s">
        <v>6</v>
      </c>
      <c r="AA132" s="35" t="s">
        <v>6</v>
      </c>
      <c r="AB132" s="35" t="s">
        <v>1</v>
      </c>
      <c r="AC132" s="1" t="s">
        <v>14</v>
      </c>
    </row>
    <row r="133" spans="1:29">
      <c r="A133" s="35" t="s">
        <v>7</v>
      </c>
      <c r="B133" s="35" t="s">
        <v>13</v>
      </c>
      <c r="C133" s="39" t="s">
        <v>67</v>
      </c>
      <c r="D133" s="36">
        <v>103</v>
      </c>
      <c r="E133" s="12">
        <v>34.65</v>
      </c>
      <c r="F133" s="21">
        <f t="shared" si="9"/>
        <v>9.2507174634343023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6">
        <v>492.6</v>
      </c>
      <c r="M133" s="35">
        <v>1.35</v>
      </c>
      <c r="N133" s="21">
        <v>8.81</v>
      </c>
      <c r="O133" s="12">
        <v>0</v>
      </c>
      <c r="P133" s="35">
        <v>100</v>
      </c>
      <c r="Q133" s="35">
        <v>60</v>
      </c>
      <c r="R133" s="35">
        <v>90</v>
      </c>
      <c r="S133" s="35">
        <v>80</v>
      </c>
      <c r="T133" s="21">
        <v>0.64357695257241143</v>
      </c>
      <c r="U133" s="21">
        <v>6.9570490625868203E-2</v>
      </c>
      <c r="V133" s="37" t="s">
        <v>6</v>
      </c>
      <c r="W133" s="37" t="s">
        <v>6</v>
      </c>
      <c r="X133" s="35" t="s">
        <v>6</v>
      </c>
      <c r="Y133" s="23" t="s">
        <v>6</v>
      </c>
      <c r="Z133" s="21" t="s">
        <v>6</v>
      </c>
      <c r="AA133" s="35" t="s">
        <v>6</v>
      </c>
      <c r="AB133" s="35" t="s">
        <v>1</v>
      </c>
      <c r="AC133" s="1" t="s">
        <v>14</v>
      </c>
    </row>
    <row r="134" spans="1:29">
      <c r="A134" s="35" t="s">
        <v>7</v>
      </c>
      <c r="B134" s="35" t="s">
        <v>13</v>
      </c>
      <c r="C134" s="39" t="s">
        <v>67</v>
      </c>
      <c r="D134" s="36">
        <v>103</v>
      </c>
      <c r="E134" s="12">
        <v>34.65</v>
      </c>
      <c r="F134" s="21">
        <f t="shared" si="9"/>
        <v>9.7113362727025372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6">
        <v>492.6</v>
      </c>
      <c r="M134" s="35">
        <v>1.35</v>
      </c>
      <c r="N134" s="21">
        <v>8.81</v>
      </c>
      <c r="O134" s="12">
        <v>0</v>
      </c>
      <c r="P134" s="35">
        <v>100</v>
      </c>
      <c r="Q134" s="35">
        <v>60</v>
      </c>
      <c r="R134" s="35">
        <v>90</v>
      </c>
      <c r="S134" s="35">
        <v>100</v>
      </c>
      <c r="T134" s="21">
        <v>0.50255985904173706</v>
      </c>
      <c r="U134" s="21">
        <v>5.1749815363141702E-2</v>
      </c>
      <c r="V134" s="37" t="s">
        <v>6</v>
      </c>
      <c r="W134" s="37" t="s">
        <v>6</v>
      </c>
      <c r="X134" s="35" t="s">
        <v>6</v>
      </c>
      <c r="Y134" s="23" t="s">
        <v>6</v>
      </c>
      <c r="Z134" s="21" t="s">
        <v>6</v>
      </c>
      <c r="AA134" s="35" t="s">
        <v>6</v>
      </c>
      <c r="AB134" s="35" t="s">
        <v>1</v>
      </c>
      <c r="AC134" s="1" t="s">
        <v>14</v>
      </c>
    </row>
    <row r="135" spans="1:29">
      <c r="A135" s="35" t="s">
        <v>7</v>
      </c>
      <c r="B135" s="35" t="s">
        <v>13</v>
      </c>
      <c r="C135" s="39" t="s">
        <v>67</v>
      </c>
      <c r="D135" s="36">
        <v>103</v>
      </c>
      <c r="E135" s="12">
        <v>34.65</v>
      </c>
      <c r="F135" s="21">
        <f t="shared" si="9"/>
        <v>8.9703385309987045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6">
        <v>492.6</v>
      </c>
      <c r="M135" s="35">
        <v>1.35</v>
      </c>
      <c r="N135" s="21">
        <v>8.81</v>
      </c>
      <c r="O135" s="12">
        <v>0</v>
      </c>
      <c r="P135" s="35">
        <v>100</v>
      </c>
      <c r="Q135" s="35">
        <v>60</v>
      </c>
      <c r="R135" s="35">
        <v>90</v>
      </c>
      <c r="S135" s="35">
        <v>120</v>
      </c>
      <c r="T135" s="21">
        <v>0.23990323644522935</v>
      </c>
      <c r="U135" s="21">
        <v>2.6744056048297202E-2</v>
      </c>
      <c r="V135" s="37">
        <v>0.45</v>
      </c>
      <c r="W135" s="37">
        <v>0.47</v>
      </c>
      <c r="X135" s="35" t="s">
        <v>6</v>
      </c>
      <c r="Y135" s="23" t="s">
        <v>6</v>
      </c>
      <c r="Z135" s="21" t="s">
        <v>6</v>
      </c>
      <c r="AA135" s="35" t="s">
        <v>6</v>
      </c>
      <c r="AB135" s="35" t="s">
        <v>1</v>
      </c>
      <c r="AC135" s="1" t="s">
        <v>14</v>
      </c>
    </row>
    <row r="136" spans="1:29">
      <c r="A136" s="35" t="s">
        <v>7</v>
      </c>
      <c r="B136" s="35" t="s">
        <v>13</v>
      </c>
      <c r="C136" s="39" t="s">
        <v>67</v>
      </c>
      <c r="D136" s="36">
        <v>103</v>
      </c>
      <c r="E136" s="12">
        <v>43.29</v>
      </c>
      <c r="F136" s="21">
        <f t="shared" si="9"/>
        <v>11.554943769046693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6">
        <v>492.6</v>
      </c>
      <c r="M136" s="35">
        <v>1.35</v>
      </c>
      <c r="N136" s="21">
        <v>8.81</v>
      </c>
      <c r="O136" s="12">
        <v>0</v>
      </c>
      <c r="P136" s="35">
        <v>100</v>
      </c>
      <c r="Q136" s="35">
        <v>60</v>
      </c>
      <c r="R136" s="35">
        <v>90</v>
      </c>
      <c r="S136" s="35">
        <v>20</v>
      </c>
      <c r="T136" s="21">
        <v>1.1517715722117212</v>
      </c>
      <c r="U136" s="21">
        <v>9.9677817151917203E-2</v>
      </c>
      <c r="V136" s="37" t="s">
        <v>6</v>
      </c>
      <c r="W136" s="37" t="s">
        <v>6</v>
      </c>
      <c r="X136" s="35" t="s">
        <v>6</v>
      </c>
      <c r="Y136" s="23" t="s">
        <v>6</v>
      </c>
      <c r="Z136" s="21" t="s">
        <v>6</v>
      </c>
      <c r="AA136" s="35" t="s">
        <v>6</v>
      </c>
      <c r="AB136" s="35" t="s">
        <v>1</v>
      </c>
      <c r="AC136" s="1" t="s">
        <v>14</v>
      </c>
    </row>
    <row r="137" spans="1:29">
      <c r="A137" s="35" t="s">
        <v>7</v>
      </c>
      <c r="B137" s="35" t="s">
        <v>13</v>
      </c>
      <c r="C137" s="39" t="s">
        <v>67</v>
      </c>
      <c r="D137" s="36">
        <v>103</v>
      </c>
      <c r="E137" s="12">
        <v>43.29</v>
      </c>
      <c r="F137" s="21">
        <f t="shared" si="9"/>
        <v>11.637300028473204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6">
        <v>492.6</v>
      </c>
      <c r="M137" s="35">
        <v>1.35</v>
      </c>
      <c r="N137" s="21">
        <v>8.81</v>
      </c>
      <c r="O137" s="12">
        <v>0</v>
      </c>
      <c r="P137" s="35">
        <v>100</v>
      </c>
      <c r="Q137" s="35">
        <v>60</v>
      </c>
      <c r="R137" s="35">
        <v>90</v>
      </c>
      <c r="S137" s="35">
        <v>40</v>
      </c>
      <c r="T137" s="21">
        <v>0.99859352436593996</v>
      </c>
      <c r="U137" s="21">
        <v>8.5809725788856706E-2</v>
      </c>
      <c r="V137" s="37" t="s">
        <v>6</v>
      </c>
      <c r="W137" s="37" t="s">
        <v>6</v>
      </c>
      <c r="X137" s="35" t="s">
        <v>6</v>
      </c>
      <c r="Y137" s="23" t="s">
        <v>6</v>
      </c>
      <c r="Z137" s="21" t="s">
        <v>6</v>
      </c>
      <c r="AA137" s="35" t="s">
        <v>6</v>
      </c>
      <c r="AB137" s="35" t="s">
        <v>1</v>
      </c>
      <c r="AC137" s="1" t="s">
        <v>14</v>
      </c>
    </row>
    <row r="138" spans="1:29">
      <c r="A138" s="35" t="s">
        <v>7</v>
      </c>
      <c r="B138" s="35" t="s">
        <v>13</v>
      </c>
      <c r="C138" s="39" t="s">
        <v>67</v>
      </c>
      <c r="D138" s="36">
        <v>103</v>
      </c>
      <c r="E138" s="12">
        <v>43.29</v>
      </c>
      <c r="F138" s="21">
        <f t="shared" si="9"/>
        <v>11.694207741218467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6">
        <v>492.6</v>
      </c>
      <c r="M138" s="35">
        <v>1.35</v>
      </c>
      <c r="N138" s="21">
        <v>8.81</v>
      </c>
      <c r="O138" s="12">
        <v>0</v>
      </c>
      <c r="P138" s="35">
        <v>100</v>
      </c>
      <c r="Q138" s="35">
        <v>60</v>
      </c>
      <c r="R138" s="35">
        <v>90</v>
      </c>
      <c r="S138" s="35">
        <v>60</v>
      </c>
      <c r="T138" s="21">
        <v>0.95894214976207537</v>
      </c>
      <c r="U138" s="21">
        <v>8.2001463543537101E-2</v>
      </c>
      <c r="V138" s="37" t="s">
        <v>6</v>
      </c>
      <c r="W138" s="37" t="s">
        <v>6</v>
      </c>
      <c r="X138" s="35" t="s">
        <v>6</v>
      </c>
      <c r="Y138" s="23" t="s">
        <v>6</v>
      </c>
      <c r="Z138" s="21" t="s">
        <v>6</v>
      </c>
      <c r="AA138" s="35" t="s">
        <v>6</v>
      </c>
      <c r="AB138" s="35" t="s">
        <v>1</v>
      </c>
      <c r="AC138" s="1" t="s">
        <v>14</v>
      </c>
    </row>
    <row r="139" spans="1:29">
      <c r="A139" s="35" t="s">
        <v>7</v>
      </c>
      <c r="B139" s="35" t="s">
        <v>13</v>
      </c>
      <c r="C139" s="39" t="s">
        <v>67</v>
      </c>
      <c r="D139" s="36">
        <v>103</v>
      </c>
      <c r="E139" s="12">
        <v>43.29</v>
      </c>
      <c r="F139" s="21">
        <f t="shared" si="9"/>
        <v>11.544362053827967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6">
        <v>492.6</v>
      </c>
      <c r="M139" s="35">
        <v>1.35</v>
      </c>
      <c r="N139" s="21">
        <v>8.81</v>
      </c>
      <c r="O139" s="12">
        <v>0</v>
      </c>
      <c r="P139" s="35">
        <v>100</v>
      </c>
      <c r="Q139" s="35">
        <v>60</v>
      </c>
      <c r="R139" s="35">
        <v>90</v>
      </c>
      <c r="S139" s="35">
        <v>80</v>
      </c>
      <c r="T139" s="21">
        <v>0.7243415077202543</v>
      </c>
      <c r="U139" s="21">
        <v>6.2744178010258403E-2</v>
      </c>
      <c r="V139" s="37" t="s">
        <v>6</v>
      </c>
      <c r="W139" s="37" t="s">
        <v>6</v>
      </c>
      <c r="X139" s="35" t="s">
        <v>6</v>
      </c>
      <c r="Y139" s="23" t="s">
        <v>6</v>
      </c>
      <c r="Z139" s="21" t="s">
        <v>6</v>
      </c>
      <c r="AA139" s="35" t="s">
        <v>6</v>
      </c>
      <c r="AB139" s="35" t="s">
        <v>1</v>
      </c>
      <c r="AC139" s="1" t="s">
        <v>14</v>
      </c>
    </row>
    <row r="140" spans="1:29">
      <c r="A140" s="35" t="s">
        <v>7</v>
      </c>
      <c r="B140" s="35" t="s">
        <v>13</v>
      </c>
      <c r="C140" s="39" t="s">
        <v>67</v>
      </c>
      <c r="D140" s="36">
        <v>103</v>
      </c>
      <c r="E140" s="12">
        <v>43.29</v>
      </c>
      <c r="F140" s="21">
        <f t="shared" si="9"/>
        <v>11.794422938148186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6">
        <v>492.6</v>
      </c>
      <c r="M140" s="35">
        <v>1.35</v>
      </c>
      <c r="N140" s="21">
        <v>8.81</v>
      </c>
      <c r="O140" s="12">
        <v>0</v>
      </c>
      <c r="P140" s="35">
        <v>100</v>
      </c>
      <c r="Q140" s="35">
        <v>60</v>
      </c>
      <c r="R140" s="35">
        <v>90</v>
      </c>
      <c r="S140" s="35">
        <v>100</v>
      </c>
      <c r="T140" s="21">
        <v>0.55527176540319712</v>
      </c>
      <c r="U140" s="21">
        <v>4.7079180415619301E-2</v>
      </c>
      <c r="V140" s="37" t="s">
        <v>6</v>
      </c>
      <c r="W140" s="37" t="s">
        <v>6</v>
      </c>
      <c r="X140" s="35" t="s">
        <v>6</v>
      </c>
      <c r="Y140" s="23" t="s">
        <v>6</v>
      </c>
      <c r="Z140" s="21" t="s">
        <v>6</v>
      </c>
      <c r="AA140" s="35" t="s">
        <v>6</v>
      </c>
      <c r="AB140" s="35" t="s">
        <v>1</v>
      </c>
      <c r="AC140" s="1" t="s">
        <v>14</v>
      </c>
    </row>
    <row r="141" spans="1:29">
      <c r="A141" s="35" t="s">
        <v>7</v>
      </c>
      <c r="B141" s="35" t="s">
        <v>13</v>
      </c>
      <c r="C141" s="39" t="s">
        <v>67</v>
      </c>
      <c r="D141" s="36">
        <v>103</v>
      </c>
      <c r="E141" s="12">
        <v>43.29</v>
      </c>
      <c r="F141" s="21">
        <f t="shared" si="9"/>
        <v>11.121605851302105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6">
        <v>492.6</v>
      </c>
      <c r="M141" s="35">
        <v>1.35</v>
      </c>
      <c r="N141" s="21">
        <v>8.81</v>
      </c>
      <c r="O141" s="12">
        <v>0</v>
      </c>
      <c r="P141" s="35">
        <v>100</v>
      </c>
      <c r="Q141" s="35">
        <v>60</v>
      </c>
      <c r="R141" s="35">
        <v>90</v>
      </c>
      <c r="S141" s="35">
        <v>120</v>
      </c>
      <c r="T141" s="21">
        <v>0.34938181119595368</v>
      </c>
      <c r="U141" s="21">
        <v>3.1414690995819498E-2</v>
      </c>
      <c r="V141" s="37">
        <v>0.81</v>
      </c>
      <c r="W141" s="37">
        <v>1.72</v>
      </c>
      <c r="X141" s="35" t="s">
        <v>6</v>
      </c>
      <c r="Y141" s="23" t="s">
        <v>6</v>
      </c>
      <c r="Z141" s="21" t="s">
        <v>6</v>
      </c>
      <c r="AA141" s="35" t="s">
        <v>6</v>
      </c>
      <c r="AB141" s="35" t="s">
        <v>1</v>
      </c>
      <c r="AC141" s="1" t="s">
        <v>14</v>
      </c>
    </row>
    <row r="142" spans="1:29">
      <c r="A142" s="35" t="s">
        <v>7</v>
      </c>
      <c r="B142" s="35" t="s">
        <v>13</v>
      </c>
      <c r="C142" s="39" t="s">
        <v>67</v>
      </c>
      <c r="D142" s="36">
        <v>103</v>
      </c>
      <c r="E142" s="12">
        <v>47.099999999999994</v>
      </c>
      <c r="F142" s="21">
        <f t="shared" si="9"/>
        <v>12.753403776552153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6">
        <v>492.6</v>
      </c>
      <c r="M142" s="35">
        <v>1.35</v>
      </c>
      <c r="N142" s="21">
        <v>8.81</v>
      </c>
      <c r="O142" s="12">
        <v>0</v>
      </c>
      <c r="P142" s="35">
        <v>100</v>
      </c>
      <c r="Q142" s="35">
        <v>60</v>
      </c>
      <c r="R142" s="35">
        <v>90</v>
      </c>
      <c r="S142" s="35">
        <v>20</v>
      </c>
      <c r="T142" s="21">
        <v>1.0787858557112397</v>
      </c>
      <c r="U142" s="21">
        <v>8.45880734753061E-2</v>
      </c>
      <c r="V142" s="37" t="s">
        <v>6</v>
      </c>
      <c r="W142" s="37" t="s">
        <v>6</v>
      </c>
      <c r="X142" s="35" t="s">
        <v>6</v>
      </c>
      <c r="Y142" s="23" t="s">
        <v>6</v>
      </c>
      <c r="Z142" s="21" t="s">
        <v>6</v>
      </c>
      <c r="AA142" s="35" t="s">
        <v>6</v>
      </c>
      <c r="AB142" s="35" t="s">
        <v>1</v>
      </c>
      <c r="AC142" s="1" t="s">
        <v>14</v>
      </c>
    </row>
    <row r="143" spans="1:29">
      <c r="A143" s="35" t="s">
        <v>7</v>
      </c>
      <c r="B143" s="35" t="s">
        <v>13</v>
      </c>
      <c r="C143" s="39" t="s">
        <v>67</v>
      </c>
      <c r="D143" s="36">
        <v>103</v>
      </c>
      <c r="E143" s="12">
        <v>47.099999999999994</v>
      </c>
      <c r="F143" s="21">
        <f t="shared" si="9"/>
        <v>13.001360352914828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6">
        <v>492.6</v>
      </c>
      <c r="M143" s="35">
        <v>1.35</v>
      </c>
      <c r="N143" s="21">
        <v>8.81</v>
      </c>
      <c r="O143" s="12">
        <v>0</v>
      </c>
      <c r="P143" s="35">
        <v>100</v>
      </c>
      <c r="Q143" s="35">
        <v>60</v>
      </c>
      <c r="R143" s="35">
        <v>90</v>
      </c>
      <c r="S143" s="35">
        <v>40</v>
      </c>
      <c r="T143" s="21">
        <v>0.96210066611569722</v>
      </c>
      <c r="U143" s="21">
        <v>7.3999999999999996E-2</v>
      </c>
      <c r="V143" s="37" t="s">
        <v>6</v>
      </c>
      <c r="W143" s="37" t="s">
        <v>6</v>
      </c>
      <c r="X143" s="35" t="s">
        <v>6</v>
      </c>
      <c r="Y143" s="23" t="s">
        <v>6</v>
      </c>
      <c r="Z143" s="21" t="s">
        <v>6</v>
      </c>
      <c r="AA143" s="35" t="s">
        <v>6</v>
      </c>
      <c r="AB143" s="35" t="s">
        <v>1</v>
      </c>
      <c r="AC143" s="1" t="s">
        <v>14</v>
      </c>
    </row>
    <row r="144" spans="1:29">
      <c r="A144" s="35" t="s">
        <v>7</v>
      </c>
      <c r="B144" s="35" t="s">
        <v>13</v>
      </c>
      <c r="C144" s="39" t="s">
        <v>67</v>
      </c>
      <c r="D144" s="36">
        <v>103</v>
      </c>
      <c r="E144" s="12">
        <v>47.099999999999994</v>
      </c>
      <c r="F144" s="21">
        <f t="shared" si="9"/>
        <v>12.695284242078765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6">
        <v>492.6</v>
      </c>
      <c r="M144" s="35">
        <v>1.35</v>
      </c>
      <c r="N144" s="21">
        <v>8.81</v>
      </c>
      <c r="O144" s="12">
        <v>0</v>
      </c>
      <c r="P144" s="35">
        <v>100</v>
      </c>
      <c r="Q144" s="35">
        <v>60</v>
      </c>
      <c r="R144" s="35">
        <v>90</v>
      </c>
      <c r="S144" s="35">
        <v>60</v>
      </c>
      <c r="T144" s="21">
        <v>0.81297404852941413</v>
      </c>
      <c r="U144" s="21">
        <v>6.4037482976142895E-2</v>
      </c>
      <c r="V144" s="37" t="s">
        <v>6</v>
      </c>
      <c r="W144" s="37" t="s">
        <v>6</v>
      </c>
      <c r="X144" s="35" t="s">
        <v>6</v>
      </c>
      <c r="Y144" s="23" t="s">
        <v>6</v>
      </c>
      <c r="Z144" s="21" t="s">
        <v>6</v>
      </c>
      <c r="AA144" s="35" t="s">
        <v>6</v>
      </c>
      <c r="AB144" s="35" t="s">
        <v>1</v>
      </c>
      <c r="AC144" s="1" t="s">
        <v>14</v>
      </c>
    </row>
    <row r="145" spans="1:29">
      <c r="A145" s="35" t="s">
        <v>7</v>
      </c>
      <c r="B145" s="35" t="s">
        <v>13</v>
      </c>
      <c r="C145" s="39" t="s">
        <v>67</v>
      </c>
      <c r="D145" s="36">
        <v>103</v>
      </c>
      <c r="E145" s="12">
        <v>47.099999999999994</v>
      </c>
      <c r="F145" s="21">
        <f t="shared" si="9"/>
        <v>12.490817961262914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6">
        <v>492.6</v>
      </c>
      <c r="M145" s="35">
        <v>1.35</v>
      </c>
      <c r="N145" s="21">
        <v>8.81</v>
      </c>
      <c r="O145" s="12">
        <v>0</v>
      </c>
      <c r="P145" s="35">
        <v>100</v>
      </c>
      <c r="Q145" s="35">
        <v>60</v>
      </c>
      <c r="R145" s="35">
        <v>90</v>
      </c>
      <c r="S145" s="35">
        <v>80</v>
      </c>
      <c r="T145" s="21">
        <v>0.67601504879485019</v>
      </c>
      <c r="U145" s="21">
        <v>5.4120959163069901E-2</v>
      </c>
      <c r="V145" s="37" t="s">
        <v>6</v>
      </c>
      <c r="W145" s="37" t="s">
        <v>6</v>
      </c>
      <c r="X145" s="45" t="s">
        <v>6</v>
      </c>
      <c r="Y145" s="23" t="s">
        <v>6</v>
      </c>
      <c r="Z145" s="25" t="s">
        <v>6</v>
      </c>
      <c r="AA145" s="45" t="s">
        <v>6</v>
      </c>
      <c r="AB145" s="35" t="s">
        <v>1</v>
      </c>
      <c r="AC145" s="1" t="s">
        <v>14</v>
      </c>
    </row>
    <row r="146" spans="1:29">
      <c r="A146" s="35" t="s">
        <v>7</v>
      </c>
      <c r="B146" s="35" t="s">
        <v>13</v>
      </c>
      <c r="C146" s="39" t="s">
        <v>67</v>
      </c>
      <c r="D146" s="36">
        <v>103</v>
      </c>
      <c r="E146" s="12">
        <v>47.099999999999994</v>
      </c>
      <c r="F146" s="21">
        <f t="shared" si="9"/>
        <v>13.854335387639335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6">
        <v>492.6</v>
      </c>
      <c r="M146" s="35">
        <v>1.35</v>
      </c>
      <c r="N146" s="21">
        <v>8.81</v>
      </c>
      <c r="O146" s="12">
        <v>0</v>
      </c>
      <c r="P146" s="35">
        <v>100</v>
      </c>
      <c r="Q146" s="35">
        <v>60</v>
      </c>
      <c r="R146" s="35">
        <v>90</v>
      </c>
      <c r="S146" s="35">
        <v>100</v>
      </c>
      <c r="T146" s="21">
        <v>0.52283366918076069</v>
      </c>
      <c r="U146" s="21">
        <v>3.7737910520574403E-2</v>
      </c>
      <c r="V146" s="37" t="s">
        <v>6</v>
      </c>
      <c r="W146" s="37" t="s">
        <v>6</v>
      </c>
      <c r="X146" s="35" t="s">
        <v>6</v>
      </c>
      <c r="Y146" s="23" t="s">
        <v>6</v>
      </c>
      <c r="Z146" s="21" t="s">
        <v>6</v>
      </c>
      <c r="AA146" s="35" t="s">
        <v>6</v>
      </c>
      <c r="AB146" s="35" t="s">
        <v>1</v>
      </c>
      <c r="AC146" s="1" t="s">
        <v>14</v>
      </c>
    </row>
    <row r="147" spans="1:29">
      <c r="A147" s="35" t="s">
        <v>7</v>
      </c>
      <c r="B147" s="35" t="s">
        <v>13</v>
      </c>
      <c r="C147" s="39" t="s">
        <v>67</v>
      </c>
      <c r="D147" s="36">
        <v>103</v>
      </c>
      <c r="E147" s="12">
        <v>47.099999999999994</v>
      </c>
      <c r="F147" s="21">
        <f t="shared" si="9"/>
        <v>11.625301317368029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6">
        <v>492.6</v>
      </c>
      <c r="M147" s="35">
        <v>1.35</v>
      </c>
      <c r="N147" s="21">
        <v>8.81</v>
      </c>
      <c r="O147" s="12">
        <v>0</v>
      </c>
      <c r="P147" s="35">
        <v>100</v>
      </c>
      <c r="Q147" s="35">
        <v>60</v>
      </c>
      <c r="R147" s="35">
        <v>90</v>
      </c>
      <c r="S147" s="35">
        <v>120</v>
      </c>
      <c r="T147" s="21">
        <v>0.23990323644522935</v>
      </c>
      <c r="U147" s="21">
        <v>2.0636302655383E-2</v>
      </c>
      <c r="V147" s="37">
        <v>0.56000000000000005</v>
      </c>
      <c r="W147" s="37">
        <v>1.58</v>
      </c>
      <c r="X147" s="35" t="s">
        <v>6</v>
      </c>
      <c r="Y147" s="23" t="s">
        <v>6</v>
      </c>
      <c r="Z147" s="21" t="s">
        <v>6</v>
      </c>
      <c r="AA147" s="35" t="s">
        <v>6</v>
      </c>
      <c r="AB147" s="35" t="s">
        <v>1</v>
      </c>
      <c r="AC147" s="1" t="s">
        <v>14</v>
      </c>
    </row>
    <row r="148" spans="1:29">
      <c r="A148" s="35" t="s">
        <v>7</v>
      </c>
      <c r="B148" s="35" t="s">
        <v>13</v>
      </c>
      <c r="C148" s="39" t="s">
        <v>67</v>
      </c>
      <c r="D148" s="36">
        <v>103</v>
      </c>
      <c r="E148" s="12">
        <v>49.49</v>
      </c>
      <c r="F148" s="21">
        <f t="shared" si="9"/>
        <v>12.420448164091765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6">
        <v>492.6</v>
      </c>
      <c r="M148" s="35">
        <v>1.35</v>
      </c>
      <c r="N148" s="21">
        <v>8.81</v>
      </c>
      <c r="O148" s="12">
        <v>0</v>
      </c>
      <c r="P148" s="35">
        <v>100</v>
      </c>
      <c r="Q148" s="35">
        <v>60</v>
      </c>
      <c r="R148" s="35">
        <v>90</v>
      </c>
      <c r="S148" s="35">
        <v>20</v>
      </c>
      <c r="T148" s="21">
        <v>0.99363585312734115</v>
      </c>
      <c r="U148" s="21">
        <v>0.08</v>
      </c>
      <c r="V148" s="37" t="s">
        <v>6</v>
      </c>
      <c r="W148" s="37" t="s">
        <v>6</v>
      </c>
      <c r="X148" s="35" t="s">
        <v>6</v>
      </c>
      <c r="Y148" s="23" t="s">
        <v>6</v>
      </c>
      <c r="Z148" s="21" t="s">
        <v>6</v>
      </c>
      <c r="AA148" s="35" t="s">
        <v>6</v>
      </c>
      <c r="AB148" s="35" t="s">
        <v>1</v>
      </c>
      <c r="AC148" s="1" t="s">
        <v>14</v>
      </c>
    </row>
    <row r="149" spans="1:29">
      <c r="A149" s="35" t="s">
        <v>7</v>
      </c>
      <c r="B149" s="35" t="s">
        <v>13</v>
      </c>
      <c r="C149" s="39" t="s">
        <v>67</v>
      </c>
      <c r="D149" s="36">
        <v>103</v>
      </c>
      <c r="E149" s="12">
        <v>49.49</v>
      </c>
      <c r="F149" s="21">
        <f t="shared" si="9"/>
        <v>13.255772652984987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6">
        <v>492.6</v>
      </c>
      <c r="M149" s="35">
        <v>1.35</v>
      </c>
      <c r="N149" s="21">
        <v>8.81</v>
      </c>
      <c r="O149" s="12">
        <v>0</v>
      </c>
      <c r="P149" s="35">
        <v>100</v>
      </c>
      <c r="Q149" s="35">
        <v>60</v>
      </c>
      <c r="R149" s="35">
        <v>90</v>
      </c>
      <c r="S149" s="35">
        <v>40</v>
      </c>
      <c r="T149" s="21">
        <v>0.88506018758740912</v>
      </c>
      <c r="U149" s="21">
        <v>6.6767906387418904E-2</v>
      </c>
      <c r="V149" s="37" t="s">
        <v>6</v>
      </c>
      <c r="W149" s="37" t="s">
        <v>6</v>
      </c>
      <c r="X149" s="35" t="s">
        <v>6</v>
      </c>
      <c r="Y149" s="23" t="s">
        <v>6</v>
      </c>
      <c r="Z149" s="21" t="s">
        <v>6</v>
      </c>
      <c r="AA149" s="35" t="s">
        <v>6</v>
      </c>
      <c r="AB149" s="35" t="s">
        <v>1</v>
      </c>
      <c r="AC149" s="1" t="s">
        <v>14</v>
      </c>
    </row>
    <row r="150" spans="1:29">
      <c r="A150" s="35" t="s">
        <v>7</v>
      </c>
      <c r="B150" s="35" t="s">
        <v>13</v>
      </c>
      <c r="C150" s="39" t="s">
        <v>67</v>
      </c>
      <c r="D150" s="36">
        <v>103</v>
      </c>
      <c r="E150" s="12">
        <v>49.49</v>
      </c>
      <c r="F150" s="21">
        <f t="shared" si="9"/>
        <v>13.725038902276447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6">
        <v>492.6</v>
      </c>
      <c r="M150" s="35">
        <v>1.35</v>
      </c>
      <c r="N150" s="21">
        <v>8.81</v>
      </c>
      <c r="O150" s="12">
        <v>0</v>
      </c>
      <c r="P150" s="35">
        <v>100</v>
      </c>
      <c r="Q150" s="35">
        <v>60</v>
      </c>
      <c r="R150" s="35">
        <v>90</v>
      </c>
      <c r="S150" s="35">
        <v>60</v>
      </c>
      <c r="T150" s="21">
        <v>0.80495004541326076</v>
      </c>
      <c r="U150" s="21">
        <v>5.8648288805924702E-2</v>
      </c>
      <c r="V150" s="37" t="s">
        <v>6</v>
      </c>
      <c r="W150" s="37" t="s">
        <v>6</v>
      </c>
      <c r="X150" s="35" t="s">
        <v>6</v>
      </c>
      <c r="Y150" s="23" t="s">
        <v>6</v>
      </c>
      <c r="Z150" s="21" t="s">
        <v>6</v>
      </c>
      <c r="AA150" s="35" t="s">
        <v>6</v>
      </c>
      <c r="AB150" s="35" t="s">
        <v>1</v>
      </c>
      <c r="AC150" s="1" t="s">
        <v>14</v>
      </c>
    </row>
    <row r="151" spans="1:29">
      <c r="A151" s="35" t="s">
        <v>7</v>
      </c>
      <c r="B151" s="35" t="s">
        <v>13</v>
      </c>
      <c r="C151" s="39" t="s">
        <v>67</v>
      </c>
      <c r="D151" s="36">
        <v>103</v>
      </c>
      <c r="E151" s="12">
        <v>49.49</v>
      </c>
      <c r="F151" s="21">
        <f t="shared" si="9"/>
        <v>13.389800782664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6">
        <v>492.6</v>
      </c>
      <c r="M151" s="35">
        <v>1.35</v>
      </c>
      <c r="N151" s="21">
        <v>8.81</v>
      </c>
      <c r="O151" s="12">
        <v>0</v>
      </c>
      <c r="P151" s="35">
        <v>100</v>
      </c>
      <c r="Q151" s="35">
        <v>60</v>
      </c>
      <c r="R151" s="35">
        <v>90</v>
      </c>
      <c r="S151" s="35">
        <v>80</v>
      </c>
      <c r="T151" s="21">
        <v>0.72466886136019981</v>
      </c>
      <c r="U151" s="21">
        <v>5.4120959163069901E-2</v>
      </c>
      <c r="V151" s="37" t="s">
        <v>6</v>
      </c>
      <c r="W151" s="37" t="s">
        <v>6</v>
      </c>
      <c r="X151" s="35" t="s">
        <v>6</v>
      </c>
      <c r="Y151" s="23" t="s">
        <v>6</v>
      </c>
      <c r="Z151" s="21" t="s">
        <v>6</v>
      </c>
      <c r="AA151" s="35" t="s">
        <v>6</v>
      </c>
      <c r="AB151" s="35" t="s">
        <v>1</v>
      </c>
      <c r="AC151" s="1" t="s">
        <v>14</v>
      </c>
    </row>
    <row r="152" spans="1:29">
      <c r="A152" s="35" t="s">
        <v>7</v>
      </c>
      <c r="B152" s="35" t="s">
        <v>13</v>
      </c>
      <c r="C152" s="39" t="s">
        <v>67</v>
      </c>
      <c r="D152" s="36">
        <v>103</v>
      </c>
      <c r="E152" s="12">
        <v>49.49</v>
      </c>
      <c r="F152" s="21">
        <f t="shared" si="9"/>
        <v>13.444928678305827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6">
        <v>492.6</v>
      </c>
      <c r="M152" s="35">
        <v>1.35</v>
      </c>
      <c r="N152" s="21">
        <v>8.81</v>
      </c>
      <c r="O152" s="12">
        <v>0</v>
      </c>
      <c r="P152" s="35">
        <v>100</v>
      </c>
      <c r="Q152" s="35">
        <v>60</v>
      </c>
      <c r="R152" s="35">
        <v>90</v>
      </c>
      <c r="S152" s="35">
        <v>100</v>
      </c>
      <c r="T152" s="21">
        <v>0.50255985904173706</v>
      </c>
      <c r="U152" s="21">
        <v>3.7379139084065698E-2</v>
      </c>
      <c r="V152" s="37" t="s">
        <v>6</v>
      </c>
      <c r="W152" s="37" t="s">
        <v>6</v>
      </c>
      <c r="X152" s="35" t="s">
        <v>6</v>
      </c>
      <c r="Y152" s="23" t="s">
        <v>6</v>
      </c>
      <c r="Z152" s="21" t="s">
        <v>6</v>
      </c>
      <c r="AA152" s="35" t="s">
        <v>6</v>
      </c>
      <c r="AB152" s="35" t="s">
        <v>1</v>
      </c>
      <c r="AC152" s="1" t="s">
        <v>14</v>
      </c>
    </row>
    <row r="153" spans="1:29">
      <c r="A153" s="35" t="s">
        <v>7</v>
      </c>
      <c r="B153" s="35" t="s">
        <v>13</v>
      </c>
      <c r="C153" s="39" t="s">
        <v>67</v>
      </c>
      <c r="D153" s="36">
        <v>103</v>
      </c>
      <c r="E153" s="12">
        <v>49.49</v>
      </c>
      <c r="F153" s="21">
        <f t="shared" si="9"/>
        <v>13.67295373278434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6">
        <v>492.6</v>
      </c>
      <c r="M153" s="35">
        <v>1.35</v>
      </c>
      <c r="N153" s="21">
        <v>8.81</v>
      </c>
      <c r="O153" s="12">
        <v>0</v>
      </c>
      <c r="P153" s="35">
        <v>100</v>
      </c>
      <c r="Q153" s="35">
        <v>60</v>
      </c>
      <c r="R153" s="35">
        <v>90</v>
      </c>
      <c r="S153" s="35">
        <v>120</v>
      </c>
      <c r="T153" s="21">
        <v>0.27234133266766575</v>
      </c>
      <c r="U153" s="21">
        <v>1.9918251607526399E-2</v>
      </c>
      <c r="V153" s="37">
        <v>0.46</v>
      </c>
      <c r="W153" s="37">
        <v>2.09</v>
      </c>
      <c r="X153" s="35" t="s">
        <v>6</v>
      </c>
      <c r="Y153" s="23" t="s">
        <v>6</v>
      </c>
      <c r="Z153" s="21" t="s">
        <v>6</v>
      </c>
      <c r="AA153" s="35" t="s">
        <v>6</v>
      </c>
      <c r="AB153" s="35" t="s">
        <v>1</v>
      </c>
      <c r="AC153" s="2" t="s">
        <v>14</v>
      </c>
    </row>
    <row r="154" spans="1:29">
      <c r="A154" s="35" t="s">
        <v>263</v>
      </c>
      <c r="B154" s="35" t="s">
        <v>180</v>
      </c>
      <c r="C154" s="35" t="s">
        <v>182</v>
      </c>
      <c r="D154" s="36">
        <v>600</v>
      </c>
      <c r="E154" s="12">
        <v>60</v>
      </c>
      <c r="F154" s="21">
        <v>14.650714285714285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6">
        <v>336</v>
      </c>
      <c r="M154" s="35">
        <v>1.28</v>
      </c>
      <c r="N154" s="21" t="s">
        <v>1</v>
      </c>
      <c r="O154" s="12">
        <v>0</v>
      </c>
      <c r="P154" s="35">
        <v>100</v>
      </c>
      <c r="Q154" s="35">
        <v>60</v>
      </c>
      <c r="R154" s="35">
        <v>90</v>
      </c>
      <c r="S154" s="35">
        <v>105</v>
      </c>
      <c r="T154" s="21">
        <f>202/44.01</f>
        <v>4.589865939559191</v>
      </c>
      <c r="U154" s="21">
        <f t="shared" ref="U154:U177" si="10">T154/F154</f>
        <v>0.31328615452112857</v>
      </c>
      <c r="V154" s="37">
        <v>0.69</v>
      </c>
      <c r="W154" s="37">
        <v>4.12</v>
      </c>
      <c r="X154" s="35">
        <v>120</v>
      </c>
      <c r="Y154" s="23" t="s">
        <v>6</v>
      </c>
      <c r="Z154" s="21">
        <v>19.400000000000002</v>
      </c>
      <c r="AA154" s="35">
        <v>30</v>
      </c>
      <c r="AB154" s="35">
        <v>70.3</v>
      </c>
      <c r="AC154" s="9" t="s">
        <v>25</v>
      </c>
    </row>
    <row r="155" spans="1:29">
      <c r="A155" s="35" t="s">
        <v>263</v>
      </c>
      <c r="B155" s="35" t="s">
        <v>180</v>
      </c>
      <c r="C155" s="35" t="s">
        <v>182</v>
      </c>
      <c r="D155" s="36">
        <v>600</v>
      </c>
      <c r="E155" s="12">
        <v>60</v>
      </c>
      <c r="F155" s="21">
        <v>14.650714285714285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6">
        <v>336</v>
      </c>
      <c r="M155" s="35">
        <v>1.28</v>
      </c>
      <c r="N155" s="21" t="s">
        <v>1</v>
      </c>
      <c r="O155" s="12">
        <v>0</v>
      </c>
      <c r="P155" s="35">
        <v>100</v>
      </c>
      <c r="Q155" s="35">
        <v>60</v>
      </c>
      <c r="R155" s="35">
        <v>90</v>
      </c>
      <c r="S155" s="35">
        <v>105</v>
      </c>
      <c r="T155" s="21">
        <f>202/44.01</f>
        <v>4.589865939559191</v>
      </c>
      <c r="U155" s="21">
        <f t="shared" si="10"/>
        <v>0.31328615452112857</v>
      </c>
      <c r="V155" s="37">
        <v>0.69</v>
      </c>
      <c r="W155" s="37">
        <v>4.12</v>
      </c>
      <c r="X155" s="35">
        <v>150</v>
      </c>
      <c r="Y155" s="23" t="s">
        <v>6</v>
      </c>
      <c r="Z155" s="21">
        <v>96</v>
      </c>
      <c r="AA155" s="35">
        <v>30</v>
      </c>
      <c r="AB155" s="35" t="s">
        <v>6</v>
      </c>
      <c r="AC155" s="1" t="s">
        <v>19</v>
      </c>
    </row>
    <row r="156" spans="1:29">
      <c r="A156" s="35" t="s">
        <v>263</v>
      </c>
      <c r="B156" s="35" t="s">
        <v>180</v>
      </c>
      <c r="C156" s="35" t="s">
        <v>182</v>
      </c>
      <c r="D156" s="36">
        <v>600</v>
      </c>
      <c r="E156" s="12">
        <v>60</v>
      </c>
      <c r="F156" s="21">
        <v>14.650714285714285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6">
        <v>336</v>
      </c>
      <c r="M156" s="35">
        <v>1.28</v>
      </c>
      <c r="N156" s="21" t="s">
        <v>1</v>
      </c>
      <c r="O156" s="12">
        <v>0</v>
      </c>
      <c r="P156" s="35">
        <v>15</v>
      </c>
      <c r="Q156" s="35">
        <v>60</v>
      </c>
      <c r="R156" s="35">
        <v>90</v>
      </c>
      <c r="S156" s="35">
        <v>105</v>
      </c>
      <c r="T156" s="21">
        <f>132/44.01</f>
        <v>2.9993183367416498</v>
      </c>
      <c r="U156" s="21">
        <f t="shared" si="10"/>
        <v>0.20472164552865829</v>
      </c>
      <c r="V156" s="37">
        <v>1.47</v>
      </c>
      <c r="W156" s="37">
        <v>2.23</v>
      </c>
      <c r="X156" s="35" t="s">
        <v>1</v>
      </c>
      <c r="Y156" s="23" t="s">
        <v>6</v>
      </c>
      <c r="Z156" s="21" t="s">
        <v>280</v>
      </c>
      <c r="AA156" s="42" t="s">
        <v>5</v>
      </c>
      <c r="AB156" s="35" t="s">
        <v>6</v>
      </c>
      <c r="AC156" s="1" t="s">
        <v>19</v>
      </c>
    </row>
    <row r="157" spans="1:29" ht="13.2" customHeight="1">
      <c r="A157" s="35" t="s">
        <v>263</v>
      </c>
      <c r="B157" s="35" t="s">
        <v>180</v>
      </c>
      <c r="C157" s="35" t="s">
        <v>62</v>
      </c>
      <c r="D157" s="36">
        <v>537</v>
      </c>
      <c r="E157" s="12">
        <v>60</v>
      </c>
      <c r="F157" s="21">
        <v>14.692142857142857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6">
        <v>336</v>
      </c>
      <c r="M157" s="35">
        <v>1.28</v>
      </c>
      <c r="N157" s="21" t="s">
        <v>1</v>
      </c>
      <c r="O157" s="12">
        <v>0</v>
      </c>
      <c r="P157" s="35">
        <v>100</v>
      </c>
      <c r="Q157" s="35">
        <v>60</v>
      </c>
      <c r="R157" s="35">
        <v>90</v>
      </c>
      <c r="S157" s="35">
        <v>105</v>
      </c>
      <c r="T157" s="21">
        <f>180/44.01</f>
        <v>4.0899795501022496</v>
      </c>
      <c r="U157" s="21">
        <f t="shared" si="10"/>
        <v>0.27837869464452086</v>
      </c>
      <c r="V157" s="37">
        <v>0.77</v>
      </c>
      <c r="W157" s="37">
        <v>10.4</v>
      </c>
      <c r="X157" s="35">
        <v>120</v>
      </c>
      <c r="Y157" s="23" t="s">
        <v>6</v>
      </c>
      <c r="Z157" s="21">
        <v>9.7000000000000011</v>
      </c>
      <c r="AA157" s="35">
        <v>30</v>
      </c>
      <c r="AB157" s="35">
        <v>69.8</v>
      </c>
      <c r="AC157" s="1" t="s">
        <v>19</v>
      </c>
    </row>
    <row r="158" spans="1:29">
      <c r="A158" s="35" t="s">
        <v>263</v>
      </c>
      <c r="B158" s="35" t="s">
        <v>180</v>
      </c>
      <c r="C158" s="35" t="s">
        <v>62</v>
      </c>
      <c r="D158" s="36">
        <v>537</v>
      </c>
      <c r="E158" s="12">
        <v>60</v>
      </c>
      <c r="F158" s="21">
        <v>14.692142857142857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6">
        <v>336</v>
      </c>
      <c r="M158" s="35">
        <v>1.28</v>
      </c>
      <c r="N158" s="21" t="s">
        <v>1</v>
      </c>
      <c r="O158" s="12">
        <v>0</v>
      </c>
      <c r="P158" s="35">
        <v>100</v>
      </c>
      <c r="Q158" s="35">
        <v>60</v>
      </c>
      <c r="R158" s="35">
        <v>90</v>
      </c>
      <c r="S158" s="35">
        <v>105</v>
      </c>
      <c r="T158" s="21">
        <f>180/44.01</f>
        <v>4.0899795501022496</v>
      </c>
      <c r="U158" s="21">
        <f t="shared" si="10"/>
        <v>0.27837869464452086</v>
      </c>
      <c r="V158" s="37">
        <v>0.77</v>
      </c>
      <c r="W158" s="37">
        <v>10.4</v>
      </c>
      <c r="X158" s="35">
        <v>150</v>
      </c>
      <c r="Y158" s="23" t="s">
        <v>6</v>
      </c>
      <c r="Z158" s="21">
        <v>92</v>
      </c>
      <c r="AA158" s="35">
        <v>30</v>
      </c>
      <c r="AB158" s="35" t="s">
        <v>6</v>
      </c>
      <c r="AC158" s="1" t="s">
        <v>19</v>
      </c>
    </row>
    <row r="159" spans="1:29">
      <c r="A159" s="35" t="s">
        <v>263</v>
      </c>
      <c r="B159" s="35" t="s">
        <v>180</v>
      </c>
      <c r="C159" s="35" t="s">
        <v>62</v>
      </c>
      <c r="D159" s="36">
        <v>537</v>
      </c>
      <c r="E159" s="12">
        <v>60</v>
      </c>
      <c r="F159" s="21">
        <v>14.692142857142857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6">
        <v>336</v>
      </c>
      <c r="M159" s="35">
        <v>1.28</v>
      </c>
      <c r="N159" s="21" t="s">
        <v>1</v>
      </c>
      <c r="O159" s="12">
        <v>0</v>
      </c>
      <c r="P159" s="35">
        <v>15</v>
      </c>
      <c r="Q159" s="35">
        <v>60</v>
      </c>
      <c r="R159" s="35">
        <v>90</v>
      </c>
      <c r="S159" s="35">
        <v>105</v>
      </c>
      <c r="T159" s="21">
        <f>114/44.01</f>
        <v>2.5903203817314249</v>
      </c>
      <c r="U159" s="21">
        <f t="shared" si="10"/>
        <v>0.17630650660819655</v>
      </c>
      <c r="V159" s="37">
        <v>1.43</v>
      </c>
      <c r="W159" s="37">
        <v>3.24</v>
      </c>
      <c r="X159" s="35" t="s">
        <v>1</v>
      </c>
      <c r="Y159" s="23" t="s">
        <v>6</v>
      </c>
      <c r="Z159" s="21" t="s">
        <v>6</v>
      </c>
      <c r="AA159" s="35" t="s">
        <v>1</v>
      </c>
      <c r="AB159" s="35" t="s">
        <v>6</v>
      </c>
      <c r="AC159" s="1" t="s">
        <v>19</v>
      </c>
    </row>
    <row r="160" spans="1:29">
      <c r="A160" s="35" t="s">
        <v>263</v>
      </c>
      <c r="B160" s="35" t="s">
        <v>180</v>
      </c>
      <c r="C160" s="35" t="s">
        <v>62</v>
      </c>
      <c r="D160" s="36">
        <v>537</v>
      </c>
      <c r="E160" s="12">
        <v>60</v>
      </c>
      <c r="F160" s="21">
        <v>14.692142857142857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6">
        <v>336</v>
      </c>
      <c r="M160" s="35">
        <v>1.28</v>
      </c>
      <c r="N160" s="21" t="s">
        <v>1</v>
      </c>
      <c r="O160" s="12">
        <v>95</v>
      </c>
      <c r="P160" s="35">
        <v>100</v>
      </c>
      <c r="Q160" s="35">
        <v>60</v>
      </c>
      <c r="R160" s="35">
        <v>90</v>
      </c>
      <c r="S160" s="35">
        <v>105</v>
      </c>
      <c r="T160" s="21">
        <f>151.49/44.01</f>
        <v>3.442172233583277</v>
      </c>
      <c r="U160" s="21">
        <f t="shared" si="10"/>
        <v>0.23428660250943595</v>
      </c>
      <c r="V160" s="37">
        <v>0.77</v>
      </c>
      <c r="W160" s="37">
        <v>10.4</v>
      </c>
      <c r="X160" s="35">
        <v>150</v>
      </c>
      <c r="Y160" s="23" t="s">
        <v>6</v>
      </c>
      <c r="Z160" s="21">
        <v>62</v>
      </c>
      <c r="AA160" s="35">
        <v>30</v>
      </c>
      <c r="AB160" s="35" t="s">
        <v>6</v>
      </c>
      <c r="AC160" s="1" t="s">
        <v>19</v>
      </c>
    </row>
    <row r="161" spans="1:29" ht="10.95" customHeight="1">
      <c r="A161" s="35" t="s">
        <v>263</v>
      </c>
      <c r="B161" s="35" t="s">
        <v>180</v>
      </c>
      <c r="C161" s="35" t="s">
        <v>63</v>
      </c>
      <c r="D161" s="36">
        <v>1020</v>
      </c>
      <c r="E161" s="12">
        <v>60</v>
      </c>
      <c r="F161" s="21">
        <v>14.862142857142855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6">
        <v>336</v>
      </c>
      <c r="M161" s="35">
        <v>1.28</v>
      </c>
      <c r="N161" s="21" t="s">
        <v>1</v>
      </c>
      <c r="O161" s="12">
        <v>0</v>
      </c>
      <c r="P161" s="35">
        <v>100</v>
      </c>
      <c r="Q161" s="35">
        <v>60</v>
      </c>
      <c r="R161" s="35">
        <v>90</v>
      </c>
      <c r="S161" s="35">
        <v>105</v>
      </c>
      <c r="T161" s="21">
        <f>171/44.01</f>
        <v>3.8854805725971371</v>
      </c>
      <c r="U161" s="21">
        <f t="shared" si="10"/>
        <v>0.26143474799999966</v>
      </c>
      <c r="V161" s="37">
        <v>0.76</v>
      </c>
      <c r="W161" s="37">
        <v>8.1300000000000008</v>
      </c>
      <c r="X161" s="35">
        <v>120</v>
      </c>
      <c r="Y161" s="23" t="s">
        <v>6</v>
      </c>
      <c r="Z161" s="21">
        <v>12</v>
      </c>
      <c r="AA161" s="35">
        <v>30</v>
      </c>
      <c r="AB161" s="35">
        <v>69.7</v>
      </c>
      <c r="AC161" s="1" t="s">
        <v>19</v>
      </c>
    </row>
    <row r="162" spans="1:29">
      <c r="A162" s="35" t="s">
        <v>263</v>
      </c>
      <c r="B162" s="35" t="s">
        <v>180</v>
      </c>
      <c r="C162" s="35" t="s">
        <v>63</v>
      </c>
      <c r="D162" s="36">
        <v>1020</v>
      </c>
      <c r="E162" s="12">
        <v>60</v>
      </c>
      <c r="F162" s="21">
        <v>14.862142857142855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6">
        <v>336</v>
      </c>
      <c r="M162" s="35">
        <v>1.28</v>
      </c>
      <c r="N162" s="21" t="s">
        <v>1</v>
      </c>
      <c r="O162" s="12">
        <v>0</v>
      </c>
      <c r="P162" s="35">
        <v>100</v>
      </c>
      <c r="Q162" s="35">
        <v>60</v>
      </c>
      <c r="R162" s="35">
        <v>90</v>
      </c>
      <c r="S162" s="35">
        <v>105</v>
      </c>
      <c r="T162" s="21">
        <f>171/44.01</f>
        <v>3.8854805725971371</v>
      </c>
      <c r="U162" s="21">
        <f t="shared" si="10"/>
        <v>0.26143474799999966</v>
      </c>
      <c r="V162" s="37">
        <v>0.76</v>
      </c>
      <c r="W162" s="37">
        <v>8.1300000000000008</v>
      </c>
      <c r="X162" s="35">
        <v>150</v>
      </c>
      <c r="Y162" s="23" t="s">
        <v>6</v>
      </c>
      <c r="Z162" s="21">
        <v>91</v>
      </c>
      <c r="AA162" s="35">
        <v>30</v>
      </c>
      <c r="AB162" s="35" t="s">
        <v>6</v>
      </c>
      <c r="AC162" s="1" t="s">
        <v>19</v>
      </c>
    </row>
    <row r="163" spans="1:29">
      <c r="A163" s="35" t="s">
        <v>263</v>
      </c>
      <c r="B163" s="35" t="s">
        <v>180</v>
      </c>
      <c r="C163" s="35" t="s">
        <v>63</v>
      </c>
      <c r="D163" s="36">
        <v>1020</v>
      </c>
      <c r="E163" s="12">
        <v>60</v>
      </c>
      <c r="F163" s="21">
        <v>14.862142857142855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6">
        <v>336</v>
      </c>
      <c r="M163" s="35">
        <v>1.28</v>
      </c>
      <c r="N163" s="21" t="s">
        <v>1</v>
      </c>
      <c r="O163" s="12">
        <v>0</v>
      </c>
      <c r="P163" s="35">
        <v>15</v>
      </c>
      <c r="Q163" s="35">
        <v>60</v>
      </c>
      <c r="R163" s="35">
        <v>90</v>
      </c>
      <c r="S163" s="35">
        <v>105</v>
      </c>
      <c r="T163" s="21">
        <f>106/44.01</f>
        <v>2.4085435128379915</v>
      </c>
      <c r="U163" s="21">
        <f t="shared" si="10"/>
        <v>0.16205896659649102</v>
      </c>
      <c r="V163" s="37">
        <v>1.52</v>
      </c>
      <c r="W163" s="37">
        <v>4.49</v>
      </c>
      <c r="X163" s="35" t="s">
        <v>1</v>
      </c>
      <c r="Y163" s="23" t="s">
        <v>6</v>
      </c>
      <c r="Z163" s="21" t="s">
        <v>6</v>
      </c>
      <c r="AA163" s="35" t="s">
        <v>1</v>
      </c>
      <c r="AB163" s="35" t="s">
        <v>6</v>
      </c>
      <c r="AC163" s="1" t="s">
        <v>19</v>
      </c>
    </row>
    <row r="164" spans="1:29">
      <c r="A164" s="35" t="s">
        <v>263</v>
      </c>
      <c r="B164" s="35" t="s">
        <v>180</v>
      </c>
      <c r="C164" s="35" t="s">
        <v>63</v>
      </c>
      <c r="D164" s="36">
        <v>1020</v>
      </c>
      <c r="E164" s="12">
        <v>60</v>
      </c>
      <c r="F164" s="21">
        <v>14.862142857142855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6">
        <v>336</v>
      </c>
      <c r="M164" s="35">
        <v>1.28</v>
      </c>
      <c r="N164" s="21" t="s">
        <v>1</v>
      </c>
      <c r="O164" s="12">
        <v>95</v>
      </c>
      <c r="P164" s="35">
        <v>100</v>
      </c>
      <c r="Q164" s="35">
        <v>60</v>
      </c>
      <c r="R164" s="35">
        <v>90</v>
      </c>
      <c r="S164" s="35">
        <v>105</v>
      </c>
      <c r="T164" s="21">
        <f>148.76/44.01</f>
        <v>3.3801408770733925</v>
      </c>
      <c r="U164" s="21">
        <f t="shared" si="10"/>
        <v>0.22743294217824531</v>
      </c>
      <c r="V164" s="37">
        <v>0.76</v>
      </c>
      <c r="W164" s="37">
        <v>8.1300000000000008</v>
      </c>
      <c r="X164" s="35">
        <v>150</v>
      </c>
      <c r="Y164" s="23" t="s">
        <v>6</v>
      </c>
      <c r="Z164" s="21">
        <v>52</v>
      </c>
      <c r="AA164" s="35">
        <v>30</v>
      </c>
      <c r="AB164" s="35" t="s">
        <v>6</v>
      </c>
      <c r="AC164" s="1" t="s">
        <v>19</v>
      </c>
    </row>
    <row r="165" spans="1:29">
      <c r="A165" s="35" t="s">
        <v>263</v>
      </c>
      <c r="B165" s="35" t="s">
        <v>180</v>
      </c>
      <c r="C165" s="35" t="s">
        <v>64</v>
      </c>
      <c r="D165" s="36">
        <v>6854</v>
      </c>
      <c r="E165" s="12">
        <v>60</v>
      </c>
      <c r="F165" s="21">
        <v>14.795714285714284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6">
        <v>336</v>
      </c>
      <c r="M165" s="35">
        <v>1.28</v>
      </c>
      <c r="N165" s="21" t="s">
        <v>1</v>
      </c>
      <c r="O165" s="12">
        <v>0</v>
      </c>
      <c r="P165" s="35">
        <v>100</v>
      </c>
      <c r="Q165" s="35">
        <v>60</v>
      </c>
      <c r="R165" s="35">
        <v>90</v>
      </c>
      <c r="S165" s="35">
        <v>105</v>
      </c>
      <c r="T165" s="21">
        <f>161/44.01</f>
        <v>3.6582594864803455</v>
      </c>
      <c r="U165" s="21">
        <f t="shared" si="10"/>
        <v>0.24725129289719436</v>
      </c>
      <c r="V165" s="37">
        <v>0.9</v>
      </c>
      <c r="W165" s="37">
        <v>10.76</v>
      </c>
      <c r="X165" s="35">
        <v>120</v>
      </c>
      <c r="Y165" s="23" t="s">
        <v>6</v>
      </c>
      <c r="Z165" s="21">
        <v>9.9</v>
      </c>
      <c r="AA165" s="35">
        <v>30</v>
      </c>
      <c r="AB165" s="35">
        <v>68.400000000000006</v>
      </c>
      <c r="AC165" s="1" t="s">
        <v>19</v>
      </c>
    </row>
    <row r="166" spans="1:29">
      <c r="A166" s="35" t="s">
        <v>263</v>
      </c>
      <c r="B166" s="35" t="s">
        <v>180</v>
      </c>
      <c r="C166" s="35" t="s">
        <v>64</v>
      </c>
      <c r="D166" s="36">
        <v>6854</v>
      </c>
      <c r="E166" s="12">
        <v>60</v>
      </c>
      <c r="F166" s="21">
        <v>14.795714285714284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6">
        <v>336</v>
      </c>
      <c r="M166" s="35">
        <v>1.28</v>
      </c>
      <c r="N166" s="21" t="s">
        <v>1</v>
      </c>
      <c r="O166" s="12">
        <v>0</v>
      </c>
      <c r="P166" s="35">
        <v>100</v>
      </c>
      <c r="Q166" s="35">
        <v>60</v>
      </c>
      <c r="R166" s="35">
        <v>90</v>
      </c>
      <c r="S166" s="35">
        <v>105</v>
      </c>
      <c r="T166" s="21">
        <f>161/44.01</f>
        <v>3.6582594864803455</v>
      </c>
      <c r="U166" s="21">
        <f t="shared" si="10"/>
        <v>0.24725129289719436</v>
      </c>
      <c r="V166" s="37">
        <v>0.9</v>
      </c>
      <c r="W166" s="37">
        <v>10.76</v>
      </c>
      <c r="X166" s="35">
        <v>150</v>
      </c>
      <c r="Y166" s="23" t="s">
        <v>6</v>
      </c>
      <c r="Z166" s="21">
        <v>91</v>
      </c>
      <c r="AA166" s="35">
        <v>30</v>
      </c>
      <c r="AB166" s="35" t="s">
        <v>6</v>
      </c>
      <c r="AC166" s="1" t="s">
        <v>19</v>
      </c>
    </row>
    <row r="167" spans="1:29">
      <c r="A167" s="35" t="s">
        <v>263</v>
      </c>
      <c r="B167" s="35" t="s">
        <v>180</v>
      </c>
      <c r="C167" s="35" t="s">
        <v>64</v>
      </c>
      <c r="D167" s="36">
        <v>6854</v>
      </c>
      <c r="E167" s="12">
        <v>60</v>
      </c>
      <c r="F167" s="21">
        <v>14.795714285714284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6">
        <v>336</v>
      </c>
      <c r="M167" s="35">
        <v>1.28</v>
      </c>
      <c r="N167" s="21" t="s">
        <v>1</v>
      </c>
      <c r="O167" s="12">
        <v>0</v>
      </c>
      <c r="P167" s="35">
        <v>15</v>
      </c>
      <c r="Q167" s="35">
        <v>60</v>
      </c>
      <c r="R167" s="35">
        <v>90</v>
      </c>
      <c r="S167" s="35">
        <v>105</v>
      </c>
      <c r="T167" s="21">
        <f>95/44.01</f>
        <v>2.1586003181095208</v>
      </c>
      <c r="U167" s="21">
        <f t="shared" si="10"/>
        <v>0.145893620032506</v>
      </c>
      <c r="V167" s="37">
        <v>1.67</v>
      </c>
      <c r="W167" s="37">
        <v>4.97</v>
      </c>
      <c r="X167" s="35" t="s">
        <v>1</v>
      </c>
      <c r="Y167" s="23" t="s">
        <v>6</v>
      </c>
      <c r="Z167" s="21" t="s">
        <v>6</v>
      </c>
      <c r="AA167" s="35" t="s">
        <v>1</v>
      </c>
      <c r="AB167" s="35" t="s">
        <v>6</v>
      </c>
      <c r="AC167" s="1" t="s">
        <v>19</v>
      </c>
    </row>
    <row r="168" spans="1:29">
      <c r="A168" s="35" t="s">
        <v>263</v>
      </c>
      <c r="B168" s="35" t="s">
        <v>180</v>
      </c>
      <c r="C168" s="35" t="s">
        <v>257</v>
      </c>
      <c r="D168" s="36">
        <v>10000</v>
      </c>
      <c r="E168" s="12">
        <v>60</v>
      </c>
      <c r="F168" s="21">
        <v>14.092857142857143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6">
        <v>336</v>
      </c>
      <c r="M168" s="35">
        <v>1.28</v>
      </c>
      <c r="N168" s="21" t="s">
        <v>1</v>
      </c>
      <c r="O168" s="12">
        <v>0</v>
      </c>
      <c r="P168" s="35">
        <v>100</v>
      </c>
      <c r="Q168" s="35">
        <v>60</v>
      </c>
      <c r="R168" s="35">
        <v>90</v>
      </c>
      <c r="S168" s="35">
        <v>105</v>
      </c>
      <c r="T168" s="21">
        <f>154/44.01</f>
        <v>3.4992047261985912</v>
      </c>
      <c r="U168" s="21">
        <f t="shared" si="10"/>
        <v>0.24829633130653966</v>
      </c>
      <c r="V168" s="37">
        <v>0.84</v>
      </c>
      <c r="W168" s="37">
        <v>9.36</v>
      </c>
      <c r="X168" s="35">
        <v>120</v>
      </c>
      <c r="Y168" s="23" t="s">
        <v>6</v>
      </c>
      <c r="Z168" s="21">
        <v>12.5</v>
      </c>
      <c r="AA168" s="35">
        <v>30</v>
      </c>
      <c r="AB168" s="35">
        <v>68.900000000000006</v>
      </c>
      <c r="AC168" s="1" t="s">
        <v>19</v>
      </c>
    </row>
    <row r="169" spans="1:29">
      <c r="A169" s="35" t="s">
        <v>263</v>
      </c>
      <c r="B169" s="35" t="s">
        <v>180</v>
      </c>
      <c r="C169" s="35" t="s">
        <v>257</v>
      </c>
      <c r="D169" s="36">
        <v>10000</v>
      </c>
      <c r="E169" s="12">
        <v>60</v>
      </c>
      <c r="F169" s="21">
        <v>14.092857142857143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6">
        <v>336</v>
      </c>
      <c r="M169" s="35">
        <v>1.28</v>
      </c>
      <c r="N169" s="21" t="s">
        <v>1</v>
      </c>
      <c r="O169" s="12">
        <v>0</v>
      </c>
      <c r="P169" s="35">
        <v>100</v>
      </c>
      <c r="Q169" s="35">
        <v>60</v>
      </c>
      <c r="R169" s="35">
        <v>90</v>
      </c>
      <c r="S169" s="35">
        <v>105</v>
      </c>
      <c r="T169" s="21">
        <v>1</v>
      </c>
      <c r="U169" s="21">
        <f t="shared" si="10"/>
        <v>7.0957932083122149E-2</v>
      </c>
      <c r="V169" s="37">
        <v>0.84</v>
      </c>
      <c r="W169" s="37">
        <v>9.36</v>
      </c>
      <c r="X169" s="35">
        <v>150</v>
      </c>
      <c r="Y169" s="23" t="s">
        <v>6</v>
      </c>
      <c r="Z169" s="21">
        <v>85</v>
      </c>
      <c r="AA169" s="35">
        <v>30</v>
      </c>
      <c r="AB169" s="35" t="s">
        <v>6</v>
      </c>
      <c r="AC169" s="1" t="s">
        <v>19</v>
      </c>
    </row>
    <row r="170" spans="1:29">
      <c r="A170" s="35" t="s">
        <v>263</v>
      </c>
      <c r="B170" s="35" t="s">
        <v>180</v>
      </c>
      <c r="C170" s="35" t="s">
        <v>257</v>
      </c>
      <c r="D170" s="36">
        <v>10000</v>
      </c>
      <c r="E170" s="12">
        <v>60</v>
      </c>
      <c r="F170" s="21">
        <v>14.092857142857143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6">
        <v>336</v>
      </c>
      <c r="M170" s="35">
        <v>1.28</v>
      </c>
      <c r="N170" s="21" t="s">
        <v>1</v>
      </c>
      <c r="O170" s="12">
        <v>0</v>
      </c>
      <c r="P170" s="35">
        <v>15</v>
      </c>
      <c r="Q170" s="35">
        <v>60</v>
      </c>
      <c r="R170" s="35">
        <v>90</v>
      </c>
      <c r="S170" s="35">
        <v>105</v>
      </c>
      <c r="T170" s="21">
        <f>80/44.01</f>
        <v>1.8177686889343332</v>
      </c>
      <c r="U170" s="21">
        <f t="shared" si="10"/>
        <v>0.12898510717222841</v>
      </c>
      <c r="V170" s="37">
        <v>1.53</v>
      </c>
      <c r="W170" s="37">
        <v>4.59</v>
      </c>
      <c r="X170" s="35" t="s">
        <v>1</v>
      </c>
      <c r="Y170" s="23" t="s">
        <v>6</v>
      </c>
      <c r="Z170" s="21" t="s">
        <v>280</v>
      </c>
      <c r="AA170" s="35" t="s">
        <v>1</v>
      </c>
      <c r="AB170" s="35" t="s">
        <v>6</v>
      </c>
      <c r="AC170" s="1" t="s">
        <v>19</v>
      </c>
    </row>
    <row r="171" spans="1:29">
      <c r="A171" s="35" t="s">
        <v>263</v>
      </c>
      <c r="B171" s="35" t="s">
        <v>181</v>
      </c>
      <c r="C171" s="40" t="s">
        <v>89</v>
      </c>
      <c r="D171" s="36">
        <v>2450</v>
      </c>
      <c r="E171" s="12">
        <v>60</v>
      </c>
      <c r="F171" s="21">
        <v>13.146428571428572</v>
      </c>
      <c r="G171" s="35">
        <v>0</v>
      </c>
      <c r="H171" s="35">
        <v>0</v>
      </c>
      <c r="I171" s="35">
        <v>0</v>
      </c>
      <c r="J171" s="35">
        <v>0</v>
      </c>
      <c r="K171" s="21">
        <f t="shared" ref="K171:K177" si="11">((60%*1*1000)/D171)/F171</f>
        <v>1.8628478286179997E-2</v>
      </c>
      <c r="L171" s="36">
        <v>336</v>
      </c>
      <c r="M171" s="35">
        <v>1.28</v>
      </c>
      <c r="N171" s="21" t="s">
        <v>1</v>
      </c>
      <c r="O171" s="12">
        <v>0</v>
      </c>
      <c r="P171" s="35">
        <v>100</v>
      </c>
      <c r="Q171" s="35">
        <v>60</v>
      </c>
      <c r="R171" s="35">
        <v>90</v>
      </c>
      <c r="S171" s="35">
        <v>105</v>
      </c>
      <c r="T171" s="21">
        <f>135/44.01</f>
        <v>3.0674846625766872</v>
      </c>
      <c r="U171" s="21">
        <f t="shared" si="10"/>
        <v>0.23333216667249995</v>
      </c>
      <c r="V171" s="37">
        <v>1.02</v>
      </c>
      <c r="W171" s="37">
        <v>7.02</v>
      </c>
      <c r="X171" s="35">
        <v>120</v>
      </c>
      <c r="Y171" s="23" t="s">
        <v>6</v>
      </c>
      <c r="Z171" s="21">
        <v>2.9000000000000004</v>
      </c>
      <c r="AA171" s="35">
        <v>30</v>
      </c>
      <c r="AB171" s="35">
        <v>64.400000000000006</v>
      </c>
      <c r="AC171" s="1" t="s">
        <v>19</v>
      </c>
    </row>
    <row r="172" spans="1:29">
      <c r="A172" s="35" t="s">
        <v>263</v>
      </c>
      <c r="B172" s="35" t="s">
        <v>181</v>
      </c>
      <c r="C172" s="40" t="s">
        <v>89</v>
      </c>
      <c r="D172" s="36">
        <v>2450</v>
      </c>
      <c r="E172" s="12">
        <v>60</v>
      </c>
      <c r="F172" s="21">
        <v>13.146428571428572</v>
      </c>
      <c r="G172" s="35">
        <v>0</v>
      </c>
      <c r="H172" s="35">
        <v>0</v>
      </c>
      <c r="I172" s="35">
        <v>0</v>
      </c>
      <c r="J172" s="35">
        <v>0</v>
      </c>
      <c r="K172" s="21">
        <f t="shared" si="11"/>
        <v>1.8628478286179997E-2</v>
      </c>
      <c r="L172" s="36">
        <v>336</v>
      </c>
      <c r="M172" s="35">
        <v>1.28</v>
      </c>
      <c r="N172" s="21" t="s">
        <v>1</v>
      </c>
      <c r="O172" s="12">
        <v>0</v>
      </c>
      <c r="P172" s="35">
        <v>100</v>
      </c>
      <c r="Q172" s="35">
        <v>60</v>
      </c>
      <c r="R172" s="35">
        <v>90</v>
      </c>
      <c r="S172" s="35">
        <v>105</v>
      </c>
      <c r="T172" s="21">
        <f>135/44.01</f>
        <v>3.0674846625766872</v>
      </c>
      <c r="U172" s="21">
        <f t="shared" si="10"/>
        <v>0.23333216667249995</v>
      </c>
      <c r="V172" s="37">
        <v>1.02</v>
      </c>
      <c r="W172" s="37">
        <v>7.02</v>
      </c>
      <c r="X172" s="35">
        <v>150</v>
      </c>
      <c r="Y172" s="23" t="s">
        <v>6</v>
      </c>
      <c r="Z172" s="21">
        <v>56.999999999999993</v>
      </c>
      <c r="AA172" s="35">
        <v>30</v>
      </c>
      <c r="AB172" s="35" t="s">
        <v>6</v>
      </c>
      <c r="AC172" s="1" t="s">
        <v>19</v>
      </c>
    </row>
    <row r="173" spans="1:29">
      <c r="A173" s="35" t="s">
        <v>263</v>
      </c>
      <c r="B173" s="35" t="s">
        <v>181</v>
      </c>
      <c r="C173" s="40" t="s">
        <v>89</v>
      </c>
      <c r="D173" s="36">
        <v>2450</v>
      </c>
      <c r="E173" s="12">
        <v>60</v>
      </c>
      <c r="F173" s="21">
        <v>13.146428571428572</v>
      </c>
      <c r="G173" s="35">
        <v>0</v>
      </c>
      <c r="H173" s="35">
        <v>0</v>
      </c>
      <c r="I173" s="35">
        <v>0</v>
      </c>
      <c r="J173" s="35">
        <v>0</v>
      </c>
      <c r="K173" s="21">
        <f t="shared" si="11"/>
        <v>1.8628478286179997E-2</v>
      </c>
      <c r="L173" s="36">
        <v>336</v>
      </c>
      <c r="M173" s="35">
        <v>1.28</v>
      </c>
      <c r="N173" s="21" t="s">
        <v>1</v>
      </c>
      <c r="O173" s="12">
        <v>0</v>
      </c>
      <c r="P173" s="35">
        <v>15</v>
      </c>
      <c r="Q173" s="35">
        <v>60</v>
      </c>
      <c r="R173" s="35">
        <v>90</v>
      </c>
      <c r="S173" s="35">
        <v>105</v>
      </c>
      <c r="T173" s="21">
        <f>13/44.01</f>
        <v>0.29538741195182916</v>
      </c>
      <c r="U173" s="21">
        <f t="shared" si="10"/>
        <v>2.2469023457351849E-2</v>
      </c>
      <c r="V173" s="37">
        <v>1.25</v>
      </c>
      <c r="W173" s="37">
        <v>1.49</v>
      </c>
      <c r="X173" s="35" t="s">
        <v>1</v>
      </c>
      <c r="Y173" s="23" t="s">
        <v>6</v>
      </c>
      <c r="Z173" s="21" t="s">
        <v>6</v>
      </c>
      <c r="AA173" s="35" t="s">
        <v>1</v>
      </c>
      <c r="AB173" s="35" t="s">
        <v>6</v>
      </c>
      <c r="AC173" s="1" t="s">
        <v>19</v>
      </c>
    </row>
    <row r="174" spans="1:29">
      <c r="A174" s="35" t="s">
        <v>263</v>
      </c>
      <c r="B174" s="35" t="s">
        <v>181</v>
      </c>
      <c r="C174" s="40" t="s">
        <v>89</v>
      </c>
      <c r="D174" s="36">
        <v>2450</v>
      </c>
      <c r="E174" s="12">
        <v>60</v>
      </c>
      <c r="F174" s="21">
        <v>13.146428571428572</v>
      </c>
      <c r="G174" s="35">
        <v>0</v>
      </c>
      <c r="H174" s="35">
        <v>0</v>
      </c>
      <c r="I174" s="35">
        <v>0</v>
      </c>
      <c r="J174" s="35">
        <v>0</v>
      </c>
      <c r="K174" s="21">
        <f t="shared" si="11"/>
        <v>1.8628478286179997E-2</v>
      </c>
      <c r="L174" s="36">
        <v>336</v>
      </c>
      <c r="M174" s="35">
        <v>1.28</v>
      </c>
      <c r="N174" s="21" t="s">
        <v>1</v>
      </c>
      <c r="O174" s="12">
        <v>95</v>
      </c>
      <c r="P174" s="35">
        <v>100</v>
      </c>
      <c r="Q174" s="35">
        <v>60</v>
      </c>
      <c r="R174" s="35">
        <v>90</v>
      </c>
      <c r="S174" s="35">
        <v>105</v>
      </c>
      <c r="T174" s="21">
        <f>126.618/44.01</f>
        <v>2.8770279481935925</v>
      </c>
      <c r="U174" s="21">
        <f t="shared" si="10"/>
        <v>0.21884483170176741</v>
      </c>
      <c r="V174" s="37">
        <v>1.02</v>
      </c>
      <c r="W174" s="37">
        <v>9.73</v>
      </c>
      <c r="X174" s="35">
        <v>150</v>
      </c>
      <c r="Y174" s="23" t="s">
        <v>6</v>
      </c>
      <c r="Z174" s="21">
        <v>22</v>
      </c>
      <c r="AA174" s="35">
        <v>30</v>
      </c>
      <c r="AB174" s="35" t="s">
        <v>6</v>
      </c>
      <c r="AC174" s="1" t="s">
        <v>19</v>
      </c>
    </row>
    <row r="175" spans="1:29" ht="16.2" customHeight="1">
      <c r="A175" s="35" t="s">
        <v>263</v>
      </c>
      <c r="B175" s="35" t="s">
        <v>181</v>
      </c>
      <c r="C175" s="40" t="s">
        <v>89</v>
      </c>
      <c r="D175" s="36">
        <v>6000</v>
      </c>
      <c r="E175" s="12">
        <v>60</v>
      </c>
      <c r="F175" s="21">
        <v>13.367857142857144</v>
      </c>
      <c r="G175" s="35">
        <v>0</v>
      </c>
      <c r="H175" s="35">
        <v>0</v>
      </c>
      <c r="I175" s="35">
        <v>0</v>
      </c>
      <c r="J175" s="35">
        <v>0</v>
      </c>
      <c r="K175" s="21">
        <f t="shared" si="11"/>
        <v>7.4806305102858668E-3</v>
      </c>
      <c r="L175" s="36">
        <v>336</v>
      </c>
      <c r="M175" s="35">
        <v>1.28</v>
      </c>
      <c r="N175" s="21" t="s">
        <v>1</v>
      </c>
      <c r="O175" s="12">
        <v>0</v>
      </c>
      <c r="P175" s="35">
        <v>100</v>
      </c>
      <c r="Q175" s="35">
        <v>60</v>
      </c>
      <c r="R175" s="35">
        <v>90</v>
      </c>
      <c r="S175" s="35">
        <v>105</v>
      </c>
      <c r="T175" s="21">
        <f>136/44.01</f>
        <v>3.0902067711883663</v>
      </c>
      <c r="U175" s="21">
        <f t="shared" si="10"/>
        <v>0.23116695055643668</v>
      </c>
      <c r="V175" s="37">
        <v>1.06</v>
      </c>
      <c r="W175" s="37">
        <v>9.73</v>
      </c>
      <c r="X175" s="35">
        <v>120</v>
      </c>
      <c r="Y175" s="23" t="s">
        <v>6</v>
      </c>
      <c r="Z175" s="21">
        <v>0.5</v>
      </c>
      <c r="AA175" s="35">
        <v>30</v>
      </c>
      <c r="AB175" s="35">
        <v>65</v>
      </c>
      <c r="AC175" s="1" t="s">
        <v>19</v>
      </c>
    </row>
    <row r="176" spans="1:29">
      <c r="A176" s="35" t="s">
        <v>263</v>
      </c>
      <c r="B176" s="35" t="s">
        <v>181</v>
      </c>
      <c r="C176" s="40" t="s">
        <v>89</v>
      </c>
      <c r="D176" s="36">
        <v>6000</v>
      </c>
      <c r="E176" s="12">
        <v>60</v>
      </c>
      <c r="F176" s="21">
        <v>13.367857142857144</v>
      </c>
      <c r="G176" s="35">
        <v>0</v>
      </c>
      <c r="H176" s="35">
        <v>0</v>
      </c>
      <c r="I176" s="35">
        <v>0</v>
      </c>
      <c r="J176" s="35">
        <v>0</v>
      </c>
      <c r="K176" s="21">
        <f>((60%*1*1000)/D176)/F176</f>
        <v>7.4806305102858668E-3</v>
      </c>
      <c r="L176" s="36">
        <v>336</v>
      </c>
      <c r="M176" s="35">
        <v>1.28</v>
      </c>
      <c r="N176" s="21" t="s">
        <v>1</v>
      </c>
      <c r="O176" s="12">
        <v>0</v>
      </c>
      <c r="P176" s="35">
        <v>100</v>
      </c>
      <c r="Q176" s="35">
        <v>60</v>
      </c>
      <c r="R176" s="35">
        <v>90</v>
      </c>
      <c r="S176" s="35">
        <v>105</v>
      </c>
      <c r="T176" s="21">
        <f>136/44.01</f>
        <v>3.0902067711883663</v>
      </c>
      <c r="U176" s="21">
        <f t="shared" si="10"/>
        <v>0.23116695055643668</v>
      </c>
      <c r="V176" s="37">
        <v>1.06</v>
      </c>
      <c r="W176" s="37">
        <v>9.73</v>
      </c>
      <c r="X176" s="35">
        <v>150</v>
      </c>
      <c r="Y176" s="23" t="s">
        <v>6</v>
      </c>
      <c r="Z176" s="21">
        <v>67</v>
      </c>
      <c r="AA176" s="35">
        <v>30</v>
      </c>
      <c r="AB176" s="35" t="s">
        <v>6</v>
      </c>
      <c r="AC176" s="2" t="s">
        <v>19</v>
      </c>
    </row>
    <row r="177" spans="1:29">
      <c r="A177" s="35" t="s">
        <v>263</v>
      </c>
      <c r="B177" s="35" t="s">
        <v>181</v>
      </c>
      <c r="C177" s="40" t="s">
        <v>89</v>
      </c>
      <c r="D177" s="36">
        <v>6000</v>
      </c>
      <c r="E177" s="12">
        <v>60</v>
      </c>
      <c r="F177" s="21">
        <v>13.367857142857144</v>
      </c>
      <c r="G177" s="35">
        <v>0</v>
      </c>
      <c r="H177" s="35">
        <v>0</v>
      </c>
      <c r="I177" s="35">
        <v>0</v>
      </c>
      <c r="J177" s="35">
        <v>0</v>
      </c>
      <c r="K177" s="21">
        <f t="shared" si="11"/>
        <v>7.4806305102858668E-3</v>
      </c>
      <c r="L177" s="36">
        <v>336</v>
      </c>
      <c r="M177" s="35">
        <v>1.28</v>
      </c>
      <c r="N177" s="21" t="s">
        <v>1</v>
      </c>
      <c r="O177" s="12">
        <v>0</v>
      </c>
      <c r="P177" s="35">
        <v>15</v>
      </c>
      <c r="Q177" s="35">
        <v>60</v>
      </c>
      <c r="R177" s="35">
        <v>90</v>
      </c>
      <c r="S177" s="35">
        <v>105</v>
      </c>
      <c r="T177" s="21">
        <f>11.01/44.01</f>
        <v>0.2501704158145876</v>
      </c>
      <c r="U177" s="21">
        <f t="shared" si="10"/>
        <v>1.8714324453135058E-2</v>
      </c>
      <c r="V177" s="37">
        <v>1.3</v>
      </c>
      <c r="W177" s="37">
        <v>1.29</v>
      </c>
      <c r="X177" s="35" t="s">
        <v>1</v>
      </c>
      <c r="Y177" s="23" t="s">
        <v>6</v>
      </c>
      <c r="Z177" s="21" t="s">
        <v>6</v>
      </c>
      <c r="AA177" s="35" t="s">
        <v>1</v>
      </c>
      <c r="AB177" s="35" t="s">
        <v>1</v>
      </c>
      <c r="AC177" s="2" t="s">
        <v>19</v>
      </c>
    </row>
    <row r="178" spans="1:29">
      <c r="A178" s="35" t="s">
        <v>8</v>
      </c>
      <c r="B178" s="35" t="s">
        <v>180</v>
      </c>
      <c r="C178" s="35" t="s">
        <v>60</v>
      </c>
      <c r="D178" s="36">
        <v>305</v>
      </c>
      <c r="E178" s="12">
        <v>19.77</v>
      </c>
      <c r="F178" s="21">
        <v>4.4357142857142859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46">
        <v>482.81</v>
      </c>
      <c r="M178" s="21">
        <v>1.3620000000000001</v>
      </c>
      <c r="N178" s="47">
        <v>9.0399999999999991</v>
      </c>
      <c r="O178" s="12">
        <v>0</v>
      </c>
      <c r="P178" s="35">
        <v>100</v>
      </c>
      <c r="Q178" s="35">
        <v>60</v>
      </c>
      <c r="R178" s="35">
        <v>30</v>
      </c>
      <c r="S178" s="35">
        <v>40</v>
      </c>
      <c r="T178" s="21">
        <v>1.0313316832026387</v>
      </c>
      <c r="U178" s="21">
        <v>0.23448275862068901</v>
      </c>
      <c r="V178" s="37">
        <v>0.74</v>
      </c>
      <c r="W178" s="37">
        <v>3.75</v>
      </c>
      <c r="X178" s="35" t="s">
        <v>1</v>
      </c>
      <c r="Y178" s="23" t="s">
        <v>6</v>
      </c>
      <c r="Z178" s="21" t="s">
        <v>6</v>
      </c>
      <c r="AA178" s="35" t="s">
        <v>1</v>
      </c>
      <c r="AB178" s="35" t="s">
        <v>1</v>
      </c>
      <c r="AC178" s="1" t="s">
        <v>20</v>
      </c>
    </row>
    <row r="179" spans="1:29">
      <c r="A179" s="35" t="s">
        <v>8</v>
      </c>
      <c r="B179" s="35" t="s">
        <v>180</v>
      </c>
      <c r="C179" s="35" t="s">
        <v>60</v>
      </c>
      <c r="D179" s="36">
        <v>305</v>
      </c>
      <c r="E179" s="12">
        <v>19.77</v>
      </c>
      <c r="F179" s="21">
        <v>4.4357142857142859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46">
        <v>482.81</v>
      </c>
      <c r="M179" s="21">
        <v>1.3620000000000001</v>
      </c>
      <c r="N179" s="47">
        <v>9.0399999999999991</v>
      </c>
      <c r="O179" s="12">
        <v>0</v>
      </c>
      <c r="P179" s="35">
        <v>100</v>
      </c>
      <c r="Q179" s="35">
        <v>60</v>
      </c>
      <c r="R179" s="35">
        <v>30</v>
      </c>
      <c r="S179" s="35">
        <v>60</v>
      </c>
      <c r="T179" s="21">
        <v>0.83442533158613541</v>
      </c>
      <c r="U179" s="21">
        <v>0.19022988505747099</v>
      </c>
      <c r="V179" s="37">
        <v>0.74</v>
      </c>
      <c r="W179" s="37">
        <v>3.72</v>
      </c>
      <c r="X179" s="35" t="s">
        <v>1</v>
      </c>
      <c r="Y179" s="23" t="s">
        <v>6</v>
      </c>
      <c r="Z179" s="21" t="s">
        <v>6</v>
      </c>
      <c r="AA179" s="35" t="s">
        <v>1</v>
      </c>
      <c r="AB179" s="35" t="s">
        <v>1</v>
      </c>
      <c r="AC179" s="1" t="s">
        <v>20</v>
      </c>
    </row>
    <row r="180" spans="1:29">
      <c r="A180" s="35" t="s">
        <v>8</v>
      </c>
      <c r="B180" s="35" t="s">
        <v>180</v>
      </c>
      <c r="C180" s="35" t="s">
        <v>60</v>
      </c>
      <c r="D180" s="36">
        <v>305</v>
      </c>
      <c r="E180" s="12">
        <v>19.77</v>
      </c>
      <c r="F180" s="21">
        <v>4.4357142857142904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46">
        <v>482.81</v>
      </c>
      <c r="M180" s="21">
        <v>1.3620000000000001</v>
      </c>
      <c r="N180" s="47">
        <v>9.0399999999999991</v>
      </c>
      <c r="O180" s="12">
        <v>0</v>
      </c>
      <c r="P180" s="35">
        <v>100</v>
      </c>
      <c r="Q180" s="35">
        <v>60</v>
      </c>
      <c r="R180" s="35">
        <v>30</v>
      </c>
      <c r="S180" s="35">
        <v>80</v>
      </c>
      <c r="T180" s="21">
        <v>0.77063876697797229</v>
      </c>
      <c r="U180" s="21">
        <v>0.174137931034482</v>
      </c>
      <c r="V180" s="37">
        <v>0.74</v>
      </c>
      <c r="W180" s="37">
        <v>2.35</v>
      </c>
      <c r="X180" s="35" t="s">
        <v>1</v>
      </c>
      <c r="Y180" s="23" t="s">
        <v>6</v>
      </c>
      <c r="Z180" s="21" t="s">
        <v>6</v>
      </c>
      <c r="AA180" s="35" t="s">
        <v>1</v>
      </c>
      <c r="AB180" s="35" t="s">
        <v>1</v>
      </c>
      <c r="AC180" s="1" t="s">
        <v>20</v>
      </c>
    </row>
    <row r="181" spans="1:29">
      <c r="A181" s="35" t="s">
        <v>7</v>
      </c>
      <c r="B181" s="35" t="s">
        <v>180</v>
      </c>
      <c r="C181" s="35" t="s">
        <v>60</v>
      </c>
      <c r="D181" s="36">
        <v>305</v>
      </c>
      <c r="E181" s="12">
        <v>19.77</v>
      </c>
      <c r="F181" s="21">
        <v>4.4357142857142859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46">
        <v>482.81</v>
      </c>
      <c r="M181" s="21">
        <v>1.3620000000000001</v>
      </c>
      <c r="N181" s="47">
        <v>9.0399999999999991</v>
      </c>
      <c r="O181" s="12">
        <v>0</v>
      </c>
      <c r="P181" s="35">
        <v>100</v>
      </c>
      <c r="Q181" s="35">
        <v>60</v>
      </c>
      <c r="R181" s="35">
        <v>30</v>
      </c>
      <c r="S181" s="35">
        <v>100</v>
      </c>
      <c r="T181" s="21">
        <v>0.64029230886563804</v>
      </c>
      <c r="U181" s="21">
        <v>0.147701149425287</v>
      </c>
      <c r="V181" s="37">
        <v>0.74</v>
      </c>
      <c r="W181" s="37">
        <v>1.55</v>
      </c>
      <c r="X181" s="35" t="s">
        <v>1</v>
      </c>
      <c r="Y181" s="23" t="s">
        <v>6</v>
      </c>
      <c r="Z181" s="21" t="s">
        <v>6</v>
      </c>
      <c r="AA181" s="35" t="s">
        <v>1</v>
      </c>
      <c r="AB181" s="35" t="s">
        <v>1</v>
      </c>
      <c r="AC181" s="1" t="s">
        <v>20</v>
      </c>
    </row>
    <row r="182" spans="1:29">
      <c r="A182" s="35" t="s">
        <v>7</v>
      </c>
      <c r="B182" s="35" t="s">
        <v>180</v>
      </c>
      <c r="C182" s="35" t="s">
        <v>60</v>
      </c>
      <c r="D182" s="36">
        <v>305</v>
      </c>
      <c r="E182" s="12">
        <v>19.77</v>
      </c>
      <c r="F182" s="21">
        <v>4.4357142857142859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46">
        <v>482.81</v>
      </c>
      <c r="M182" s="21">
        <v>1.3620000000000001</v>
      </c>
      <c r="N182" s="47">
        <v>9.0399999999999991</v>
      </c>
      <c r="O182" s="12">
        <v>0</v>
      </c>
      <c r="P182" s="35">
        <v>100</v>
      </c>
      <c r="Q182" s="35">
        <v>60</v>
      </c>
      <c r="R182" s="35">
        <v>30</v>
      </c>
      <c r="S182" s="35">
        <v>120</v>
      </c>
      <c r="T182" s="21">
        <v>0.462799259521183</v>
      </c>
      <c r="U182" s="21">
        <v>0.106321839080459</v>
      </c>
      <c r="V182" s="37">
        <v>0.55000000000000004</v>
      </c>
      <c r="W182" s="37">
        <v>0.92</v>
      </c>
      <c r="X182" s="35" t="s">
        <v>1</v>
      </c>
      <c r="Y182" s="23" t="s">
        <v>6</v>
      </c>
      <c r="Z182" s="21" t="s">
        <v>6</v>
      </c>
      <c r="AA182" s="35" t="s">
        <v>1</v>
      </c>
      <c r="AB182" s="35" t="s">
        <v>1</v>
      </c>
      <c r="AC182" s="1" t="s">
        <v>20</v>
      </c>
    </row>
    <row r="183" spans="1:29">
      <c r="A183" s="35" t="s">
        <v>8</v>
      </c>
      <c r="B183" s="35" t="s">
        <v>180</v>
      </c>
      <c r="C183" s="35" t="s">
        <v>60</v>
      </c>
      <c r="D183" s="36">
        <v>305</v>
      </c>
      <c r="E183" s="12">
        <v>36.99</v>
      </c>
      <c r="F183" s="21">
        <v>8.9428571428571431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46">
        <v>482.81</v>
      </c>
      <c r="M183" s="21">
        <v>1.3620000000000001</v>
      </c>
      <c r="N183" s="47">
        <v>9.0399999999999991</v>
      </c>
      <c r="O183" s="12">
        <v>0</v>
      </c>
      <c r="P183" s="35">
        <v>100</v>
      </c>
      <c r="Q183" s="35">
        <v>60</v>
      </c>
      <c r="R183" s="35">
        <v>30</v>
      </c>
      <c r="S183" s="35">
        <v>40</v>
      </c>
      <c r="T183" s="21">
        <v>1.9077036143408812</v>
      </c>
      <c r="U183" s="21">
        <v>0.21522988505747101</v>
      </c>
      <c r="V183" s="37">
        <v>0.58500914076782495</v>
      </c>
      <c r="W183" s="37">
        <v>6.7276051188300698</v>
      </c>
      <c r="X183" s="35" t="s">
        <v>1</v>
      </c>
      <c r="Y183" s="23" t="s">
        <v>6</v>
      </c>
      <c r="Z183" s="21" t="s">
        <v>6</v>
      </c>
      <c r="AA183" s="35" t="s">
        <v>1</v>
      </c>
      <c r="AB183" s="35" t="s">
        <v>1</v>
      </c>
      <c r="AC183" s="1" t="s">
        <v>20</v>
      </c>
    </row>
    <row r="184" spans="1:29">
      <c r="A184" s="35" t="s">
        <v>8</v>
      </c>
      <c r="B184" s="35" t="s">
        <v>180</v>
      </c>
      <c r="C184" s="35" t="s">
        <v>60</v>
      </c>
      <c r="D184" s="36">
        <v>305</v>
      </c>
      <c r="E184" s="12">
        <v>36.99</v>
      </c>
      <c r="F184" s="21">
        <v>8.9428571428571431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46">
        <v>482.81</v>
      </c>
      <c r="M184" s="21">
        <v>1.3620000000000001</v>
      </c>
      <c r="N184" s="47">
        <v>9.0399999999999991</v>
      </c>
      <c r="O184" s="12">
        <v>0</v>
      </c>
      <c r="P184" s="35">
        <v>100</v>
      </c>
      <c r="Q184" s="35">
        <v>60</v>
      </c>
      <c r="R184" s="35">
        <v>30</v>
      </c>
      <c r="S184" s="35">
        <v>60</v>
      </c>
      <c r="T184" s="21">
        <v>2.137889912709471</v>
      </c>
      <c r="U184" s="21">
        <v>0.23994252873563199</v>
      </c>
      <c r="V184" s="37">
        <v>0.58500914076782795</v>
      </c>
      <c r="W184" s="37">
        <v>5.9232175502741704</v>
      </c>
      <c r="X184" s="35" t="s">
        <v>1</v>
      </c>
      <c r="Y184" s="23" t="s">
        <v>6</v>
      </c>
      <c r="Z184" s="21" t="s">
        <v>6</v>
      </c>
      <c r="AA184" s="35" t="s">
        <v>1</v>
      </c>
      <c r="AB184" s="35" t="s">
        <v>1</v>
      </c>
      <c r="AC184" s="1" t="s">
        <v>20</v>
      </c>
    </row>
    <row r="185" spans="1:29">
      <c r="A185" s="35" t="s">
        <v>8</v>
      </c>
      <c r="B185" s="35" t="s">
        <v>180</v>
      </c>
      <c r="C185" s="35" t="s">
        <v>60</v>
      </c>
      <c r="D185" s="36">
        <v>305</v>
      </c>
      <c r="E185" s="12">
        <v>36.99</v>
      </c>
      <c r="F185" s="21">
        <v>8.9428571428571431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46">
        <v>482.81</v>
      </c>
      <c r="M185" s="21">
        <v>1.3620000000000001</v>
      </c>
      <c r="N185" s="47">
        <v>9.0399999999999991</v>
      </c>
      <c r="O185" s="12">
        <v>0</v>
      </c>
      <c r="P185" s="35">
        <v>100</v>
      </c>
      <c r="Q185" s="35">
        <v>60</v>
      </c>
      <c r="R185" s="35">
        <v>30</v>
      </c>
      <c r="S185" s="35">
        <v>80</v>
      </c>
      <c r="T185" s="21">
        <v>2.6065824961346502</v>
      </c>
      <c r="U185" s="21">
        <v>0.29252873563218301</v>
      </c>
      <c r="V185" s="37">
        <v>0.62157221206581603</v>
      </c>
      <c r="W185" s="37">
        <v>2.2303473491772099</v>
      </c>
      <c r="X185" s="35" t="s">
        <v>1</v>
      </c>
      <c r="Y185" s="23" t="s">
        <v>6</v>
      </c>
      <c r="Z185" s="21" t="s">
        <v>6</v>
      </c>
      <c r="AA185" s="35" t="s">
        <v>1</v>
      </c>
      <c r="AB185" s="35" t="s">
        <v>1</v>
      </c>
      <c r="AC185" s="1" t="s">
        <v>20</v>
      </c>
    </row>
    <row r="186" spans="1:29">
      <c r="A186" s="35" t="s">
        <v>8</v>
      </c>
      <c r="B186" s="35" t="s">
        <v>180</v>
      </c>
      <c r="C186" s="35" t="s">
        <v>60</v>
      </c>
      <c r="D186" s="36">
        <v>305</v>
      </c>
      <c r="E186" s="12">
        <v>36.99</v>
      </c>
      <c r="F186" s="21">
        <v>8.9428571428571431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46">
        <v>482.81</v>
      </c>
      <c r="M186" s="21">
        <v>1.3620000000000001</v>
      </c>
      <c r="N186" s="47">
        <v>9.0399999999999991</v>
      </c>
      <c r="O186" s="12">
        <v>0</v>
      </c>
      <c r="P186" s="35">
        <v>100</v>
      </c>
      <c r="Q186" s="35">
        <v>60</v>
      </c>
      <c r="R186" s="35">
        <v>30</v>
      </c>
      <c r="S186" s="35">
        <v>100</v>
      </c>
      <c r="T186" s="21">
        <v>2.4152228023101729</v>
      </c>
      <c r="U186" s="21">
        <v>0.27097701149425202</v>
      </c>
      <c r="V186" s="37">
        <v>0.62</v>
      </c>
      <c r="W186" s="37">
        <v>1.49908592321755</v>
      </c>
      <c r="X186" s="35" t="s">
        <v>1</v>
      </c>
      <c r="Y186" s="23" t="s">
        <v>6</v>
      </c>
      <c r="Z186" s="21" t="s">
        <v>6</v>
      </c>
      <c r="AA186" s="35" t="s">
        <v>1</v>
      </c>
      <c r="AB186" s="35" t="s">
        <v>1</v>
      </c>
      <c r="AC186" s="1" t="s">
        <v>20</v>
      </c>
    </row>
    <row r="187" spans="1:29">
      <c r="A187" s="35" t="s">
        <v>8</v>
      </c>
      <c r="B187" s="35" t="s">
        <v>180</v>
      </c>
      <c r="C187" s="35" t="s">
        <v>60</v>
      </c>
      <c r="D187" s="36">
        <v>305</v>
      </c>
      <c r="E187" s="12">
        <v>36.99</v>
      </c>
      <c r="F187" s="21">
        <v>8.9428571428571431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46">
        <v>482.81</v>
      </c>
      <c r="M187" s="21">
        <v>1.3620000000000001</v>
      </c>
      <c r="N187" s="47">
        <v>9.0399999999999991</v>
      </c>
      <c r="O187" s="12">
        <v>0</v>
      </c>
      <c r="P187" s="35">
        <v>100</v>
      </c>
      <c r="Q187" s="35">
        <v>60</v>
      </c>
      <c r="R187" s="35">
        <v>30</v>
      </c>
      <c r="S187" s="35">
        <v>120</v>
      </c>
      <c r="T187" s="21">
        <v>1.8882903120688328</v>
      </c>
      <c r="U187" s="21">
        <v>0.212068965517241</v>
      </c>
      <c r="V187" s="37">
        <v>0.58500914076782495</v>
      </c>
      <c r="W187" s="37">
        <v>0.69469835466177599</v>
      </c>
      <c r="X187" s="35" t="s">
        <v>1</v>
      </c>
      <c r="Y187" s="23" t="s">
        <v>6</v>
      </c>
      <c r="Z187" s="21" t="s">
        <v>6</v>
      </c>
      <c r="AA187" s="35" t="s">
        <v>1</v>
      </c>
      <c r="AB187" s="35" t="s">
        <v>1</v>
      </c>
      <c r="AC187" s="1" t="s">
        <v>20</v>
      </c>
    </row>
    <row r="188" spans="1:29">
      <c r="A188" s="35" t="s">
        <v>8</v>
      </c>
      <c r="B188" s="35" t="s">
        <v>180</v>
      </c>
      <c r="C188" s="35" t="s">
        <v>60</v>
      </c>
      <c r="D188" s="36">
        <v>305</v>
      </c>
      <c r="E188" s="12">
        <v>44.12</v>
      </c>
      <c r="F188" s="21">
        <v>10.135714285714286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46">
        <v>482.81</v>
      </c>
      <c r="M188" s="21">
        <v>1.3620000000000001</v>
      </c>
      <c r="N188" s="47">
        <v>9.0399999999999991</v>
      </c>
      <c r="O188" s="12">
        <v>0</v>
      </c>
      <c r="P188" s="35">
        <v>100</v>
      </c>
      <c r="Q188" s="35">
        <v>60</v>
      </c>
      <c r="R188" s="35">
        <v>30</v>
      </c>
      <c r="S188" s="35">
        <v>40</v>
      </c>
      <c r="T188" s="21">
        <v>2.1573032149815212</v>
      </c>
      <c r="U188" s="21">
        <v>0.212068965517241</v>
      </c>
      <c r="V188" s="37">
        <v>0.70024570024569499</v>
      </c>
      <c r="W188" s="37">
        <v>5.4545454545440304</v>
      </c>
      <c r="X188" s="35" t="s">
        <v>1</v>
      </c>
      <c r="Y188" s="23" t="s">
        <v>6</v>
      </c>
      <c r="Z188" s="21" t="s">
        <v>6</v>
      </c>
      <c r="AA188" s="35" t="s">
        <v>1</v>
      </c>
      <c r="AB188" s="35" t="s">
        <v>1</v>
      </c>
      <c r="AC188" s="1" t="s">
        <v>20</v>
      </c>
    </row>
    <row r="189" spans="1:29">
      <c r="A189" s="35" t="s">
        <v>8</v>
      </c>
      <c r="B189" s="35" t="s">
        <v>180</v>
      </c>
      <c r="C189" s="35" t="s">
        <v>60</v>
      </c>
      <c r="D189" s="36">
        <v>305</v>
      </c>
      <c r="E189" s="12">
        <v>44.12</v>
      </c>
      <c r="F189" s="21">
        <v>10.135714285714286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46">
        <v>482.81</v>
      </c>
      <c r="M189" s="21">
        <v>1.3620000000000001</v>
      </c>
      <c r="N189" s="47">
        <v>9.0399999999999991</v>
      </c>
      <c r="O189" s="12">
        <v>0</v>
      </c>
      <c r="P189" s="35">
        <v>100</v>
      </c>
      <c r="Q189" s="35">
        <v>60</v>
      </c>
      <c r="R189" s="35">
        <v>30</v>
      </c>
      <c r="S189" s="35">
        <v>60</v>
      </c>
      <c r="T189" s="21">
        <v>2.6454091006787692</v>
      </c>
      <c r="U189" s="21">
        <v>0.26206896551724101</v>
      </c>
      <c r="V189" s="37">
        <v>0.81081081081080697</v>
      </c>
      <c r="W189" s="37">
        <v>1.5110565110565699</v>
      </c>
      <c r="X189" s="35" t="s">
        <v>1</v>
      </c>
      <c r="Y189" s="23" t="s">
        <v>6</v>
      </c>
      <c r="Z189" s="21" t="s">
        <v>6</v>
      </c>
      <c r="AA189" s="35" t="s">
        <v>1</v>
      </c>
      <c r="AB189" s="35" t="s">
        <v>1</v>
      </c>
      <c r="AC189" s="1" t="s">
        <v>20</v>
      </c>
    </row>
    <row r="190" spans="1:29">
      <c r="A190" s="35" t="s">
        <v>8</v>
      </c>
      <c r="B190" s="35" t="s">
        <v>180</v>
      </c>
      <c r="C190" s="35" t="s">
        <v>60</v>
      </c>
      <c r="D190" s="36">
        <v>305</v>
      </c>
      <c r="E190" s="12">
        <v>44.12</v>
      </c>
      <c r="F190" s="21">
        <v>10.135714285714286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46">
        <v>482.81</v>
      </c>
      <c r="M190" s="21">
        <v>1.3620000000000001</v>
      </c>
      <c r="N190" s="47">
        <v>9.0399999999999991</v>
      </c>
      <c r="O190" s="12">
        <v>0</v>
      </c>
      <c r="P190" s="35">
        <v>100</v>
      </c>
      <c r="Q190" s="35">
        <v>60</v>
      </c>
      <c r="R190" s="35">
        <v>30</v>
      </c>
      <c r="S190" s="35">
        <v>80</v>
      </c>
      <c r="T190" s="21">
        <v>3.313781364616462</v>
      </c>
      <c r="U190" s="21">
        <v>0.32758620689655099</v>
      </c>
      <c r="V190" s="37">
        <v>0.81081081081080697</v>
      </c>
      <c r="W190" s="37">
        <v>2.0638820638820801</v>
      </c>
      <c r="X190" s="35" t="s">
        <v>1</v>
      </c>
      <c r="Y190" s="23" t="s">
        <v>6</v>
      </c>
      <c r="Z190" s="21" t="s">
        <v>6</v>
      </c>
      <c r="AA190" s="35" t="s">
        <v>1</v>
      </c>
      <c r="AB190" s="35" t="s">
        <v>1</v>
      </c>
      <c r="AC190" s="1" t="s">
        <v>20</v>
      </c>
    </row>
    <row r="191" spans="1:29">
      <c r="A191" s="35" t="s">
        <v>8</v>
      </c>
      <c r="B191" s="35" t="s">
        <v>180</v>
      </c>
      <c r="C191" s="35" t="s">
        <v>60</v>
      </c>
      <c r="D191" s="36">
        <v>305</v>
      </c>
      <c r="E191" s="12">
        <v>44.12</v>
      </c>
      <c r="F191" s="21">
        <v>10.135714285714286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46">
        <v>482.81</v>
      </c>
      <c r="M191" s="21">
        <v>1.3620000000000001</v>
      </c>
      <c r="N191" s="47">
        <v>9.0399999999999991</v>
      </c>
      <c r="O191" s="12">
        <v>0</v>
      </c>
      <c r="P191" s="35">
        <v>100</v>
      </c>
      <c r="Q191" s="35">
        <v>60</v>
      </c>
      <c r="R191" s="35">
        <v>30</v>
      </c>
      <c r="S191" s="35">
        <v>100</v>
      </c>
      <c r="T191" s="21">
        <v>3.6382608454492962</v>
      </c>
      <c r="U191" s="21">
        <v>0.36005747126436699</v>
      </c>
      <c r="V191" s="37">
        <v>0.84766584766584696</v>
      </c>
      <c r="W191" s="37">
        <v>2.3587223587223498</v>
      </c>
      <c r="X191" s="35">
        <v>120</v>
      </c>
      <c r="Y191" s="23" t="s">
        <v>6</v>
      </c>
      <c r="Z191" s="21">
        <v>0.19</v>
      </c>
      <c r="AA191" s="35">
        <v>30</v>
      </c>
      <c r="AB191" s="35" t="s">
        <v>1</v>
      </c>
      <c r="AC191" s="1" t="s">
        <v>20</v>
      </c>
    </row>
    <row r="192" spans="1:29">
      <c r="A192" s="35" t="s">
        <v>8</v>
      </c>
      <c r="B192" s="35" t="s">
        <v>180</v>
      </c>
      <c r="C192" s="35" t="s">
        <v>60</v>
      </c>
      <c r="D192" s="36">
        <v>305</v>
      </c>
      <c r="E192" s="12">
        <v>44.12</v>
      </c>
      <c r="F192" s="21">
        <v>10.135714285714286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46">
        <v>482.81</v>
      </c>
      <c r="M192" s="21">
        <v>1.3620000000000001</v>
      </c>
      <c r="N192" s="47">
        <v>9.0399999999999991</v>
      </c>
      <c r="O192" s="12">
        <v>0</v>
      </c>
      <c r="P192" s="35">
        <v>100</v>
      </c>
      <c r="Q192" s="35">
        <v>60</v>
      </c>
      <c r="R192" s="35">
        <v>30</v>
      </c>
      <c r="S192" s="35">
        <v>100</v>
      </c>
      <c r="T192" s="21">
        <v>3.6382608454492962</v>
      </c>
      <c r="U192" s="21">
        <v>0.36005747126436699</v>
      </c>
      <c r="V192" s="37">
        <v>0.84766584766584696</v>
      </c>
      <c r="W192" s="37">
        <v>2.3587223587223498</v>
      </c>
      <c r="X192" s="35">
        <v>150</v>
      </c>
      <c r="Y192" s="23" t="s">
        <v>6</v>
      </c>
      <c r="Z192" s="21">
        <v>0.54999999999999993</v>
      </c>
      <c r="AA192" s="35">
        <v>30</v>
      </c>
      <c r="AB192" s="35" t="s">
        <v>1</v>
      </c>
      <c r="AC192" s="1" t="s">
        <v>20</v>
      </c>
    </row>
    <row r="193" spans="1:29">
      <c r="A193" s="35" t="s">
        <v>8</v>
      </c>
      <c r="B193" s="35" t="s">
        <v>180</v>
      </c>
      <c r="C193" s="35" t="s">
        <v>60</v>
      </c>
      <c r="D193" s="36">
        <v>305</v>
      </c>
      <c r="E193" s="12">
        <v>44.12</v>
      </c>
      <c r="F193" s="21">
        <v>10.135714285714286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46">
        <v>482.81</v>
      </c>
      <c r="M193" s="21">
        <v>1.3620000000000001</v>
      </c>
      <c r="N193" s="47">
        <v>9.0399999999999991</v>
      </c>
      <c r="O193" s="12">
        <v>0</v>
      </c>
      <c r="P193" s="35">
        <v>100</v>
      </c>
      <c r="Q193" s="35">
        <v>60</v>
      </c>
      <c r="R193" s="35">
        <v>30</v>
      </c>
      <c r="S193" s="35">
        <v>120</v>
      </c>
      <c r="T193" s="21">
        <v>2.8090355055431879</v>
      </c>
      <c r="U193" s="21">
        <v>0.278448275862068</v>
      </c>
      <c r="V193" s="37">
        <v>0.81081081081080697</v>
      </c>
      <c r="W193" s="37">
        <v>1.7690417690417699</v>
      </c>
      <c r="X193" s="35" t="s">
        <v>1</v>
      </c>
      <c r="Y193" s="23" t="s">
        <v>6</v>
      </c>
      <c r="Z193" s="21" t="s">
        <v>6</v>
      </c>
      <c r="AA193" s="35" t="s">
        <v>1</v>
      </c>
      <c r="AB193" s="35" t="s">
        <v>1</v>
      </c>
      <c r="AC193" s="1" t="s">
        <v>20</v>
      </c>
    </row>
    <row r="194" spans="1:29">
      <c r="A194" s="35" t="s">
        <v>8</v>
      </c>
      <c r="B194" s="35" t="s">
        <v>13</v>
      </c>
      <c r="C194" s="39" t="s">
        <v>68</v>
      </c>
      <c r="D194" s="36">
        <v>103</v>
      </c>
      <c r="E194" s="12">
        <v>19.689999999999998</v>
      </c>
      <c r="F194" s="21">
        <v>5.2714285714285722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46">
        <v>482.81</v>
      </c>
      <c r="M194" s="21">
        <v>1.3620000000000001</v>
      </c>
      <c r="N194" s="47">
        <v>9.0399999999999991</v>
      </c>
      <c r="O194" s="12">
        <v>0</v>
      </c>
      <c r="P194" s="35">
        <v>100</v>
      </c>
      <c r="Q194" s="35">
        <v>60</v>
      </c>
      <c r="R194" s="35">
        <v>30</v>
      </c>
      <c r="S194" s="35">
        <v>40</v>
      </c>
      <c r="T194" s="21">
        <v>0.98621334743177791</v>
      </c>
      <c r="U194" s="21">
        <v>0.189598689598689</v>
      </c>
      <c r="V194" s="37">
        <v>0.56371109806224895</v>
      </c>
      <c r="W194" s="37">
        <v>5.9189665296535301</v>
      </c>
      <c r="X194" s="35" t="s">
        <v>1</v>
      </c>
      <c r="Y194" s="23" t="s">
        <v>6</v>
      </c>
      <c r="Z194" s="21" t="s">
        <v>6</v>
      </c>
      <c r="AA194" s="35" t="s">
        <v>1</v>
      </c>
      <c r="AB194" s="35" t="s">
        <v>1</v>
      </c>
      <c r="AC194" s="1" t="s">
        <v>20</v>
      </c>
    </row>
    <row r="195" spans="1:29">
      <c r="A195" s="35" t="s">
        <v>8</v>
      </c>
      <c r="B195" s="35" t="s">
        <v>13</v>
      </c>
      <c r="C195" s="39" t="s">
        <v>68</v>
      </c>
      <c r="D195" s="36">
        <v>103</v>
      </c>
      <c r="E195" s="12">
        <v>19.689999999999998</v>
      </c>
      <c r="F195" s="21">
        <v>5.2714285714285722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46">
        <v>482.81</v>
      </c>
      <c r="M195" s="21">
        <v>1.3620000000000001</v>
      </c>
      <c r="N195" s="47">
        <v>9.0399999999999991</v>
      </c>
      <c r="O195" s="12">
        <v>0</v>
      </c>
      <c r="P195" s="35">
        <v>100</v>
      </c>
      <c r="Q195" s="35">
        <v>60</v>
      </c>
      <c r="R195" s="35">
        <v>30</v>
      </c>
      <c r="S195" s="35">
        <v>60</v>
      </c>
      <c r="T195" s="21">
        <v>0.73792089316789056</v>
      </c>
      <c r="U195" s="21">
        <v>0.14029484029483999</v>
      </c>
      <c r="V195" s="37">
        <v>0.49324721080446499</v>
      </c>
      <c r="W195" s="37">
        <v>5.0733998825601399</v>
      </c>
      <c r="X195" s="35" t="s">
        <v>1</v>
      </c>
      <c r="Y195" s="23" t="s">
        <v>6</v>
      </c>
      <c r="Z195" s="21" t="s">
        <v>6</v>
      </c>
      <c r="AA195" s="35" t="s">
        <v>1</v>
      </c>
      <c r="AB195" s="35" t="s">
        <v>1</v>
      </c>
      <c r="AC195" s="1" t="s">
        <v>20</v>
      </c>
    </row>
    <row r="196" spans="1:29">
      <c r="A196" s="35" t="s">
        <v>8</v>
      </c>
      <c r="B196" s="35" t="s">
        <v>13</v>
      </c>
      <c r="C196" s="39" t="s">
        <v>68</v>
      </c>
      <c r="D196" s="36">
        <v>103</v>
      </c>
      <c r="E196" s="12">
        <v>19.689999999999998</v>
      </c>
      <c r="F196" s="21">
        <v>5.2714285714285722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46">
        <v>482.81</v>
      </c>
      <c r="M196" s="21">
        <v>1.3620000000000001</v>
      </c>
      <c r="N196" s="47">
        <v>9.0399999999999991</v>
      </c>
      <c r="O196" s="12">
        <v>0</v>
      </c>
      <c r="P196" s="35">
        <v>100</v>
      </c>
      <c r="Q196" s="35">
        <v>60</v>
      </c>
      <c r="R196" s="35">
        <v>30</v>
      </c>
      <c r="S196" s="35">
        <v>80</v>
      </c>
      <c r="T196" s="21">
        <v>0.7122354668647275</v>
      </c>
      <c r="U196" s="21">
        <v>0.136855036855036</v>
      </c>
      <c r="V196" s="37">
        <v>0.45801526717557101</v>
      </c>
      <c r="W196" s="37">
        <v>1.5502055196711799</v>
      </c>
      <c r="X196" s="35" t="s">
        <v>1</v>
      </c>
      <c r="Y196" s="23" t="s">
        <v>6</v>
      </c>
      <c r="Z196" s="21" t="s">
        <v>6</v>
      </c>
      <c r="AA196" s="35" t="s">
        <v>1</v>
      </c>
      <c r="AB196" s="35" t="s">
        <v>1</v>
      </c>
      <c r="AC196" s="1" t="s">
        <v>20</v>
      </c>
    </row>
    <row r="197" spans="1:29">
      <c r="A197" s="35" t="s">
        <v>8</v>
      </c>
      <c r="B197" s="35" t="s">
        <v>13</v>
      </c>
      <c r="C197" s="39" t="s">
        <v>68</v>
      </c>
      <c r="D197" s="36">
        <v>103</v>
      </c>
      <c r="E197" s="12">
        <v>19.689999999999998</v>
      </c>
      <c r="F197" s="21">
        <v>5.2714285714285722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46">
        <v>482.81</v>
      </c>
      <c r="M197" s="21">
        <v>1.3620000000000001</v>
      </c>
      <c r="N197" s="47">
        <v>9.0399999999999991</v>
      </c>
      <c r="O197" s="12">
        <v>0</v>
      </c>
      <c r="P197" s="35">
        <v>100</v>
      </c>
      <c r="Q197" s="35">
        <v>60</v>
      </c>
      <c r="R197" s="35">
        <v>30</v>
      </c>
      <c r="S197" s="35">
        <v>100</v>
      </c>
      <c r="T197" s="21">
        <v>0.50675205643944143</v>
      </c>
      <c r="U197" s="21">
        <v>9.4717444717444699E-2</v>
      </c>
      <c r="V197" s="37">
        <v>0.56371109806224595</v>
      </c>
      <c r="W197" s="37">
        <v>0.49324721080446199</v>
      </c>
      <c r="X197" s="35" t="s">
        <v>1</v>
      </c>
      <c r="Y197" s="23" t="s">
        <v>6</v>
      </c>
      <c r="Z197" s="21" t="s">
        <v>6</v>
      </c>
      <c r="AA197" s="35" t="s">
        <v>1</v>
      </c>
      <c r="AB197" s="35" t="s">
        <v>1</v>
      </c>
      <c r="AC197" s="1" t="s">
        <v>20</v>
      </c>
    </row>
    <row r="198" spans="1:29">
      <c r="A198" s="35" t="s">
        <v>8</v>
      </c>
      <c r="B198" s="35" t="s">
        <v>13</v>
      </c>
      <c r="C198" s="39" t="s">
        <v>68</v>
      </c>
      <c r="D198" s="36">
        <v>103</v>
      </c>
      <c r="E198" s="12">
        <v>19.689999999999998</v>
      </c>
      <c r="F198" s="21">
        <v>5.2714285714285722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46">
        <v>482.81</v>
      </c>
      <c r="M198" s="21">
        <v>1.3620000000000001</v>
      </c>
      <c r="N198" s="47">
        <v>9.0399999999999991</v>
      </c>
      <c r="O198" s="12">
        <v>0</v>
      </c>
      <c r="P198" s="35">
        <v>100</v>
      </c>
      <c r="Q198" s="35">
        <v>60</v>
      </c>
      <c r="R198" s="35">
        <v>30</v>
      </c>
      <c r="S198" s="35">
        <v>120</v>
      </c>
      <c r="T198" s="21">
        <v>0.28699896473462083</v>
      </c>
      <c r="U198" s="21">
        <v>5.6879606879606803E-2</v>
      </c>
      <c r="V198" s="37">
        <v>0.42278332354668502</v>
      </c>
      <c r="W198" s="37">
        <v>0.49324721080446499</v>
      </c>
      <c r="X198" s="35" t="s">
        <v>1</v>
      </c>
      <c r="Y198" s="23" t="s">
        <v>6</v>
      </c>
      <c r="Z198" s="21" t="s">
        <v>6</v>
      </c>
      <c r="AA198" s="35" t="s">
        <v>1</v>
      </c>
      <c r="AB198" s="35" t="s">
        <v>1</v>
      </c>
      <c r="AC198" s="1" t="s">
        <v>20</v>
      </c>
    </row>
    <row r="199" spans="1:29">
      <c r="A199" s="35" t="s">
        <v>8</v>
      </c>
      <c r="B199" s="35" t="s">
        <v>13</v>
      </c>
      <c r="C199" s="39" t="s">
        <v>68</v>
      </c>
      <c r="D199" s="36">
        <v>103</v>
      </c>
      <c r="E199" s="12">
        <v>34.65</v>
      </c>
      <c r="F199" s="21">
        <v>9.2857142857142865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46">
        <v>482.81</v>
      </c>
      <c r="M199" s="21">
        <v>1.3620000000000001</v>
      </c>
      <c r="N199" s="47">
        <v>9.0399999999999991</v>
      </c>
      <c r="O199" s="12">
        <v>0</v>
      </c>
      <c r="P199" s="35">
        <v>100</v>
      </c>
      <c r="Q199" s="35">
        <v>60</v>
      </c>
      <c r="R199" s="35">
        <v>30</v>
      </c>
      <c r="S199" s="35">
        <v>40</v>
      </c>
      <c r="T199" s="21">
        <v>0.8863255784750409</v>
      </c>
      <c r="U199" s="21">
        <v>8.8411138411138401E-2</v>
      </c>
      <c r="V199" s="37">
        <v>0.72948328267477003</v>
      </c>
      <c r="W199" s="37">
        <v>23.963525835865401</v>
      </c>
      <c r="X199" s="35" t="s">
        <v>1</v>
      </c>
      <c r="Y199" s="23" t="s">
        <v>6</v>
      </c>
      <c r="Z199" s="21" t="s">
        <v>6</v>
      </c>
      <c r="AA199" s="35" t="s">
        <v>1</v>
      </c>
      <c r="AB199" s="35" t="s">
        <v>1</v>
      </c>
      <c r="AC199" s="1" t="s">
        <v>20</v>
      </c>
    </row>
    <row r="200" spans="1:29">
      <c r="A200" s="35" t="s">
        <v>8</v>
      </c>
      <c r="B200" s="35" t="s">
        <v>13</v>
      </c>
      <c r="C200" s="39" t="s">
        <v>68</v>
      </c>
      <c r="D200" s="36">
        <v>103</v>
      </c>
      <c r="E200" s="12">
        <v>34.65</v>
      </c>
      <c r="F200" s="21">
        <v>9.2857142857142865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46">
        <v>482.81</v>
      </c>
      <c r="M200" s="21">
        <v>1.3620000000000001</v>
      </c>
      <c r="N200" s="47">
        <v>9.0399999999999991</v>
      </c>
      <c r="O200" s="12">
        <v>0</v>
      </c>
      <c r="P200" s="35">
        <v>100</v>
      </c>
      <c r="Q200" s="35">
        <v>60</v>
      </c>
      <c r="R200" s="35">
        <v>30</v>
      </c>
      <c r="S200" s="35">
        <v>60</v>
      </c>
      <c r="T200" s="21">
        <v>0.86920196093960034</v>
      </c>
      <c r="U200" s="21">
        <v>8.0384930384930303E-2</v>
      </c>
      <c r="V200" s="37">
        <v>0.72948328267476903</v>
      </c>
      <c r="W200" s="37">
        <v>55.477203647416303</v>
      </c>
      <c r="X200" s="35" t="s">
        <v>1</v>
      </c>
      <c r="Y200" s="23" t="s">
        <v>6</v>
      </c>
      <c r="Z200" s="21" t="s">
        <v>6</v>
      </c>
      <c r="AA200" s="35" t="s">
        <v>1</v>
      </c>
      <c r="AB200" s="35" t="s">
        <v>1</v>
      </c>
      <c r="AC200" s="1" t="s">
        <v>20</v>
      </c>
    </row>
    <row r="201" spans="1:29">
      <c r="A201" s="35" t="s">
        <v>8</v>
      </c>
      <c r="B201" s="35" t="s">
        <v>13</v>
      </c>
      <c r="C201" s="39" t="s">
        <v>68</v>
      </c>
      <c r="D201" s="36">
        <v>103</v>
      </c>
      <c r="E201" s="12">
        <v>34.65</v>
      </c>
      <c r="F201" s="21">
        <v>9.2857142857142865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46">
        <v>482.81</v>
      </c>
      <c r="M201" s="21">
        <v>1.3620000000000001</v>
      </c>
      <c r="N201" s="47">
        <v>9.0399999999999991</v>
      </c>
      <c r="O201" s="12">
        <v>0</v>
      </c>
      <c r="P201" s="35">
        <v>100</v>
      </c>
      <c r="Q201" s="35">
        <v>60</v>
      </c>
      <c r="R201" s="35">
        <v>30</v>
      </c>
      <c r="S201" s="35">
        <v>80</v>
      </c>
      <c r="T201" s="21">
        <v>0.72079727563244778</v>
      </c>
      <c r="U201" s="21">
        <v>7.1212121212121199E-2</v>
      </c>
      <c r="V201" s="37">
        <v>0.65653495440729603</v>
      </c>
      <c r="W201" s="37">
        <v>18.018237082066801</v>
      </c>
      <c r="X201" s="35" t="s">
        <v>1</v>
      </c>
      <c r="Y201" s="23" t="s">
        <v>6</v>
      </c>
      <c r="Z201" s="21" t="s">
        <v>6</v>
      </c>
      <c r="AA201" s="35" t="s">
        <v>1</v>
      </c>
      <c r="AB201" s="35" t="s">
        <v>1</v>
      </c>
      <c r="AC201" s="1" t="s">
        <v>20</v>
      </c>
    </row>
    <row r="202" spans="1:29">
      <c r="A202" s="35" t="s">
        <v>8</v>
      </c>
      <c r="B202" s="35" t="s">
        <v>13</v>
      </c>
      <c r="C202" s="39" t="s">
        <v>68</v>
      </c>
      <c r="D202" s="36">
        <v>103</v>
      </c>
      <c r="E202" s="12">
        <v>34.65</v>
      </c>
      <c r="F202" s="21">
        <v>9.2857142857142865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46">
        <v>482.81</v>
      </c>
      <c r="M202" s="21">
        <v>1.3620000000000001</v>
      </c>
      <c r="N202" s="47">
        <v>9.0399999999999991</v>
      </c>
      <c r="O202" s="12">
        <v>0</v>
      </c>
      <c r="P202" s="35">
        <v>100</v>
      </c>
      <c r="Q202" s="35">
        <v>60</v>
      </c>
      <c r="R202" s="35">
        <v>30</v>
      </c>
      <c r="S202" s="35">
        <v>100</v>
      </c>
      <c r="T202" s="21">
        <v>0.54385322776623068</v>
      </c>
      <c r="U202" s="21">
        <v>5.1146601146601203E-2</v>
      </c>
      <c r="V202" s="37">
        <v>0.62006079027355199</v>
      </c>
      <c r="W202" s="37">
        <v>16.4133738601824</v>
      </c>
      <c r="X202" s="35" t="s">
        <v>1</v>
      </c>
      <c r="Y202" s="23" t="s">
        <v>6</v>
      </c>
      <c r="Z202" s="21" t="s">
        <v>6</v>
      </c>
      <c r="AA202" s="35" t="s">
        <v>1</v>
      </c>
      <c r="AB202" s="35" t="s">
        <v>1</v>
      </c>
      <c r="AC202" s="1" t="s">
        <v>20</v>
      </c>
    </row>
    <row r="203" spans="1:29">
      <c r="A203" s="35" t="s">
        <v>8</v>
      </c>
      <c r="B203" s="35" t="s">
        <v>13</v>
      </c>
      <c r="C203" s="39" t="s">
        <v>68</v>
      </c>
      <c r="D203" s="36">
        <v>103</v>
      </c>
      <c r="E203" s="12">
        <v>34.65</v>
      </c>
      <c r="F203" s="21">
        <v>9.2857142857142865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46">
        <v>482.81</v>
      </c>
      <c r="M203" s="21">
        <v>1.3620000000000001</v>
      </c>
      <c r="N203" s="47">
        <v>9.0399999999999991</v>
      </c>
      <c r="O203" s="12">
        <v>0</v>
      </c>
      <c r="P203" s="35">
        <v>100</v>
      </c>
      <c r="Q203" s="35">
        <v>60</v>
      </c>
      <c r="R203" s="35">
        <v>30</v>
      </c>
      <c r="S203" s="35">
        <v>120</v>
      </c>
      <c r="T203" s="21">
        <v>0.15571789696291236</v>
      </c>
      <c r="U203" s="21">
        <v>1.0155610155610201E-2</v>
      </c>
      <c r="V203" s="37">
        <v>0.43768996960485701</v>
      </c>
      <c r="W203" s="37">
        <v>0.4741641337386</v>
      </c>
      <c r="X203" s="35" t="s">
        <v>1</v>
      </c>
      <c r="Y203" s="23" t="s">
        <v>6</v>
      </c>
      <c r="Z203" s="21" t="s">
        <v>6</v>
      </c>
      <c r="AA203" s="35" t="s">
        <v>1</v>
      </c>
      <c r="AB203" s="35" t="s">
        <v>1</v>
      </c>
      <c r="AC203" s="1" t="s">
        <v>20</v>
      </c>
    </row>
    <row r="204" spans="1:29">
      <c r="A204" s="35" t="s">
        <v>8</v>
      </c>
      <c r="B204" s="35" t="s">
        <v>13</v>
      </c>
      <c r="C204" s="39" t="s">
        <v>68</v>
      </c>
      <c r="D204" s="36">
        <v>103</v>
      </c>
      <c r="E204" s="12">
        <v>47.099999999999994</v>
      </c>
      <c r="F204" s="21">
        <v>12.692857142857141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46">
        <v>482.81</v>
      </c>
      <c r="M204" s="21">
        <v>1.3620000000000001</v>
      </c>
      <c r="N204" s="47">
        <v>9.0399999999999991</v>
      </c>
      <c r="O204" s="12">
        <v>0</v>
      </c>
      <c r="P204" s="35">
        <v>100</v>
      </c>
      <c r="Q204" s="35">
        <v>60</v>
      </c>
      <c r="R204" s="35">
        <v>30</v>
      </c>
      <c r="S204" s="35">
        <v>40</v>
      </c>
      <c r="T204" s="21">
        <v>0.80641536330965025</v>
      </c>
      <c r="U204" s="21">
        <v>7.0065520065520095E-2</v>
      </c>
      <c r="V204" s="37">
        <v>0.59479553903345905</v>
      </c>
      <c r="W204" s="37">
        <v>2.0446096654275001</v>
      </c>
      <c r="X204" s="35" t="s">
        <v>1</v>
      </c>
      <c r="Y204" s="23" t="s">
        <v>6</v>
      </c>
      <c r="Z204" s="21" t="s">
        <v>6</v>
      </c>
      <c r="AA204" s="35" t="s">
        <v>1</v>
      </c>
      <c r="AB204" s="35" t="s">
        <v>1</v>
      </c>
      <c r="AC204" s="1" t="s">
        <v>20</v>
      </c>
    </row>
    <row r="205" spans="1:29">
      <c r="A205" s="35" t="s">
        <v>8</v>
      </c>
      <c r="B205" s="35" t="s">
        <v>13</v>
      </c>
      <c r="C205" s="39" t="s">
        <v>68</v>
      </c>
      <c r="D205" s="36">
        <v>103</v>
      </c>
      <c r="E205" s="12">
        <v>47.099999999999994</v>
      </c>
      <c r="F205" s="21">
        <v>12.692857142857141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46">
        <v>482.81</v>
      </c>
      <c r="M205" s="21">
        <v>1.3620000000000001</v>
      </c>
      <c r="N205" s="47">
        <v>9.0399999999999991</v>
      </c>
      <c r="O205" s="12">
        <v>0</v>
      </c>
      <c r="P205" s="35">
        <v>100</v>
      </c>
      <c r="Q205" s="35">
        <v>60</v>
      </c>
      <c r="R205" s="35">
        <v>30</v>
      </c>
      <c r="S205" s="35">
        <v>60</v>
      </c>
      <c r="T205" s="21">
        <v>0.73792089316788834</v>
      </c>
      <c r="U205" s="21">
        <v>6.8345618345618295E-2</v>
      </c>
      <c r="V205" s="37">
        <v>0.55762081784386497</v>
      </c>
      <c r="W205" s="37">
        <v>1.0037174721189499</v>
      </c>
      <c r="X205" s="35" t="s">
        <v>1</v>
      </c>
      <c r="Y205" s="23" t="s">
        <v>6</v>
      </c>
      <c r="Z205" s="21" t="s">
        <v>6</v>
      </c>
      <c r="AA205" s="35" t="s">
        <v>1</v>
      </c>
      <c r="AB205" s="35" t="s">
        <v>1</v>
      </c>
      <c r="AC205" s="1" t="s">
        <v>20</v>
      </c>
    </row>
    <row r="206" spans="1:29">
      <c r="A206" s="35" t="s">
        <v>8</v>
      </c>
      <c r="B206" s="35" t="s">
        <v>13</v>
      </c>
      <c r="C206" s="39" t="s">
        <v>68</v>
      </c>
      <c r="D206" s="36">
        <v>103</v>
      </c>
      <c r="E206" s="12">
        <v>47.099999999999994</v>
      </c>
      <c r="F206" s="21">
        <v>12.692857142857141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46">
        <v>482.81</v>
      </c>
      <c r="M206" s="21">
        <v>1.3620000000000001</v>
      </c>
      <c r="N206" s="47">
        <v>9.0399999999999991</v>
      </c>
      <c r="O206" s="12">
        <v>0</v>
      </c>
      <c r="P206" s="35">
        <v>100</v>
      </c>
      <c r="Q206" s="35">
        <v>60</v>
      </c>
      <c r="R206" s="35">
        <v>30</v>
      </c>
      <c r="S206" s="35">
        <v>80</v>
      </c>
      <c r="T206" s="21">
        <v>0.64088706046705957</v>
      </c>
      <c r="U206" s="21">
        <v>5.8886158886158897E-2</v>
      </c>
      <c r="V206" s="37">
        <v>0.52044609665427899</v>
      </c>
      <c r="W206" s="37">
        <v>0.89219330855018697</v>
      </c>
      <c r="X206" s="35" t="s">
        <v>1</v>
      </c>
      <c r="Y206" s="23" t="s">
        <v>6</v>
      </c>
      <c r="Z206" s="21" t="s">
        <v>6</v>
      </c>
      <c r="AA206" s="35" t="s">
        <v>1</v>
      </c>
      <c r="AB206" s="35" t="s">
        <v>1</v>
      </c>
      <c r="AC206" s="1" t="s">
        <v>20</v>
      </c>
    </row>
    <row r="207" spans="1:29" ht="14.55" customHeight="1">
      <c r="A207" s="35" t="s">
        <v>8</v>
      </c>
      <c r="B207" s="35" t="s">
        <v>13</v>
      </c>
      <c r="C207" s="39" t="s">
        <v>68</v>
      </c>
      <c r="D207" s="36">
        <v>103</v>
      </c>
      <c r="E207" s="12">
        <v>47.099999999999994</v>
      </c>
      <c r="F207" s="21">
        <v>12.692857142857141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46">
        <v>482.81</v>
      </c>
      <c r="M207" s="21">
        <v>1.3620000000000001</v>
      </c>
      <c r="N207" s="47">
        <v>9.0399999999999991</v>
      </c>
      <c r="O207" s="12">
        <v>0</v>
      </c>
      <c r="P207" s="35">
        <v>100</v>
      </c>
      <c r="Q207" s="35">
        <v>60</v>
      </c>
      <c r="R207" s="35">
        <v>30</v>
      </c>
      <c r="S207" s="35">
        <v>100</v>
      </c>
      <c r="T207" s="21">
        <v>0.46394301260084009</v>
      </c>
      <c r="U207" s="21">
        <v>4.2547092547092498E-2</v>
      </c>
      <c r="V207" s="37">
        <v>0.55762081784386897</v>
      </c>
      <c r="W207" s="37">
        <v>0.59479553903345905</v>
      </c>
      <c r="X207" s="35" t="s">
        <v>1</v>
      </c>
      <c r="Y207" s="23" t="s">
        <v>6</v>
      </c>
      <c r="Z207" s="21" t="s">
        <v>6</v>
      </c>
      <c r="AA207" s="35" t="s">
        <v>1</v>
      </c>
      <c r="AB207" s="35" t="s">
        <v>1</v>
      </c>
      <c r="AC207" s="1" t="s">
        <v>20</v>
      </c>
    </row>
    <row r="208" spans="1:29">
      <c r="A208" s="35" t="s">
        <v>8</v>
      </c>
      <c r="B208" s="35" t="s">
        <v>13</v>
      </c>
      <c r="C208" s="39" t="s">
        <v>68</v>
      </c>
      <c r="D208" s="36">
        <v>103</v>
      </c>
      <c r="E208" s="12">
        <v>47.099999999999994</v>
      </c>
      <c r="F208" s="21">
        <v>12.692857142857141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46">
        <v>482.81</v>
      </c>
      <c r="M208" s="21">
        <v>1.3620000000000001</v>
      </c>
      <c r="N208" s="47">
        <v>9.0399999999999991</v>
      </c>
      <c r="O208" s="12">
        <v>0</v>
      </c>
      <c r="P208" s="35">
        <v>100</v>
      </c>
      <c r="Q208" s="35">
        <v>60</v>
      </c>
      <c r="R208" s="35">
        <v>30</v>
      </c>
      <c r="S208" s="35">
        <v>120</v>
      </c>
      <c r="T208" s="21">
        <v>7.580768179752316E-2</v>
      </c>
      <c r="U208" s="21">
        <v>1.2162162162162199E-2</v>
      </c>
      <c r="V208" s="37">
        <v>0.40892193308549801</v>
      </c>
      <c r="W208" s="37">
        <v>0.44609665427509498</v>
      </c>
      <c r="X208" s="35" t="s">
        <v>1</v>
      </c>
      <c r="Y208" s="23" t="s">
        <v>6</v>
      </c>
      <c r="Z208" s="21" t="s">
        <v>6</v>
      </c>
      <c r="AA208" s="35" t="s">
        <v>1</v>
      </c>
      <c r="AB208" s="35" t="s">
        <v>1</v>
      </c>
      <c r="AC208" s="2" t="s">
        <v>20</v>
      </c>
    </row>
    <row r="209" spans="1:29">
      <c r="A209" s="35" t="s">
        <v>16</v>
      </c>
      <c r="B209" s="35" t="s">
        <v>180</v>
      </c>
      <c r="C209" s="35" t="s">
        <v>60</v>
      </c>
      <c r="D209" s="36">
        <v>305</v>
      </c>
      <c r="E209" s="12">
        <v>19.510000000000002</v>
      </c>
      <c r="F209" s="48">
        <v>4.29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6">
        <v>1005.12</v>
      </c>
      <c r="M209" s="21">
        <v>1.1299999999999999</v>
      </c>
      <c r="N209" s="21">
        <v>3.18</v>
      </c>
      <c r="O209" s="12">
        <v>0</v>
      </c>
      <c r="P209" s="35">
        <v>100</v>
      </c>
      <c r="Q209" s="35">
        <v>60</v>
      </c>
      <c r="R209" s="35">
        <v>30</v>
      </c>
      <c r="S209" s="35">
        <v>40</v>
      </c>
      <c r="T209" s="21">
        <v>0.94935018121344927</v>
      </c>
      <c r="U209" s="21">
        <v>0.12579075425790701</v>
      </c>
      <c r="V209" s="37">
        <v>0.87066246056782504</v>
      </c>
      <c r="W209" s="37">
        <v>9.6529968454259105</v>
      </c>
      <c r="X209" s="35" t="s">
        <v>1</v>
      </c>
      <c r="Y209" s="23" t="s">
        <v>6</v>
      </c>
      <c r="Z209" s="21" t="s">
        <v>6</v>
      </c>
      <c r="AA209" s="35" t="s">
        <v>1</v>
      </c>
      <c r="AB209" s="35" t="s">
        <v>1</v>
      </c>
      <c r="AC209" s="1" t="s">
        <v>20</v>
      </c>
    </row>
    <row r="210" spans="1:29">
      <c r="A210" s="35" t="s">
        <v>16</v>
      </c>
      <c r="B210" s="35" t="s">
        <v>180</v>
      </c>
      <c r="C210" s="35" t="s">
        <v>60</v>
      </c>
      <c r="D210" s="36">
        <v>305</v>
      </c>
      <c r="E210" s="12">
        <v>19.510000000000002</v>
      </c>
      <c r="F210" s="48">
        <v>4.29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6">
        <v>1005.12</v>
      </c>
      <c r="M210" s="21">
        <v>1.1299999999999999</v>
      </c>
      <c r="N210" s="21">
        <v>3.18</v>
      </c>
      <c r="O210" s="12">
        <v>0</v>
      </c>
      <c r="P210" s="35">
        <v>100</v>
      </c>
      <c r="Q210" s="35">
        <v>60</v>
      </c>
      <c r="R210" s="35">
        <v>30</v>
      </c>
      <c r="S210" s="35">
        <v>60</v>
      </c>
      <c r="T210" s="21">
        <v>0.73564071922701857</v>
      </c>
      <c r="U210" s="21">
        <v>0.160137875101378</v>
      </c>
      <c r="V210" s="37">
        <v>0.71924290220820097</v>
      </c>
      <c r="W210" s="37">
        <v>5.4511041009462096</v>
      </c>
      <c r="X210" s="35" t="s">
        <v>1</v>
      </c>
      <c r="Y210" s="23" t="s">
        <v>6</v>
      </c>
      <c r="Z210" s="21" t="s">
        <v>6</v>
      </c>
      <c r="AA210" s="35" t="s">
        <v>1</v>
      </c>
      <c r="AB210" s="35" t="s">
        <v>1</v>
      </c>
      <c r="AC210" s="1" t="s">
        <v>20</v>
      </c>
    </row>
    <row r="211" spans="1:29">
      <c r="A211" s="35" t="s">
        <v>21</v>
      </c>
      <c r="B211" s="35" t="s">
        <v>180</v>
      </c>
      <c r="C211" s="35" t="s">
        <v>60</v>
      </c>
      <c r="D211" s="36">
        <v>305</v>
      </c>
      <c r="E211" s="12">
        <v>19.509999999999998</v>
      </c>
      <c r="F211" s="48">
        <v>4.29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6">
        <v>1005.12</v>
      </c>
      <c r="M211" s="21">
        <v>1.1299999999999999</v>
      </c>
      <c r="N211" s="21">
        <v>3.18</v>
      </c>
      <c r="O211" s="12">
        <v>0</v>
      </c>
      <c r="P211" s="35">
        <v>100</v>
      </c>
      <c r="Q211" s="35">
        <v>60</v>
      </c>
      <c r="R211" s="35">
        <v>30</v>
      </c>
      <c r="S211" s="35">
        <v>80</v>
      </c>
      <c r="T211" s="21">
        <v>0.58144528462921663</v>
      </c>
      <c r="U211" s="21">
        <v>0.16581508515814999</v>
      </c>
      <c r="V211" s="37">
        <v>0.64353312302839405</v>
      </c>
      <c r="W211" s="37">
        <v>4.6182965299684797</v>
      </c>
      <c r="X211" s="35" t="s">
        <v>1</v>
      </c>
      <c r="Y211" s="23" t="s">
        <v>6</v>
      </c>
      <c r="Z211" s="21" t="s">
        <v>6</v>
      </c>
      <c r="AA211" s="35" t="s">
        <v>1</v>
      </c>
      <c r="AB211" s="35" t="s">
        <v>1</v>
      </c>
      <c r="AC211" s="1" t="s">
        <v>24</v>
      </c>
    </row>
    <row r="212" spans="1:29">
      <c r="A212" s="35" t="s">
        <v>21</v>
      </c>
      <c r="B212" s="35" t="s">
        <v>180</v>
      </c>
      <c r="C212" s="35" t="s">
        <v>60</v>
      </c>
      <c r="D212" s="36">
        <v>305</v>
      </c>
      <c r="E212" s="12">
        <v>19.509999999999998</v>
      </c>
      <c r="F212" s="48">
        <v>4.29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6">
        <v>1005.12</v>
      </c>
      <c r="M212" s="21">
        <v>1.1299999999999999</v>
      </c>
      <c r="N212" s="21">
        <v>3.18</v>
      </c>
      <c r="O212" s="12">
        <v>0</v>
      </c>
      <c r="P212" s="35">
        <v>100</v>
      </c>
      <c r="Q212" s="35">
        <v>60</v>
      </c>
      <c r="R212" s="35">
        <v>30</v>
      </c>
      <c r="S212" s="35">
        <v>100</v>
      </c>
      <c r="T212" s="21">
        <v>0.40019801940021799</v>
      </c>
      <c r="U212" s="21">
        <v>0.12323600973236</v>
      </c>
      <c r="V212" s="37">
        <v>0.60567823343848504</v>
      </c>
      <c r="W212" s="37">
        <v>3.0283911671924102</v>
      </c>
      <c r="X212" s="35" t="s">
        <v>1</v>
      </c>
      <c r="Y212" s="23" t="s">
        <v>6</v>
      </c>
      <c r="Z212" s="21" t="s">
        <v>6</v>
      </c>
      <c r="AA212" s="35" t="s">
        <v>1</v>
      </c>
      <c r="AB212" s="35" t="s">
        <v>1</v>
      </c>
      <c r="AC212" s="1" t="s">
        <v>24</v>
      </c>
    </row>
    <row r="213" spans="1:29">
      <c r="A213" s="35" t="s">
        <v>21</v>
      </c>
      <c r="B213" s="35" t="s">
        <v>180</v>
      </c>
      <c r="C213" s="35" t="s">
        <v>60</v>
      </c>
      <c r="D213" s="36">
        <v>305</v>
      </c>
      <c r="E213" s="12">
        <v>19.509999999999998</v>
      </c>
      <c r="F213" s="48">
        <v>4.29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6">
        <v>1005.12</v>
      </c>
      <c r="M213" s="21">
        <v>1.1299999999999999</v>
      </c>
      <c r="N213" s="21">
        <v>3.18</v>
      </c>
      <c r="O213" s="12">
        <v>0</v>
      </c>
      <c r="P213" s="35">
        <v>100</v>
      </c>
      <c r="Q213" s="35">
        <v>60</v>
      </c>
      <c r="R213" s="35">
        <v>30</v>
      </c>
      <c r="S213" s="35">
        <v>120</v>
      </c>
      <c r="T213" s="21">
        <v>0.29740106300168256</v>
      </c>
      <c r="U213" s="21">
        <v>7.4979724249797305E-2</v>
      </c>
      <c r="V213" s="37">
        <v>0.60567823343848504</v>
      </c>
      <c r="W213" s="37">
        <v>1.8170347003154499</v>
      </c>
      <c r="X213" s="35" t="s">
        <v>1</v>
      </c>
      <c r="Y213" s="23" t="s">
        <v>6</v>
      </c>
      <c r="Z213" s="21" t="s">
        <v>6</v>
      </c>
      <c r="AA213" s="35" t="s">
        <v>1</v>
      </c>
      <c r="AB213" s="35" t="s">
        <v>1</v>
      </c>
      <c r="AC213" s="1" t="s">
        <v>24</v>
      </c>
    </row>
    <row r="214" spans="1:29">
      <c r="A214" s="35" t="s">
        <v>16</v>
      </c>
      <c r="B214" s="35" t="s">
        <v>180</v>
      </c>
      <c r="C214" s="35" t="s">
        <v>60</v>
      </c>
      <c r="D214" s="36">
        <v>305</v>
      </c>
      <c r="E214" s="12">
        <v>34.22</v>
      </c>
      <c r="F214" s="48">
        <v>7.98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6">
        <v>1005.12</v>
      </c>
      <c r="M214" s="21">
        <v>1.1299999999999999</v>
      </c>
      <c r="N214" s="21">
        <v>3.18</v>
      </c>
      <c r="O214" s="12">
        <v>0</v>
      </c>
      <c r="P214" s="35">
        <v>100</v>
      </c>
      <c r="Q214" s="35">
        <v>60</v>
      </c>
      <c r="R214" s="35">
        <v>30</v>
      </c>
      <c r="S214" s="35">
        <v>40</v>
      </c>
      <c r="T214" s="21">
        <v>0.49758460967251589</v>
      </c>
      <c r="U214" s="21">
        <v>0.181143552311435</v>
      </c>
      <c r="V214" s="37">
        <v>2.9981261711431002</v>
      </c>
      <c r="W214" s="37">
        <v>29.981261711429699</v>
      </c>
      <c r="X214" s="35" t="s">
        <v>1</v>
      </c>
      <c r="Y214" s="23" t="s">
        <v>6</v>
      </c>
      <c r="Z214" s="21" t="s">
        <v>6</v>
      </c>
      <c r="AA214" s="35" t="s">
        <v>1</v>
      </c>
      <c r="AB214" s="35" t="s">
        <v>1</v>
      </c>
      <c r="AC214" s="1" t="s">
        <v>24</v>
      </c>
    </row>
    <row r="215" spans="1:29" s="44" customFormat="1" ht="13.8">
      <c r="A215" s="35" t="s">
        <v>16</v>
      </c>
      <c r="B215" s="35" t="s">
        <v>180</v>
      </c>
      <c r="C215" s="35" t="s">
        <v>60</v>
      </c>
      <c r="D215" s="36">
        <v>305</v>
      </c>
      <c r="E215" s="12">
        <v>34.22</v>
      </c>
      <c r="F215" s="48">
        <v>7.98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6">
        <v>1005.12</v>
      </c>
      <c r="M215" s="21">
        <v>1.1299999999999999</v>
      </c>
      <c r="N215" s="21">
        <v>3.18</v>
      </c>
      <c r="O215" s="12">
        <v>0</v>
      </c>
      <c r="P215" s="35">
        <v>100</v>
      </c>
      <c r="Q215" s="35">
        <v>60</v>
      </c>
      <c r="R215" s="35">
        <v>30</v>
      </c>
      <c r="S215" s="35">
        <v>60</v>
      </c>
      <c r="T215" s="21">
        <v>0.84384804175179384</v>
      </c>
      <c r="U215" s="21">
        <v>0.20328467153284599</v>
      </c>
      <c r="V215" s="37">
        <v>2.3985009369144099</v>
      </c>
      <c r="W215" s="37">
        <v>34.478450968144401</v>
      </c>
      <c r="X215" s="35" t="s">
        <v>1</v>
      </c>
      <c r="Y215" s="23" t="s">
        <v>6</v>
      </c>
      <c r="Z215" s="21" t="s">
        <v>6</v>
      </c>
      <c r="AA215" s="35" t="s">
        <v>1</v>
      </c>
      <c r="AB215" s="35" t="s">
        <v>1</v>
      </c>
      <c r="AC215" s="1" t="s">
        <v>24</v>
      </c>
    </row>
    <row r="216" spans="1:29">
      <c r="A216" s="35" t="s">
        <v>16</v>
      </c>
      <c r="B216" s="35" t="s">
        <v>180</v>
      </c>
      <c r="C216" s="35" t="s">
        <v>60</v>
      </c>
      <c r="D216" s="36">
        <v>305</v>
      </c>
      <c r="E216" s="12">
        <v>34.22</v>
      </c>
      <c r="F216" s="48">
        <v>7.98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6">
        <v>1005.12</v>
      </c>
      <c r="M216" s="21">
        <v>1.1299999999999999</v>
      </c>
      <c r="N216" s="21">
        <v>3.18</v>
      </c>
      <c r="O216" s="12">
        <v>0</v>
      </c>
      <c r="P216" s="35">
        <v>100</v>
      </c>
      <c r="Q216" s="35">
        <v>60</v>
      </c>
      <c r="R216" s="35">
        <v>30</v>
      </c>
      <c r="S216" s="35">
        <v>80</v>
      </c>
      <c r="T216" s="21">
        <v>1.3686535559969504</v>
      </c>
      <c r="U216" s="21">
        <v>0.19420113544201101</v>
      </c>
      <c r="V216" s="37">
        <v>0.89943785134290399</v>
      </c>
      <c r="W216" s="37">
        <v>24.059962523423199</v>
      </c>
      <c r="X216" s="35" t="s">
        <v>1</v>
      </c>
      <c r="Y216" s="23" t="s">
        <v>6</v>
      </c>
      <c r="Z216" s="21" t="s">
        <v>6</v>
      </c>
      <c r="AA216" s="35" t="s">
        <v>1</v>
      </c>
      <c r="AB216" s="35" t="s">
        <v>1</v>
      </c>
      <c r="AC216" s="1" t="s">
        <v>24</v>
      </c>
    </row>
    <row r="217" spans="1:29">
      <c r="A217" s="35" t="s">
        <v>16</v>
      </c>
      <c r="B217" s="35" t="s">
        <v>180</v>
      </c>
      <c r="C217" s="35" t="s">
        <v>60</v>
      </c>
      <c r="D217" s="36">
        <v>305</v>
      </c>
      <c r="E217" s="12">
        <v>34.22</v>
      </c>
      <c r="F217" s="48">
        <v>7.98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6">
        <v>1005.12</v>
      </c>
      <c r="M217" s="21">
        <v>1.1299999999999999</v>
      </c>
      <c r="N217" s="21">
        <v>3.18</v>
      </c>
      <c r="O217" s="12">
        <v>0</v>
      </c>
      <c r="P217" s="35">
        <v>100</v>
      </c>
      <c r="Q217" s="35">
        <v>60</v>
      </c>
      <c r="R217" s="35">
        <v>30</v>
      </c>
      <c r="S217" s="35">
        <v>100</v>
      </c>
      <c r="T217" s="21">
        <v>1.9042798024945846</v>
      </c>
      <c r="U217" s="21">
        <v>0.185117599351176</v>
      </c>
      <c r="V217" s="37">
        <v>0.74953154278575096</v>
      </c>
      <c r="W217" s="37">
        <v>15.0655840099937</v>
      </c>
      <c r="X217" s="35" t="s">
        <v>1</v>
      </c>
      <c r="Y217" s="23" t="s">
        <v>6</v>
      </c>
      <c r="Z217" s="21" t="s">
        <v>6</v>
      </c>
      <c r="AA217" s="35" t="s">
        <v>1</v>
      </c>
      <c r="AB217" s="35" t="s">
        <v>1</v>
      </c>
      <c r="AC217" s="1" t="s">
        <v>24</v>
      </c>
    </row>
    <row r="218" spans="1:29">
      <c r="A218" s="35" t="s">
        <v>16</v>
      </c>
      <c r="B218" s="35" t="s">
        <v>180</v>
      </c>
      <c r="C218" s="35" t="s">
        <v>60</v>
      </c>
      <c r="D218" s="36">
        <v>305</v>
      </c>
      <c r="E218" s="12">
        <v>34.22</v>
      </c>
      <c r="F218" s="48">
        <v>7.98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6">
        <v>1005.12</v>
      </c>
      <c r="M218" s="21">
        <v>1.1299999999999999</v>
      </c>
      <c r="N218" s="21">
        <v>3.18</v>
      </c>
      <c r="O218" s="12">
        <v>0</v>
      </c>
      <c r="P218" s="35">
        <v>100</v>
      </c>
      <c r="Q218" s="35">
        <v>60</v>
      </c>
      <c r="R218" s="35">
        <v>30</v>
      </c>
      <c r="S218" s="35">
        <v>120</v>
      </c>
      <c r="T218" s="21">
        <v>1.5931837502358561</v>
      </c>
      <c r="U218" s="21">
        <v>0.126642335766423</v>
      </c>
      <c r="V218" s="37">
        <v>0.674578388507177</v>
      </c>
      <c r="W218" s="37">
        <v>1.42410993129262</v>
      </c>
      <c r="X218" s="35" t="s">
        <v>1</v>
      </c>
      <c r="Y218" s="23" t="s">
        <v>6</v>
      </c>
      <c r="Z218" s="21" t="s">
        <v>6</v>
      </c>
      <c r="AA218" s="35" t="s">
        <v>1</v>
      </c>
      <c r="AB218" s="35" t="s">
        <v>1</v>
      </c>
      <c r="AC218" s="1" t="s">
        <v>24</v>
      </c>
    </row>
    <row r="219" spans="1:29">
      <c r="A219" s="35" t="s">
        <v>16</v>
      </c>
      <c r="B219" s="35" t="s">
        <v>180</v>
      </c>
      <c r="C219" s="35" t="s">
        <v>60</v>
      </c>
      <c r="D219" s="36">
        <v>305</v>
      </c>
      <c r="E219" s="12">
        <v>44.1</v>
      </c>
      <c r="F219" s="48">
        <v>10.11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6">
        <v>1005.12</v>
      </c>
      <c r="M219" s="21">
        <v>1.1299999999999999</v>
      </c>
      <c r="N219" s="21">
        <v>3.18</v>
      </c>
      <c r="O219" s="12">
        <v>0</v>
      </c>
      <c r="P219" s="35">
        <v>100</v>
      </c>
      <c r="Q219" s="35">
        <v>60</v>
      </c>
      <c r="R219" s="35">
        <v>30</v>
      </c>
      <c r="S219" s="35">
        <v>40</v>
      </c>
      <c r="T219" s="21">
        <v>0.49487942660939599</v>
      </c>
      <c r="U219" s="21">
        <v>0.109610705596107</v>
      </c>
      <c r="V219" s="37">
        <v>1.3900015947915501</v>
      </c>
      <c r="W219" s="37">
        <v>23.788036561378402</v>
      </c>
      <c r="X219" s="35" t="s">
        <v>1</v>
      </c>
      <c r="Y219" s="23" t="s">
        <v>6</v>
      </c>
      <c r="Z219" s="21" t="s">
        <v>6</v>
      </c>
      <c r="AA219" s="35" t="s">
        <v>1</v>
      </c>
      <c r="AB219" s="35" t="s">
        <v>1</v>
      </c>
      <c r="AC219" s="1" t="s">
        <v>24</v>
      </c>
    </row>
    <row r="220" spans="1:29">
      <c r="A220" s="35" t="s">
        <v>16</v>
      </c>
      <c r="B220" s="35" t="s">
        <v>180</v>
      </c>
      <c r="C220" s="35" t="s">
        <v>60</v>
      </c>
      <c r="D220" s="36">
        <v>305</v>
      </c>
      <c r="E220" s="12">
        <v>44.1</v>
      </c>
      <c r="F220" s="48">
        <v>10.11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6">
        <v>1005.12</v>
      </c>
      <c r="M220" s="21">
        <v>1.1299999999999999</v>
      </c>
      <c r="N220" s="21">
        <v>3.18</v>
      </c>
      <c r="O220" s="12">
        <v>0</v>
      </c>
      <c r="P220" s="35">
        <v>100</v>
      </c>
      <c r="Q220" s="35">
        <v>60</v>
      </c>
      <c r="R220" s="35">
        <v>30</v>
      </c>
      <c r="S220" s="35">
        <v>60</v>
      </c>
      <c r="T220" s="21">
        <v>0.79785992967876485</v>
      </c>
      <c r="U220" s="21">
        <v>0.126642335766423</v>
      </c>
      <c r="V220" s="37">
        <v>1.23683906051133</v>
      </c>
      <c r="W220" s="37">
        <v>31.741168450644</v>
      </c>
      <c r="X220" s="35" t="s">
        <v>1</v>
      </c>
      <c r="Y220" s="23" t="s">
        <v>6</v>
      </c>
      <c r="Z220" s="21" t="s">
        <v>6</v>
      </c>
      <c r="AA220" s="35" t="s">
        <v>1</v>
      </c>
      <c r="AB220" s="35" t="s">
        <v>1</v>
      </c>
      <c r="AC220" s="1" t="s">
        <v>24</v>
      </c>
    </row>
    <row r="221" spans="1:29">
      <c r="A221" s="35" t="s">
        <v>16</v>
      </c>
      <c r="B221" s="35" t="s">
        <v>180</v>
      </c>
      <c r="C221" s="35" t="s">
        <v>60</v>
      </c>
      <c r="D221" s="36">
        <v>305</v>
      </c>
      <c r="E221" s="12">
        <v>44.1</v>
      </c>
      <c r="F221" s="48">
        <v>10.11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6">
        <v>1005.12</v>
      </c>
      <c r="M221" s="21">
        <v>1.1299999999999999</v>
      </c>
      <c r="N221" s="21">
        <v>3.18</v>
      </c>
      <c r="O221" s="12">
        <v>0</v>
      </c>
      <c r="P221" s="35">
        <v>100</v>
      </c>
      <c r="Q221" s="35">
        <v>60</v>
      </c>
      <c r="R221" s="35">
        <v>30</v>
      </c>
      <c r="S221" s="35">
        <v>80</v>
      </c>
      <c r="T221" s="21">
        <v>1.5715422857309016</v>
      </c>
      <c r="U221" s="21">
        <v>0.13118410381184101</v>
      </c>
      <c r="V221" s="37">
        <v>0.55220440850430197</v>
      </c>
      <c r="W221" s="37">
        <v>23.961962656860301</v>
      </c>
      <c r="X221" s="35" t="s">
        <v>1</v>
      </c>
      <c r="Y221" s="23" t="s">
        <v>6</v>
      </c>
      <c r="Z221" s="21" t="s">
        <v>6</v>
      </c>
      <c r="AA221" s="35" t="s">
        <v>1</v>
      </c>
      <c r="AB221" s="35" t="s">
        <v>1</v>
      </c>
      <c r="AC221" s="1" t="s">
        <v>24</v>
      </c>
    </row>
    <row r="222" spans="1:29">
      <c r="A222" s="35" t="s">
        <v>21</v>
      </c>
      <c r="B222" s="35" t="s">
        <v>180</v>
      </c>
      <c r="C222" s="35" t="s">
        <v>60</v>
      </c>
      <c r="D222" s="36">
        <v>305</v>
      </c>
      <c r="E222" s="12">
        <v>44.1</v>
      </c>
      <c r="F222" s="48">
        <v>10.11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6">
        <v>1005.12</v>
      </c>
      <c r="M222" s="21">
        <v>1.1299999999999999</v>
      </c>
      <c r="N222" s="21">
        <v>3.18</v>
      </c>
      <c r="O222" s="12">
        <v>0</v>
      </c>
      <c r="P222" s="35">
        <v>100</v>
      </c>
      <c r="Q222" s="35">
        <v>60</v>
      </c>
      <c r="R222" s="35">
        <v>30</v>
      </c>
      <c r="S222" s="35">
        <v>100</v>
      </c>
      <c r="T222" s="21">
        <v>2.3641609232248637</v>
      </c>
      <c r="U222" s="21">
        <v>0.10904298459042901</v>
      </c>
      <c r="V222" s="37">
        <v>0.65936814982285297</v>
      </c>
      <c r="W222" s="37">
        <v>17.841809181621901</v>
      </c>
      <c r="X222" s="35">
        <v>120</v>
      </c>
      <c r="Y222" s="23" t="s">
        <v>6</v>
      </c>
      <c r="Z222" s="21">
        <v>0.70000000000000007</v>
      </c>
      <c r="AA222" s="35">
        <v>30</v>
      </c>
      <c r="AB222" s="35" t="s">
        <v>1</v>
      </c>
      <c r="AC222" s="1" t="s">
        <v>24</v>
      </c>
    </row>
    <row r="223" spans="1:29">
      <c r="A223" s="35" t="s">
        <v>21</v>
      </c>
      <c r="B223" s="35" t="s">
        <v>180</v>
      </c>
      <c r="C223" s="35" t="s">
        <v>60</v>
      </c>
      <c r="D223" s="36">
        <v>305</v>
      </c>
      <c r="E223" s="12">
        <v>44.1</v>
      </c>
      <c r="F223" s="48">
        <v>10.11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6">
        <v>1005.12</v>
      </c>
      <c r="M223" s="21">
        <v>1.1299999999999999</v>
      </c>
      <c r="N223" s="21">
        <v>3.18</v>
      </c>
      <c r="O223" s="12">
        <v>0</v>
      </c>
      <c r="P223" s="35">
        <v>100</v>
      </c>
      <c r="Q223" s="35">
        <v>60</v>
      </c>
      <c r="R223" s="35">
        <v>30</v>
      </c>
      <c r="S223" s="35">
        <v>100</v>
      </c>
      <c r="T223" s="21">
        <v>2.3641609232248637</v>
      </c>
      <c r="U223" s="21">
        <v>0.10904298459042901</v>
      </c>
      <c r="V223" s="37">
        <v>0.65936814982285297</v>
      </c>
      <c r="W223" s="37">
        <v>17.841809181621901</v>
      </c>
      <c r="X223" s="35">
        <v>150</v>
      </c>
      <c r="Y223" s="23" t="s">
        <v>6</v>
      </c>
      <c r="Z223" s="21">
        <v>0.62</v>
      </c>
      <c r="AA223" s="35">
        <v>30</v>
      </c>
      <c r="AB223" s="35" t="s">
        <v>1</v>
      </c>
      <c r="AC223" s="1" t="s">
        <v>24</v>
      </c>
    </row>
    <row r="224" spans="1:29" ht="15" customHeight="1">
      <c r="A224" s="35" t="s">
        <v>21</v>
      </c>
      <c r="B224" s="35" t="s">
        <v>180</v>
      </c>
      <c r="C224" s="35" t="s">
        <v>60</v>
      </c>
      <c r="D224" s="36">
        <v>305</v>
      </c>
      <c r="E224" s="12">
        <v>44.1</v>
      </c>
      <c r="F224" s="48">
        <v>10.11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6">
        <v>1005.12</v>
      </c>
      <c r="M224" s="21">
        <v>1.1299999999999999</v>
      </c>
      <c r="N224" s="21">
        <v>3.18</v>
      </c>
      <c r="O224" s="12">
        <v>0</v>
      </c>
      <c r="P224" s="35">
        <v>100</v>
      </c>
      <c r="Q224" s="35">
        <v>60</v>
      </c>
      <c r="R224" s="35">
        <v>30</v>
      </c>
      <c r="S224" s="35">
        <v>120</v>
      </c>
      <c r="T224" s="21">
        <v>2.2180810378164306</v>
      </c>
      <c r="U224" s="21">
        <v>6.7031630170316298E-2</v>
      </c>
      <c r="V224" s="37">
        <v>0.47355929341351199</v>
      </c>
      <c r="W224" s="37">
        <v>1.47971643979972</v>
      </c>
      <c r="X224" s="35" t="s">
        <v>1</v>
      </c>
      <c r="Y224" s="23" t="s">
        <v>6</v>
      </c>
      <c r="Z224" s="21" t="s">
        <v>6</v>
      </c>
      <c r="AA224" s="35" t="s">
        <v>1</v>
      </c>
      <c r="AB224" s="35" t="s">
        <v>1</v>
      </c>
      <c r="AC224" s="1" t="s">
        <v>24</v>
      </c>
    </row>
    <row r="225" spans="1:29">
      <c r="A225" s="35" t="s">
        <v>16</v>
      </c>
      <c r="B225" s="35" t="s">
        <v>13</v>
      </c>
      <c r="C225" s="39" t="s">
        <v>68</v>
      </c>
      <c r="D225" s="36">
        <v>103</v>
      </c>
      <c r="E225" s="12">
        <v>19.12</v>
      </c>
      <c r="F225" s="21">
        <v>4.7714285714285714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6">
        <v>1005.12</v>
      </c>
      <c r="M225" s="21">
        <v>1.1299999999999999</v>
      </c>
      <c r="N225" s="21">
        <v>3.18</v>
      </c>
      <c r="O225" s="12">
        <v>0</v>
      </c>
      <c r="P225" s="35">
        <v>100</v>
      </c>
      <c r="Q225" s="35">
        <v>60</v>
      </c>
      <c r="R225" s="35">
        <v>30</v>
      </c>
      <c r="S225" s="35">
        <v>40</v>
      </c>
      <c r="T225" s="21">
        <v>0.60413398288057674</v>
      </c>
      <c r="U225" s="21">
        <v>0.12579075425790701</v>
      </c>
      <c r="V225" s="37">
        <v>4.50189155107193</v>
      </c>
      <c r="W225" s="37">
        <v>39.041614123579599</v>
      </c>
      <c r="X225" s="35" t="s">
        <v>1</v>
      </c>
      <c r="Y225" s="23" t="s">
        <v>6</v>
      </c>
      <c r="Z225" s="21" t="s">
        <v>6</v>
      </c>
      <c r="AA225" s="35" t="s">
        <v>1</v>
      </c>
      <c r="AB225" s="35" t="s">
        <v>1</v>
      </c>
      <c r="AC225" s="1" t="s">
        <v>24</v>
      </c>
    </row>
    <row r="226" spans="1:29">
      <c r="A226" s="35" t="s">
        <v>16</v>
      </c>
      <c r="B226" s="35" t="s">
        <v>13</v>
      </c>
      <c r="C226" s="39" t="s">
        <v>68</v>
      </c>
      <c r="D226" s="36">
        <v>103</v>
      </c>
      <c r="E226" s="12">
        <v>19.12</v>
      </c>
      <c r="F226" s="21">
        <v>4.7714285714285714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6">
        <v>1005.12</v>
      </c>
      <c r="M226" s="21">
        <v>1.1299999999999999</v>
      </c>
      <c r="N226" s="21">
        <v>3.18</v>
      </c>
      <c r="O226" s="12">
        <v>0</v>
      </c>
      <c r="P226" s="35">
        <v>100</v>
      </c>
      <c r="Q226" s="35">
        <v>60</v>
      </c>
      <c r="R226" s="35">
        <v>30</v>
      </c>
      <c r="S226" s="35">
        <v>60</v>
      </c>
      <c r="T226" s="21">
        <v>0.76376847494013622</v>
      </c>
      <c r="U226" s="21">
        <v>0.160137875101378</v>
      </c>
      <c r="V226" s="37">
        <v>2.0050441361916902</v>
      </c>
      <c r="W226" s="37">
        <v>20.2774274905439</v>
      </c>
      <c r="X226" s="35" t="s">
        <v>1</v>
      </c>
      <c r="Y226" s="23" t="s">
        <v>6</v>
      </c>
      <c r="Z226" s="21" t="s">
        <v>6</v>
      </c>
      <c r="AA226" s="35" t="s">
        <v>1</v>
      </c>
      <c r="AB226" s="35" t="s">
        <v>1</v>
      </c>
      <c r="AC226" s="1" t="s">
        <v>24</v>
      </c>
    </row>
    <row r="227" spans="1:29">
      <c r="A227" s="35" t="s">
        <v>21</v>
      </c>
      <c r="B227" s="35" t="s">
        <v>13</v>
      </c>
      <c r="C227" s="39" t="s">
        <v>68</v>
      </c>
      <c r="D227" s="36">
        <v>103</v>
      </c>
      <c r="E227" s="12">
        <v>19.12</v>
      </c>
      <c r="F227" s="21">
        <v>4.7714285714285714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6">
        <v>1005.12</v>
      </c>
      <c r="M227" s="21">
        <v>1.1299999999999999</v>
      </c>
      <c r="N227" s="21">
        <v>3.18</v>
      </c>
      <c r="O227" s="12">
        <v>0</v>
      </c>
      <c r="P227" s="35">
        <v>100</v>
      </c>
      <c r="Q227" s="35">
        <v>60</v>
      </c>
      <c r="R227" s="35">
        <v>30</v>
      </c>
      <c r="S227" s="35">
        <v>80</v>
      </c>
      <c r="T227" s="21">
        <v>0.79129166322626709</v>
      </c>
      <c r="U227" s="21">
        <v>0.16581508515814999</v>
      </c>
      <c r="V227" s="37">
        <v>0.71878940731400198</v>
      </c>
      <c r="W227" s="37">
        <v>6.0151324085750604</v>
      </c>
      <c r="X227" s="35" t="s">
        <v>1</v>
      </c>
      <c r="Y227" s="23" t="s">
        <v>6</v>
      </c>
      <c r="Z227" s="21" t="s">
        <v>6</v>
      </c>
      <c r="AA227" s="35" t="s">
        <v>1</v>
      </c>
      <c r="AB227" s="35" t="s">
        <v>1</v>
      </c>
      <c r="AC227" s="1" t="s">
        <v>24</v>
      </c>
    </row>
    <row r="228" spans="1:29">
      <c r="A228" s="35" t="s">
        <v>21</v>
      </c>
      <c r="B228" s="35" t="s">
        <v>13</v>
      </c>
      <c r="C228" s="39" t="s">
        <v>68</v>
      </c>
      <c r="D228" s="36">
        <v>103</v>
      </c>
      <c r="E228" s="12">
        <v>19.12</v>
      </c>
      <c r="F228" s="21">
        <v>4.7714285714285714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6">
        <v>1005.12</v>
      </c>
      <c r="M228" s="21">
        <v>1.1299999999999999</v>
      </c>
      <c r="N228" s="21">
        <v>3.18</v>
      </c>
      <c r="O228" s="12">
        <v>0</v>
      </c>
      <c r="P228" s="35">
        <v>100</v>
      </c>
      <c r="Q228" s="35">
        <v>60</v>
      </c>
      <c r="R228" s="35">
        <v>30</v>
      </c>
      <c r="S228" s="35">
        <v>100</v>
      </c>
      <c r="T228" s="21">
        <v>0.58762006990889648</v>
      </c>
      <c r="U228" s="21">
        <v>0.12323600973236</v>
      </c>
      <c r="V228" s="37">
        <v>0.49180327868852503</v>
      </c>
      <c r="W228" s="37">
        <v>2.5346784363177899</v>
      </c>
      <c r="X228" s="35" t="s">
        <v>1</v>
      </c>
      <c r="Y228" s="23" t="s">
        <v>6</v>
      </c>
      <c r="Z228" s="21" t="s">
        <v>6</v>
      </c>
      <c r="AA228" s="35" t="s">
        <v>1</v>
      </c>
      <c r="AB228" s="35" t="s">
        <v>1</v>
      </c>
      <c r="AC228" s="1" t="s">
        <v>24</v>
      </c>
    </row>
    <row r="229" spans="1:29">
      <c r="A229" s="35" t="s">
        <v>21</v>
      </c>
      <c r="B229" s="35" t="s">
        <v>13</v>
      </c>
      <c r="C229" s="39" t="s">
        <v>68</v>
      </c>
      <c r="D229" s="36">
        <v>103</v>
      </c>
      <c r="E229" s="12">
        <v>19.12</v>
      </c>
      <c r="F229" s="21">
        <v>4.7714285714285714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6">
        <v>1005.12</v>
      </c>
      <c r="M229" s="21">
        <v>1.1299999999999999</v>
      </c>
      <c r="N229" s="21">
        <v>3.18</v>
      </c>
      <c r="O229" s="12">
        <v>0</v>
      </c>
      <c r="P229" s="35">
        <v>100</v>
      </c>
      <c r="Q229" s="35">
        <v>60</v>
      </c>
      <c r="R229" s="35">
        <v>30</v>
      </c>
      <c r="S229" s="35">
        <v>120</v>
      </c>
      <c r="T229" s="21">
        <v>0.35367296947678245</v>
      </c>
      <c r="U229" s="21">
        <v>7.4979724249797305E-2</v>
      </c>
      <c r="V229" s="37">
        <v>0.52963430012610102</v>
      </c>
      <c r="W229" s="37">
        <v>0.56746532156368001</v>
      </c>
      <c r="X229" s="35" t="s">
        <v>1</v>
      </c>
      <c r="Y229" s="23" t="s">
        <v>6</v>
      </c>
      <c r="Z229" s="21" t="s">
        <v>6</v>
      </c>
      <c r="AA229" s="35" t="s">
        <v>1</v>
      </c>
      <c r="AB229" s="35" t="s">
        <v>1</v>
      </c>
      <c r="AC229" s="1" t="s">
        <v>24</v>
      </c>
    </row>
    <row r="230" spans="1:29">
      <c r="A230" s="35" t="s">
        <v>16</v>
      </c>
      <c r="B230" s="35" t="s">
        <v>13</v>
      </c>
      <c r="C230" s="39" t="s">
        <v>68</v>
      </c>
      <c r="D230" s="36">
        <v>103</v>
      </c>
      <c r="E230" s="12">
        <v>36.93</v>
      </c>
      <c r="F230" s="21">
        <v>9.9285714285714288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6">
        <v>1005.12</v>
      </c>
      <c r="M230" s="21">
        <v>1.1299999999999999</v>
      </c>
      <c r="N230" s="21">
        <v>3.18</v>
      </c>
      <c r="O230" s="12">
        <v>0</v>
      </c>
      <c r="P230" s="35">
        <v>100</v>
      </c>
      <c r="Q230" s="35">
        <v>60</v>
      </c>
      <c r="R230" s="35">
        <v>30</v>
      </c>
      <c r="S230" s="35">
        <v>40</v>
      </c>
      <c r="T230" s="21">
        <v>1.3857925302066985</v>
      </c>
      <c r="U230" s="21">
        <v>0.181143552311435</v>
      </c>
      <c r="V230" s="37">
        <v>2.6665340022413302</v>
      </c>
      <c r="W230" s="37">
        <v>2.6665340022413302</v>
      </c>
      <c r="X230" s="35" t="s">
        <v>1</v>
      </c>
      <c r="Y230" s="23" t="s">
        <v>6</v>
      </c>
      <c r="Z230" s="21" t="s">
        <v>6</v>
      </c>
      <c r="AA230" s="35" t="s">
        <v>1</v>
      </c>
      <c r="AB230" s="35" t="s">
        <v>1</v>
      </c>
      <c r="AC230" s="1" t="s">
        <v>24</v>
      </c>
    </row>
    <row r="231" spans="1:29">
      <c r="A231" s="35" t="s">
        <v>16</v>
      </c>
      <c r="B231" s="35" t="s">
        <v>13</v>
      </c>
      <c r="C231" s="39" t="s">
        <v>68</v>
      </c>
      <c r="D231" s="36">
        <v>103</v>
      </c>
      <c r="E231" s="12">
        <v>36.93</v>
      </c>
      <c r="F231" s="21">
        <v>9.9285714285714288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6">
        <v>1005.12</v>
      </c>
      <c r="M231" s="21">
        <v>1.1299999999999999</v>
      </c>
      <c r="N231" s="21">
        <v>3.18</v>
      </c>
      <c r="O231" s="12">
        <v>0</v>
      </c>
      <c r="P231" s="35">
        <v>100</v>
      </c>
      <c r="Q231" s="35">
        <v>60</v>
      </c>
      <c r="R231" s="35">
        <v>30</v>
      </c>
      <c r="S231" s="35">
        <v>60</v>
      </c>
      <c r="T231" s="21">
        <v>1.5894641235240667</v>
      </c>
      <c r="U231" s="21">
        <v>0.20328467153284599</v>
      </c>
      <c r="V231" s="37">
        <v>0.79996648477675303</v>
      </c>
      <c r="W231" s="37">
        <v>0.79996648477675303</v>
      </c>
      <c r="X231" s="35" t="s">
        <v>1</v>
      </c>
      <c r="Y231" s="23" t="s">
        <v>6</v>
      </c>
      <c r="Z231" s="21" t="s">
        <v>6</v>
      </c>
      <c r="AA231" s="35" t="s">
        <v>1</v>
      </c>
      <c r="AB231" s="35" t="s">
        <v>1</v>
      </c>
      <c r="AC231" s="1" t="s">
        <v>24</v>
      </c>
    </row>
    <row r="232" spans="1:29">
      <c r="A232" s="35" t="s">
        <v>21</v>
      </c>
      <c r="B232" s="35" t="s">
        <v>13</v>
      </c>
      <c r="C232" s="39" t="s">
        <v>68</v>
      </c>
      <c r="D232" s="36">
        <v>103</v>
      </c>
      <c r="E232" s="12">
        <v>36.93</v>
      </c>
      <c r="F232" s="21">
        <v>9.9285714285714288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6">
        <v>1005.12</v>
      </c>
      <c r="M232" s="21">
        <v>1.1299999999999999</v>
      </c>
      <c r="N232" s="21">
        <v>3.18</v>
      </c>
      <c r="O232" s="12">
        <v>0</v>
      </c>
      <c r="P232" s="35">
        <v>100</v>
      </c>
      <c r="Q232" s="35">
        <v>60</v>
      </c>
      <c r="R232" s="35">
        <v>30</v>
      </c>
      <c r="S232" s="35">
        <v>80</v>
      </c>
      <c r="T232" s="21">
        <v>1.6610244130680087</v>
      </c>
      <c r="U232" s="21">
        <v>0.19420113544201101</v>
      </c>
      <c r="V232" s="37">
        <v>0.839493501188737</v>
      </c>
      <c r="W232" s="37">
        <v>0.839493501188737</v>
      </c>
      <c r="X232" s="35" t="s">
        <v>1</v>
      </c>
      <c r="Y232" s="23" t="s">
        <v>6</v>
      </c>
      <c r="Z232" s="21" t="s">
        <v>6</v>
      </c>
      <c r="AA232" s="35" t="s">
        <v>1</v>
      </c>
      <c r="AB232" s="35" t="s">
        <v>1</v>
      </c>
      <c r="AC232" s="1" t="s">
        <v>24</v>
      </c>
    </row>
    <row r="233" spans="1:29">
      <c r="A233" s="35" t="s">
        <v>21</v>
      </c>
      <c r="B233" s="35" t="s">
        <v>13</v>
      </c>
      <c r="C233" s="39" t="s">
        <v>68</v>
      </c>
      <c r="D233" s="36">
        <v>103</v>
      </c>
      <c r="E233" s="12">
        <v>36.93</v>
      </c>
      <c r="F233" s="21">
        <v>9.9285714285714288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6">
        <v>1005.12</v>
      </c>
      <c r="M233" s="21">
        <v>1.1299999999999999</v>
      </c>
      <c r="N233" s="21">
        <v>3.18</v>
      </c>
      <c r="O233" s="12">
        <v>0</v>
      </c>
      <c r="P233" s="35">
        <v>100</v>
      </c>
      <c r="Q233" s="35">
        <v>60</v>
      </c>
      <c r="R233" s="35">
        <v>30</v>
      </c>
      <c r="S233" s="35">
        <v>100</v>
      </c>
      <c r="T233" s="21">
        <v>1.3857925302066985</v>
      </c>
      <c r="U233" s="21">
        <v>0.185117599351176</v>
      </c>
      <c r="V233" s="37">
        <v>0.68157395867154202</v>
      </c>
      <c r="W233" s="37">
        <v>0.68157395867154202</v>
      </c>
      <c r="X233" s="35" t="s">
        <v>1</v>
      </c>
      <c r="Y233" s="23" t="s">
        <v>6</v>
      </c>
      <c r="Z233" s="21" t="s">
        <v>6</v>
      </c>
      <c r="AA233" s="35" t="s">
        <v>1</v>
      </c>
      <c r="AB233" s="35" t="s">
        <v>1</v>
      </c>
      <c r="AC233" s="1" t="s">
        <v>24</v>
      </c>
    </row>
    <row r="234" spans="1:29">
      <c r="A234" s="35" t="s">
        <v>21</v>
      </c>
      <c r="B234" s="35" t="s">
        <v>13</v>
      </c>
      <c r="C234" s="39" t="s">
        <v>67</v>
      </c>
      <c r="D234" s="36">
        <v>103</v>
      </c>
      <c r="E234" s="12">
        <v>36.93</v>
      </c>
      <c r="F234" s="21">
        <v>9.9285714285714288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6">
        <v>1005.12</v>
      </c>
      <c r="M234" s="21">
        <v>1.1299999999999999</v>
      </c>
      <c r="N234" s="21">
        <v>3.18</v>
      </c>
      <c r="O234" s="12">
        <v>0</v>
      </c>
      <c r="P234" s="35">
        <v>100</v>
      </c>
      <c r="Q234" s="35">
        <v>60</v>
      </c>
      <c r="R234" s="35">
        <v>30</v>
      </c>
      <c r="S234" s="35">
        <v>120</v>
      </c>
      <c r="T234" s="21">
        <v>0.85734731511298146</v>
      </c>
      <c r="U234" s="21">
        <v>0.126642335766423</v>
      </c>
      <c r="V234" s="37">
        <v>0.59102001487237699</v>
      </c>
      <c r="W234" s="37">
        <v>0.59102001487237699</v>
      </c>
      <c r="X234" s="35" t="s">
        <v>1</v>
      </c>
      <c r="Y234" s="23" t="s">
        <v>6</v>
      </c>
      <c r="Z234" s="21" t="s">
        <v>6</v>
      </c>
      <c r="AA234" s="35" t="s">
        <v>1</v>
      </c>
      <c r="AB234" s="35" t="s">
        <v>1</v>
      </c>
      <c r="AC234" s="1" t="s">
        <v>24</v>
      </c>
    </row>
    <row r="235" spans="1:29">
      <c r="A235" s="35" t="s">
        <v>16</v>
      </c>
      <c r="B235" s="35" t="s">
        <v>13</v>
      </c>
      <c r="C235" s="39" t="s">
        <v>67</v>
      </c>
      <c r="D235" s="36">
        <v>103</v>
      </c>
      <c r="E235" s="12">
        <v>45.94</v>
      </c>
      <c r="F235" s="21">
        <v>12.564285714285713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6">
        <v>1005.12</v>
      </c>
      <c r="M235" s="21">
        <v>1.1299999999999999</v>
      </c>
      <c r="N235" s="21">
        <v>3.18</v>
      </c>
      <c r="O235" s="12">
        <v>0</v>
      </c>
      <c r="P235" s="35">
        <v>100</v>
      </c>
      <c r="Q235" s="35">
        <v>60</v>
      </c>
      <c r="R235" s="35">
        <v>30</v>
      </c>
      <c r="S235" s="35">
        <v>40</v>
      </c>
      <c r="T235" s="21">
        <v>1.3849161156644458</v>
      </c>
      <c r="U235" s="21">
        <v>0.109610705596107</v>
      </c>
      <c r="V235" s="37">
        <v>0.52024755741256701</v>
      </c>
      <c r="W235" s="37">
        <v>19.3478152647515</v>
      </c>
      <c r="X235" s="35" t="s">
        <v>1</v>
      </c>
      <c r="Y235" s="23" t="s">
        <v>6</v>
      </c>
      <c r="Z235" s="21" t="s">
        <v>6</v>
      </c>
      <c r="AA235" s="35" t="s">
        <v>1</v>
      </c>
      <c r="AB235" s="35" t="s">
        <v>1</v>
      </c>
      <c r="AC235" s="1" t="s">
        <v>24</v>
      </c>
    </row>
    <row r="236" spans="1:29">
      <c r="A236" s="35" t="s">
        <v>16</v>
      </c>
      <c r="B236" s="35" t="s">
        <v>13</v>
      </c>
      <c r="C236" s="39" t="s">
        <v>67</v>
      </c>
      <c r="D236" s="36">
        <v>103</v>
      </c>
      <c r="E236" s="12">
        <v>45.94</v>
      </c>
      <c r="F236" s="21">
        <v>12.564285714285713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6">
        <v>1005.12</v>
      </c>
      <c r="M236" s="21">
        <v>1.1299999999999999</v>
      </c>
      <c r="N236" s="21">
        <v>3.18</v>
      </c>
      <c r="O236" s="12">
        <v>0</v>
      </c>
      <c r="P236" s="35">
        <v>100</v>
      </c>
      <c r="Q236" s="35">
        <v>60</v>
      </c>
      <c r="R236" s="35">
        <v>30</v>
      </c>
      <c r="S236" s="35">
        <v>60</v>
      </c>
      <c r="T236" s="21">
        <v>1.5959008466925886</v>
      </c>
      <c r="U236" s="21">
        <v>0.126642335766423</v>
      </c>
      <c r="V236" s="37">
        <v>0.47686459498843398</v>
      </c>
      <c r="W236" s="37">
        <v>6.5393146013924497</v>
      </c>
      <c r="X236" s="35" t="s">
        <v>1</v>
      </c>
      <c r="Y236" s="23" t="s">
        <v>6</v>
      </c>
      <c r="Z236" s="21" t="s">
        <v>6</v>
      </c>
      <c r="AA236" s="35" t="s">
        <v>1</v>
      </c>
      <c r="AB236" s="35" t="s">
        <v>1</v>
      </c>
      <c r="AC236" s="1" t="s">
        <v>24</v>
      </c>
    </row>
    <row r="237" spans="1:29">
      <c r="A237" s="35" t="s">
        <v>16</v>
      </c>
      <c r="B237" s="35" t="s">
        <v>13</v>
      </c>
      <c r="C237" s="39" t="s">
        <v>67</v>
      </c>
      <c r="D237" s="36">
        <v>103</v>
      </c>
      <c r="E237" s="12">
        <v>45.94</v>
      </c>
      <c r="F237" s="21">
        <v>12.564285714285713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6">
        <v>1005.12</v>
      </c>
      <c r="M237" s="21">
        <v>1.1299999999999999</v>
      </c>
      <c r="N237" s="21">
        <v>3.18</v>
      </c>
      <c r="O237" s="12">
        <v>0</v>
      </c>
      <c r="P237" s="35">
        <v>100</v>
      </c>
      <c r="Q237" s="35">
        <v>60</v>
      </c>
      <c r="R237" s="35">
        <v>30</v>
      </c>
      <c r="S237" s="35">
        <v>80</v>
      </c>
      <c r="T237" s="21">
        <v>1.6474443477580971</v>
      </c>
      <c r="U237" s="21">
        <v>0.13118410381184101</v>
      </c>
      <c r="V237" s="37">
        <v>0.47529863244103798</v>
      </c>
      <c r="W237" s="37">
        <v>2.0951418911897299</v>
      </c>
      <c r="X237" s="35" t="s">
        <v>1</v>
      </c>
      <c r="Y237" s="23" t="s">
        <v>6</v>
      </c>
      <c r="Z237" s="21" t="s">
        <v>6</v>
      </c>
      <c r="AA237" s="35" t="s">
        <v>1</v>
      </c>
      <c r="AB237" s="35" t="s">
        <v>1</v>
      </c>
      <c r="AC237" s="1" t="s">
        <v>24</v>
      </c>
    </row>
    <row r="238" spans="1:29">
      <c r="A238" s="35" t="s">
        <v>21</v>
      </c>
      <c r="B238" s="35" t="s">
        <v>13</v>
      </c>
      <c r="C238" s="39" t="s">
        <v>67</v>
      </c>
      <c r="D238" s="36">
        <v>103</v>
      </c>
      <c r="E238" s="12">
        <v>45.94</v>
      </c>
      <c r="F238" s="21">
        <v>12.564285714285713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6">
        <v>1005.12</v>
      </c>
      <c r="M238" s="21">
        <v>1.1299999999999999</v>
      </c>
      <c r="N238" s="21">
        <v>3.18</v>
      </c>
      <c r="O238" s="12">
        <v>0</v>
      </c>
      <c r="P238" s="35">
        <v>100</v>
      </c>
      <c r="Q238" s="35">
        <v>60</v>
      </c>
      <c r="R238" s="35">
        <v>30</v>
      </c>
      <c r="S238" s="35">
        <v>100</v>
      </c>
      <c r="T238" s="21">
        <v>1.3856033623453201</v>
      </c>
      <c r="U238" s="21">
        <v>0.10904298459042901</v>
      </c>
      <c r="V238" s="37">
        <v>0.40732425816149098</v>
      </c>
      <c r="W238" s="37">
        <v>1.4306517835782</v>
      </c>
      <c r="X238" s="35" t="s">
        <v>1</v>
      </c>
      <c r="Y238" s="23" t="s">
        <v>6</v>
      </c>
      <c r="Z238" s="21" t="s">
        <v>6</v>
      </c>
      <c r="AA238" s="35" t="s">
        <v>1</v>
      </c>
      <c r="AB238" s="35" t="s">
        <v>1</v>
      </c>
      <c r="AC238" s="1" t="s">
        <v>24</v>
      </c>
    </row>
    <row r="239" spans="1:29">
      <c r="A239" s="35" t="s">
        <v>21</v>
      </c>
      <c r="B239" s="35" t="s">
        <v>13</v>
      </c>
      <c r="C239" s="39" t="s">
        <v>67</v>
      </c>
      <c r="D239" s="36">
        <v>103</v>
      </c>
      <c r="E239" s="12">
        <v>45.94</v>
      </c>
      <c r="F239" s="21">
        <v>12.564285714285713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6">
        <v>1005.12</v>
      </c>
      <c r="M239" s="21">
        <v>1.1299999999999999</v>
      </c>
      <c r="N239" s="21">
        <v>3.18</v>
      </c>
      <c r="O239" s="12">
        <v>0</v>
      </c>
      <c r="P239" s="35">
        <v>100</v>
      </c>
      <c r="Q239" s="35">
        <v>60</v>
      </c>
      <c r="R239" s="35">
        <v>30</v>
      </c>
      <c r="S239" s="35">
        <v>100</v>
      </c>
      <c r="T239" s="21">
        <v>1.3856033623453201</v>
      </c>
      <c r="U239" s="21">
        <v>0.10904298459042901</v>
      </c>
      <c r="V239" s="37">
        <v>0.40732425816149098</v>
      </c>
      <c r="W239" s="37">
        <v>1.4306517835782</v>
      </c>
      <c r="X239" s="35" t="s">
        <v>1</v>
      </c>
      <c r="Y239" s="23" t="s">
        <v>6</v>
      </c>
      <c r="Z239" s="21" t="s">
        <v>6</v>
      </c>
      <c r="AA239" s="35" t="s">
        <v>1</v>
      </c>
      <c r="AB239" s="35" t="s">
        <v>1</v>
      </c>
      <c r="AC239" s="1" t="s">
        <v>24</v>
      </c>
    </row>
    <row r="240" spans="1:29" ht="13.2" customHeight="1">
      <c r="A240" s="35" t="s">
        <v>21</v>
      </c>
      <c r="B240" s="35" t="s">
        <v>13</v>
      </c>
      <c r="C240" s="39" t="s">
        <v>67</v>
      </c>
      <c r="D240" s="36">
        <v>103</v>
      </c>
      <c r="E240" s="12">
        <v>45.94</v>
      </c>
      <c r="F240" s="21">
        <v>12.564285714285713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6">
        <v>1005.12</v>
      </c>
      <c r="M240" s="21">
        <v>1.1299999999999999</v>
      </c>
      <c r="N240" s="21">
        <v>3.18</v>
      </c>
      <c r="O240" s="12">
        <v>0</v>
      </c>
      <c r="P240" s="35">
        <v>100</v>
      </c>
      <c r="Q240" s="35">
        <v>60</v>
      </c>
      <c r="R240" s="35">
        <v>30</v>
      </c>
      <c r="S240" s="35">
        <v>120</v>
      </c>
      <c r="T240" s="21">
        <v>0.85985965147714583</v>
      </c>
      <c r="U240" s="21">
        <v>6.7031630170316298E-2</v>
      </c>
      <c r="V240" s="37">
        <v>0.497135110185286</v>
      </c>
      <c r="W240" s="37">
        <v>0.59</v>
      </c>
      <c r="X240" s="35" t="s">
        <v>1</v>
      </c>
      <c r="Y240" s="23" t="s">
        <v>6</v>
      </c>
      <c r="Z240" s="21" t="s">
        <v>6</v>
      </c>
      <c r="AA240" s="35" t="s">
        <v>1</v>
      </c>
      <c r="AB240" s="35" t="s">
        <v>1</v>
      </c>
      <c r="AC240" s="1" t="s">
        <v>20</v>
      </c>
    </row>
    <row r="241" spans="1:29">
      <c r="A241" s="35" t="s">
        <v>23</v>
      </c>
      <c r="B241" s="35" t="s">
        <v>180</v>
      </c>
      <c r="C241" s="35" t="s">
        <v>60</v>
      </c>
      <c r="D241" s="36">
        <v>305</v>
      </c>
      <c r="E241" s="12">
        <v>18.62</v>
      </c>
      <c r="F241" s="21">
        <v>4.3785714285714281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6">
        <v>1362.38</v>
      </c>
      <c r="M241" s="21">
        <v>0.93200000000000005</v>
      </c>
      <c r="N241" s="21">
        <v>2.74</v>
      </c>
      <c r="O241" s="12">
        <v>0</v>
      </c>
      <c r="P241" s="35">
        <v>100</v>
      </c>
      <c r="Q241" s="35">
        <v>60</v>
      </c>
      <c r="R241" s="35">
        <v>30</v>
      </c>
      <c r="S241" s="35">
        <v>40</v>
      </c>
      <c r="T241" s="21">
        <v>0.2917978998642643</v>
      </c>
      <c r="U241" s="21">
        <v>0.12579075425790701</v>
      </c>
      <c r="V241" s="37">
        <v>4.3563092216301502</v>
      </c>
      <c r="W241" s="37">
        <v>24.1309288077932</v>
      </c>
      <c r="X241" s="35" t="s">
        <v>6</v>
      </c>
      <c r="Y241" s="23" t="s">
        <v>6</v>
      </c>
      <c r="Z241" s="21" t="s">
        <v>6</v>
      </c>
      <c r="AA241" s="35" t="s">
        <v>6</v>
      </c>
      <c r="AB241" s="35" t="s">
        <v>1</v>
      </c>
      <c r="AC241" s="1" t="s">
        <v>20</v>
      </c>
    </row>
    <row r="242" spans="1:29">
      <c r="A242" s="35" t="s">
        <v>23</v>
      </c>
      <c r="B242" s="35" t="s">
        <v>180</v>
      </c>
      <c r="C242" s="35" t="s">
        <v>60</v>
      </c>
      <c r="D242" s="36">
        <v>305</v>
      </c>
      <c r="E242" s="12">
        <v>18.62</v>
      </c>
      <c r="F242" s="21">
        <v>4.3785714285714281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6">
        <v>1362.38</v>
      </c>
      <c r="M242" s="21">
        <v>0.93200000000000005</v>
      </c>
      <c r="N242" s="21">
        <v>2.74</v>
      </c>
      <c r="O242" s="12">
        <v>0</v>
      </c>
      <c r="P242" s="35">
        <v>100</v>
      </c>
      <c r="Q242" s="35">
        <v>60</v>
      </c>
      <c r="R242" s="35">
        <v>30</v>
      </c>
      <c r="S242" s="35">
        <v>60</v>
      </c>
      <c r="T242" s="21">
        <v>0.30798079899018621</v>
      </c>
      <c r="U242" s="21">
        <v>0.160137875101378</v>
      </c>
      <c r="V242" s="37">
        <v>3.1935146916155999</v>
      </c>
      <c r="W242" s="37">
        <v>25.4411418395417</v>
      </c>
      <c r="X242" s="35" t="s">
        <v>6</v>
      </c>
      <c r="Y242" s="23" t="s">
        <v>6</v>
      </c>
      <c r="Z242" s="21" t="s">
        <v>6</v>
      </c>
      <c r="AA242" s="35" t="s">
        <v>6</v>
      </c>
      <c r="AB242" s="35" t="s">
        <v>1</v>
      </c>
      <c r="AC242" s="1" t="s">
        <v>20</v>
      </c>
    </row>
    <row r="243" spans="1:29">
      <c r="A243" s="35" t="s">
        <v>22</v>
      </c>
      <c r="B243" s="35" t="s">
        <v>180</v>
      </c>
      <c r="C243" s="35" t="s">
        <v>60</v>
      </c>
      <c r="D243" s="36">
        <v>305</v>
      </c>
      <c r="E243" s="12">
        <v>18.62</v>
      </c>
      <c r="F243" s="21">
        <v>4.3785714285714281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6">
        <v>1362.38</v>
      </c>
      <c r="M243" s="21">
        <v>0.93200000000000005</v>
      </c>
      <c r="N243" s="21">
        <v>2.74</v>
      </c>
      <c r="O243" s="12">
        <v>0</v>
      </c>
      <c r="P243" s="35">
        <v>100</v>
      </c>
      <c r="Q243" s="35">
        <v>60</v>
      </c>
      <c r="R243" s="35">
        <v>30</v>
      </c>
      <c r="S243" s="35">
        <v>80</v>
      </c>
      <c r="T243" s="21">
        <v>0.37271239549386925</v>
      </c>
      <c r="U243" s="21">
        <v>0.16581508515814999</v>
      </c>
      <c r="V243" s="37">
        <v>2.7402873204247298</v>
      </c>
      <c r="W243" s="37">
        <v>31.430887610137301</v>
      </c>
      <c r="X243" s="35" t="s">
        <v>6</v>
      </c>
      <c r="Y243" s="23" t="s">
        <v>6</v>
      </c>
      <c r="Z243" s="21" t="s">
        <v>6</v>
      </c>
      <c r="AA243" s="35" t="s">
        <v>6</v>
      </c>
      <c r="AB243" s="35" t="s">
        <v>1</v>
      </c>
      <c r="AC243" s="1" t="s">
        <v>20</v>
      </c>
    </row>
    <row r="244" spans="1:29">
      <c r="A244" s="35" t="s">
        <v>22</v>
      </c>
      <c r="B244" s="35" t="s">
        <v>180</v>
      </c>
      <c r="C244" s="35" t="s">
        <v>60</v>
      </c>
      <c r="D244" s="36">
        <v>305</v>
      </c>
      <c r="E244" s="12">
        <v>18.62</v>
      </c>
      <c r="F244" s="21">
        <v>4.3785714285714281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6">
        <v>1362.38</v>
      </c>
      <c r="M244" s="21">
        <v>0.93200000000000005</v>
      </c>
      <c r="N244" s="21">
        <v>2.74</v>
      </c>
      <c r="O244" s="12">
        <v>0</v>
      </c>
      <c r="P244" s="35">
        <v>100</v>
      </c>
      <c r="Q244" s="35">
        <v>60</v>
      </c>
      <c r="R244" s="35">
        <v>30</v>
      </c>
      <c r="S244" s="35">
        <v>100</v>
      </c>
      <c r="T244" s="21">
        <v>0.4536268911234741</v>
      </c>
      <c r="U244" s="21">
        <v>0.12323600973236</v>
      </c>
      <c r="V244" s="37">
        <v>1.7614310205057899</v>
      </c>
      <c r="W244" s="37">
        <v>27.000677767884302</v>
      </c>
      <c r="X244" s="35" t="s">
        <v>6</v>
      </c>
      <c r="Y244" s="23" t="s">
        <v>6</v>
      </c>
      <c r="Z244" s="21" t="s">
        <v>6</v>
      </c>
      <c r="AA244" s="35" t="s">
        <v>6</v>
      </c>
      <c r="AB244" s="35" t="s">
        <v>1</v>
      </c>
      <c r="AC244" s="1" t="s">
        <v>20</v>
      </c>
    </row>
    <row r="245" spans="1:29">
      <c r="A245" s="35" t="s">
        <v>22</v>
      </c>
      <c r="B245" s="35" t="s">
        <v>180</v>
      </c>
      <c r="C245" s="35" t="s">
        <v>60</v>
      </c>
      <c r="D245" s="36">
        <v>305</v>
      </c>
      <c r="E245" s="12">
        <v>18.62</v>
      </c>
      <c r="F245" s="21">
        <v>4.3785714285714281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6">
        <v>1362.38</v>
      </c>
      <c r="M245" s="21">
        <v>0.93200000000000005</v>
      </c>
      <c r="N245" s="21">
        <v>2.74</v>
      </c>
      <c r="O245" s="12">
        <v>0</v>
      </c>
      <c r="P245" s="35">
        <v>100</v>
      </c>
      <c r="Q245" s="35">
        <v>60</v>
      </c>
      <c r="R245" s="35">
        <v>30</v>
      </c>
      <c r="S245" s="35">
        <v>120</v>
      </c>
      <c r="T245" s="21">
        <v>0.46711264039507494</v>
      </c>
      <c r="U245" s="21">
        <v>7.4979724249797305E-2</v>
      </c>
      <c r="V245" s="37">
        <v>1.01113399869762</v>
      </c>
      <c r="W245" s="37">
        <v>14.1824125878773</v>
      </c>
      <c r="X245" s="35" t="s">
        <v>6</v>
      </c>
      <c r="Y245" s="23" t="s">
        <v>6</v>
      </c>
      <c r="Z245" s="21" t="s">
        <v>6</v>
      </c>
      <c r="AA245" s="35" t="s">
        <v>6</v>
      </c>
      <c r="AB245" s="35" t="s">
        <v>1</v>
      </c>
      <c r="AC245" s="1" t="s">
        <v>20</v>
      </c>
    </row>
    <row r="246" spans="1:29">
      <c r="A246" s="35" t="s">
        <v>23</v>
      </c>
      <c r="B246" s="35" t="s">
        <v>180</v>
      </c>
      <c r="C246" s="35" t="s">
        <v>60</v>
      </c>
      <c r="D246" s="36">
        <v>305</v>
      </c>
      <c r="E246" s="12">
        <v>35.229999999999997</v>
      </c>
      <c r="F246" s="21">
        <v>8.242857142857142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6">
        <v>1362.38</v>
      </c>
      <c r="M246" s="21">
        <v>0.93200000000000005</v>
      </c>
      <c r="N246" s="21">
        <v>2.74</v>
      </c>
      <c r="O246" s="12">
        <v>0</v>
      </c>
      <c r="P246" s="35">
        <v>100</v>
      </c>
      <c r="Q246" s="35">
        <v>60</v>
      </c>
      <c r="R246" s="35">
        <v>30</v>
      </c>
      <c r="S246" s="35">
        <v>40</v>
      </c>
      <c r="T246" s="21">
        <v>0.86629081883446646</v>
      </c>
      <c r="U246" s="21">
        <v>0.181143552311435</v>
      </c>
      <c r="V246" s="37">
        <v>1.5247407401445101</v>
      </c>
      <c r="W246" s="37">
        <v>11.6170212765958</v>
      </c>
      <c r="X246" s="35" t="s">
        <v>6</v>
      </c>
      <c r="Y246" s="23" t="s">
        <v>6</v>
      </c>
      <c r="Z246" s="21" t="s">
        <v>6</v>
      </c>
      <c r="AA246" s="35" t="s">
        <v>6</v>
      </c>
      <c r="AB246" s="35" t="s">
        <v>1</v>
      </c>
      <c r="AC246" s="1" t="s">
        <v>20</v>
      </c>
    </row>
    <row r="247" spans="1:29">
      <c r="A247" s="35" t="s">
        <v>23</v>
      </c>
      <c r="B247" s="35" t="s">
        <v>180</v>
      </c>
      <c r="C247" s="35" t="s">
        <v>60</v>
      </c>
      <c r="D247" s="36">
        <v>305</v>
      </c>
      <c r="E247" s="12">
        <v>35.229999999999997</v>
      </c>
      <c r="F247" s="21">
        <v>8.242857142857142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6">
        <v>1362.38</v>
      </c>
      <c r="M247" s="21">
        <v>0.93200000000000005</v>
      </c>
      <c r="N247" s="21">
        <v>2.74</v>
      </c>
      <c r="O247" s="12">
        <v>0</v>
      </c>
      <c r="P247" s="35">
        <v>100</v>
      </c>
      <c r="Q247" s="35">
        <v>60</v>
      </c>
      <c r="R247" s="35">
        <v>30</v>
      </c>
      <c r="S247" s="35">
        <v>60</v>
      </c>
      <c r="T247" s="21">
        <v>1.1333086544121662</v>
      </c>
      <c r="U247" s="21">
        <v>0.20328467153284599</v>
      </c>
      <c r="V247" s="37">
        <v>0.94091179379546097</v>
      </c>
      <c r="W247" s="37">
        <v>12.204255319148899</v>
      </c>
      <c r="X247" s="35" t="s">
        <v>6</v>
      </c>
      <c r="Y247" s="23" t="s">
        <v>6</v>
      </c>
      <c r="Z247" s="21" t="s">
        <v>6</v>
      </c>
      <c r="AA247" s="35" t="s">
        <v>6</v>
      </c>
      <c r="AB247" s="35" t="s">
        <v>1</v>
      </c>
      <c r="AC247" s="1" t="s">
        <v>20</v>
      </c>
    </row>
    <row r="248" spans="1:29">
      <c r="A248" s="35" t="s">
        <v>22</v>
      </c>
      <c r="B248" s="35" t="s">
        <v>180</v>
      </c>
      <c r="C248" s="35" t="s">
        <v>60</v>
      </c>
      <c r="D248" s="36">
        <v>305</v>
      </c>
      <c r="E248" s="12">
        <v>35.229999999999997</v>
      </c>
      <c r="F248" s="21">
        <v>8.2428571428571438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6">
        <v>1362.38</v>
      </c>
      <c r="M248" s="21">
        <v>0.93200000000000005</v>
      </c>
      <c r="N248" s="21">
        <v>2.74</v>
      </c>
      <c r="O248" s="12">
        <v>0</v>
      </c>
      <c r="P248" s="35">
        <v>100</v>
      </c>
      <c r="Q248" s="35">
        <v>60</v>
      </c>
      <c r="R248" s="35">
        <v>30</v>
      </c>
      <c r="S248" s="35">
        <v>80</v>
      </c>
      <c r="T248" s="21">
        <v>1.5082124841626727</v>
      </c>
      <c r="U248" s="21">
        <v>0.19420113544201101</v>
      </c>
      <c r="V248" s="37">
        <v>0.68947475920300805</v>
      </c>
      <c r="W248" s="37">
        <v>14.8085106382978</v>
      </c>
      <c r="X248" s="35" t="s">
        <v>6</v>
      </c>
      <c r="Y248" s="23" t="s">
        <v>6</v>
      </c>
      <c r="Z248" s="21" t="s">
        <v>6</v>
      </c>
      <c r="AA248" s="35" t="s">
        <v>6</v>
      </c>
      <c r="AB248" s="35" t="s">
        <v>1</v>
      </c>
      <c r="AC248" s="1" t="s">
        <v>20</v>
      </c>
    </row>
    <row r="249" spans="1:29">
      <c r="A249" s="35" t="s">
        <v>22</v>
      </c>
      <c r="B249" s="35" t="s">
        <v>180</v>
      </c>
      <c r="C249" s="35" t="s">
        <v>60</v>
      </c>
      <c r="D249" s="36">
        <v>305</v>
      </c>
      <c r="E249" s="12">
        <v>35.229999999999997</v>
      </c>
      <c r="F249" s="21">
        <v>8.2428571428571438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6">
        <v>1362.38</v>
      </c>
      <c r="M249" s="21">
        <v>0.93200000000000005</v>
      </c>
      <c r="N249" s="21">
        <v>2.74</v>
      </c>
      <c r="O249" s="12">
        <v>0</v>
      </c>
      <c r="P249" s="35">
        <v>100</v>
      </c>
      <c r="Q249" s="35">
        <v>60</v>
      </c>
      <c r="R249" s="35">
        <v>30</v>
      </c>
      <c r="S249" s="35">
        <v>100</v>
      </c>
      <c r="T249" s="21">
        <v>2.0557339045896708</v>
      </c>
      <c r="U249" s="21">
        <v>0.185117599351176</v>
      </c>
      <c r="V249" s="37">
        <v>0.69846974555456798</v>
      </c>
      <c r="W249" s="37">
        <v>17.999999999999901</v>
      </c>
      <c r="X249" s="35" t="s">
        <v>6</v>
      </c>
      <c r="Y249" s="23" t="s">
        <v>6</v>
      </c>
      <c r="Z249" s="21" t="s">
        <v>6</v>
      </c>
      <c r="AA249" s="35" t="s">
        <v>6</v>
      </c>
      <c r="AB249" s="35" t="s">
        <v>1</v>
      </c>
      <c r="AC249" s="1" t="s">
        <v>20</v>
      </c>
    </row>
    <row r="250" spans="1:29">
      <c r="A250" s="35" t="s">
        <v>22</v>
      </c>
      <c r="B250" s="35" t="s">
        <v>180</v>
      </c>
      <c r="C250" s="35" t="s">
        <v>60</v>
      </c>
      <c r="D250" s="36">
        <v>305</v>
      </c>
      <c r="E250" s="12">
        <v>35.229999999999997</v>
      </c>
      <c r="F250" s="21">
        <v>8.2428571428571438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6">
        <v>1362.38</v>
      </c>
      <c r="M250" s="21">
        <v>0.93200000000000005</v>
      </c>
      <c r="N250" s="21">
        <v>2.74</v>
      </c>
      <c r="O250" s="12">
        <v>0</v>
      </c>
      <c r="P250" s="35">
        <v>100</v>
      </c>
      <c r="Q250" s="35">
        <v>60</v>
      </c>
      <c r="R250" s="35">
        <v>30</v>
      </c>
      <c r="S250" s="35">
        <v>120</v>
      </c>
      <c r="T250" s="21">
        <v>2.0665225040069526</v>
      </c>
      <c r="U250" s="21">
        <v>0.126642335766423</v>
      </c>
      <c r="V250" s="37">
        <v>0.69865085266231797</v>
      </c>
      <c r="W250" s="37">
        <v>18.510638297872301</v>
      </c>
      <c r="X250" s="35" t="s">
        <v>6</v>
      </c>
      <c r="Y250" s="23" t="s">
        <v>6</v>
      </c>
      <c r="Z250" s="21" t="s">
        <v>6</v>
      </c>
      <c r="AA250" s="35" t="s">
        <v>6</v>
      </c>
      <c r="AB250" s="35" t="s">
        <v>1</v>
      </c>
      <c r="AC250" s="1" t="s">
        <v>20</v>
      </c>
    </row>
    <row r="251" spans="1:29">
      <c r="A251" s="35" t="s">
        <v>23</v>
      </c>
      <c r="B251" s="35" t="s">
        <v>180</v>
      </c>
      <c r="C251" s="35" t="s">
        <v>60</v>
      </c>
      <c r="D251" s="36">
        <v>305</v>
      </c>
      <c r="E251" s="12">
        <v>43.669999999999995</v>
      </c>
      <c r="F251" s="21">
        <v>10.271428571428572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6">
        <v>1362.38</v>
      </c>
      <c r="M251" s="21">
        <v>0.93200000000000005</v>
      </c>
      <c r="N251" s="21">
        <v>2.74</v>
      </c>
      <c r="O251" s="12">
        <v>0</v>
      </c>
      <c r="P251" s="35">
        <v>100</v>
      </c>
      <c r="Q251" s="35">
        <v>60</v>
      </c>
      <c r="R251" s="35">
        <v>30</v>
      </c>
      <c r="S251" s="35">
        <v>40</v>
      </c>
      <c r="T251" s="21">
        <v>1.0119369109677587</v>
      </c>
      <c r="U251" s="21">
        <v>0.109610705596107</v>
      </c>
      <c r="V251" s="37">
        <v>3.99945943057919</v>
      </c>
      <c r="W251" s="37">
        <v>34.940961647856597</v>
      </c>
      <c r="X251" s="35" t="s">
        <v>6</v>
      </c>
      <c r="Y251" s="23" t="s">
        <v>6</v>
      </c>
      <c r="Z251" s="21" t="s">
        <v>6</v>
      </c>
      <c r="AA251" s="35" t="s">
        <v>6</v>
      </c>
      <c r="AB251" s="35" t="s">
        <v>1</v>
      </c>
      <c r="AC251" s="1" t="s">
        <v>20</v>
      </c>
    </row>
    <row r="252" spans="1:29">
      <c r="A252" s="35" t="s">
        <v>23</v>
      </c>
      <c r="B252" s="35" t="s">
        <v>180</v>
      </c>
      <c r="C252" s="35" t="s">
        <v>60</v>
      </c>
      <c r="D252" s="36">
        <v>305</v>
      </c>
      <c r="E252" s="12">
        <v>43.669999999999995</v>
      </c>
      <c r="F252" s="21">
        <v>10.271428571428572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6">
        <v>1362.38</v>
      </c>
      <c r="M252" s="21">
        <v>0.93200000000000005</v>
      </c>
      <c r="N252" s="21">
        <v>2.74</v>
      </c>
      <c r="O252" s="12">
        <v>0</v>
      </c>
      <c r="P252" s="35">
        <v>100</v>
      </c>
      <c r="Q252" s="35">
        <v>60</v>
      </c>
      <c r="R252" s="35">
        <v>30</v>
      </c>
      <c r="S252" s="35">
        <v>60</v>
      </c>
      <c r="T252" s="21">
        <v>1.32210914421458</v>
      </c>
      <c r="U252" s="21">
        <v>0.126642335766423</v>
      </c>
      <c r="V252" s="37">
        <v>1.0574417866447099</v>
      </c>
      <c r="W252" s="37">
        <v>22.315774255694201</v>
      </c>
      <c r="X252" s="35" t="s">
        <v>6</v>
      </c>
      <c r="Y252" s="23" t="s">
        <v>6</v>
      </c>
      <c r="Z252" s="21" t="s">
        <v>6</v>
      </c>
      <c r="AA252" s="35" t="s">
        <v>6</v>
      </c>
      <c r="AB252" s="35" t="s">
        <v>1</v>
      </c>
      <c r="AC252" s="1" t="s">
        <v>20</v>
      </c>
    </row>
    <row r="253" spans="1:29">
      <c r="A253" s="35" t="s">
        <v>22</v>
      </c>
      <c r="B253" s="35" t="s">
        <v>180</v>
      </c>
      <c r="C253" s="35" t="s">
        <v>60</v>
      </c>
      <c r="D253" s="36">
        <v>305</v>
      </c>
      <c r="E253" s="12">
        <v>43.669999999999995</v>
      </c>
      <c r="F253" s="21">
        <v>10.271428571428572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6">
        <v>1362.38</v>
      </c>
      <c r="M253" s="21">
        <v>0.93200000000000005</v>
      </c>
      <c r="N253" s="21">
        <v>2.74</v>
      </c>
      <c r="O253" s="12">
        <v>0</v>
      </c>
      <c r="P253" s="35">
        <v>100</v>
      </c>
      <c r="Q253" s="35">
        <v>60</v>
      </c>
      <c r="R253" s="35">
        <v>30</v>
      </c>
      <c r="S253" s="35">
        <v>80</v>
      </c>
      <c r="T253" s="21">
        <v>1.6943158241107652</v>
      </c>
      <c r="U253" s="21">
        <v>0.13118410381184101</v>
      </c>
      <c r="V253" s="37">
        <v>0.68762316025675896</v>
      </c>
      <c r="W253" s="37">
        <v>23.818274389266499</v>
      </c>
      <c r="X253" s="35" t="s">
        <v>6</v>
      </c>
      <c r="Y253" s="23" t="s">
        <v>6</v>
      </c>
      <c r="Z253" s="21" t="s">
        <v>6</v>
      </c>
      <c r="AA253" s="35" t="s">
        <v>6</v>
      </c>
      <c r="AB253" s="35" t="s">
        <v>1</v>
      </c>
      <c r="AC253" s="1" t="s">
        <v>20</v>
      </c>
    </row>
    <row r="254" spans="1:29">
      <c r="A254" s="35" t="s">
        <v>22</v>
      </c>
      <c r="B254" s="35" t="s">
        <v>180</v>
      </c>
      <c r="C254" s="35" t="s">
        <v>60</v>
      </c>
      <c r="D254" s="36">
        <v>305</v>
      </c>
      <c r="E254" s="12">
        <v>43.669999999999995</v>
      </c>
      <c r="F254" s="21">
        <v>10.271428571428572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6">
        <v>1362.38</v>
      </c>
      <c r="M254" s="21">
        <v>0.93200000000000005</v>
      </c>
      <c r="N254" s="21">
        <v>2.74</v>
      </c>
      <c r="O254" s="12">
        <v>0</v>
      </c>
      <c r="P254" s="35">
        <v>100</v>
      </c>
      <c r="Q254" s="35">
        <v>60</v>
      </c>
      <c r="R254" s="35">
        <v>30</v>
      </c>
      <c r="S254" s="35">
        <v>100</v>
      </c>
      <c r="T254" s="21">
        <v>2.2391400946834445</v>
      </c>
      <c r="U254" s="21">
        <v>0.10904298459042901</v>
      </c>
      <c r="V254" s="37">
        <v>0.68404031642160801</v>
      </c>
      <c r="W254" s="37">
        <v>22.265048729819</v>
      </c>
      <c r="X254" s="35">
        <v>120</v>
      </c>
      <c r="Y254" s="23" t="s">
        <v>6</v>
      </c>
      <c r="Z254" s="21">
        <v>0.57000000000000006</v>
      </c>
      <c r="AA254" s="35">
        <v>30</v>
      </c>
      <c r="AB254" s="35" t="s">
        <v>1</v>
      </c>
      <c r="AC254" s="1" t="s">
        <v>20</v>
      </c>
    </row>
    <row r="255" spans="1:29">
      <c r="A255" s="35" t="s">
        <v>22</v>
      </c>
      <c r="B255" s="35" t="s">
        <v>180</v>
      </c>
      <c r="C255" s="35" t="s">
        <v>60</v>
      </c>
      <c r="D255" s="36">
        <v>305</v>
      </c>
      <c r="E255" s="12">
        <v>43.669999999999995</v>
      </c>
      <c r="F255" s="21">
        <v>10.271428571428572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6">
        <v>1362.38</v>
      </c>
      <c r="M255" s="21">
        <v>0.93200000000000005</v>
      </c>
      <c r="N255" s="21">
        <v>2.74</v>
      </c>
      <c r="O255" s="12">
        <v>0</v>
      </c>
      <c r="P255" s="35">
        <v>100</v>
      </c>
      <c r="Q255" s="35">
        <v>60</v>
      </c>
      <c r="R255" s="35">
        <v>30</v>
      </c>
      <c r="S255" s="35">
        <v>100</v>
      </c>
      <c r="T255" s="21">
        <v>2.2391400946834445</v>
      </c>
      <c r="U255" s="21">
        <v>0.10904298459042901</v>
      </c>
      <c r="V255" s="37">
        <v>0.68404031642160801</v>
      </c>
      <c r="W255" s="37">
        <v>22.265048729819</v>
      </c>
      <c r="X255" s="35">
        <v>150</v>
      </c>
      <c r="Y255" s="23" t="s">
        <v>6</v>
      </c>
      <c r="Z255" s="21">
        <v>0.24</v>
      </c>
      <c r="AA255" s="35">
        <v>30</v>
      </c>
      <c r="AB255" s="35" t="s">
        <v>1</v>
      </c>
      <c r="AC255" s="1" t="s">
        <v>20</v>
      </c>
    </row>
    <row r="256" spans="1:29">
      <c r="A256" s="35" t="s">
        <v>22</v>
      </c>
      <c r="B256" s="35" t="s">
        <v>180</v>
      </c>
      <c r="C256" s="35" t="s">
        <v>60</v>
      </c>
      <c r="D256" s="36">
        <v>305</v>
      </c>
      <c r="E256" s="12">
        <v>43.669999999999995</v>
      </c>
      <c r="F256" s="21">
        <v>10.271428571428572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6">
        <v>1362.38</v>
      </c>
      <c r="M256" s="21">
        <v>0.93200000000000005</v>
      </c>
      <c r="N256" s="21">
        <v>2.74</v>
      </c>
      <c r="O256" s="12">
        <v>0</v>
      </c>
      <c r="P256" s="35">
        <v>100</v>
      </c>
      <c r="Q256" s="35">
        <v>60</v>
      </c>
      <c r="R256" s="35">
        <v>30</v>
      </c>
      <c r="S256" s="35">
        <v>120</v>
      </c>
      <c r="T256" s="21">
        <v>2.5520094777845821</v>
      </c>
      <c r="U256" s="21">
        <v>6.7031630170316298E-2</v>
      </c>
      <c r="V256" s="37">
        <v>0.77389426839264497</v>
      </c>
      <c r="W256" s="37">
        <v>10.8889224125738</v>
      </c>
      <c r="X256" s="35" t="s">
        <v>6</v>
      </c>
      <c r="Y256" s="23" t="s">
        <v>6</v>
      </c>
      <c r="Z256" s="21" t="s">
        <v>6</v>
      </c>
      <c r="AA256" s="35" t="s">
        <v>6</v>
      </c>
      <c r="AB256" s="35" t="s">
        <v>1</v>
      </c>
      <c r="AC256" s="1" t="s">
        <v>20</v>
      </c>
    </row>
    <row r="257" spans="1:29">
      <c r="A257" s="35" t="s">
        <v>23</v>
      </c>
      <c r="B257" s="35" t="s">
        <v>13</v>
      </c>
      <c r="C257" s="35" t="s">
        <v>67</v>
      </c>
      <c r="D257" s="36">
        <v>103</v>
      </c>
      <c r="E257" s="12">
        <v>18.8</v>
      </c>
      <c r="F257" s="21">
        <v>5.25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6">
        <v>1362.38</v>
      </c>
      <c r="M257" s="21">
        <v>0.93200000000000005</v>
      </c>
      <c r="N257" s="21">
        <v>2.74</v>
      </c>
      <c r="O257" s="12">
        <v>0</v>
      </c>
      <c r="P257" s="35">
        <v>100</v>
      </c>
      <c r="Q257" s="35">
        <v>60</v>
      </c>
      <c r="R257" s="35">
        <v>30</v>
      </c>
      <c r="S257" s="35">
        <v>40</v>
      </c>
      <c r="T257" s="21">
        <v>0.21067655514808789</v>
      </c>
      <c r="U257" s="21">
        <v>3.96039603960395E-2</v>
      </c>
      <c r="V257" s="37">
        <v>3.2919127029913899</v>
      </c>
      <c r="W257" s="37">
        <v>16.465119327726299</v>
      </c>
      <c r="X257" s="35" t="s">
        <v>6</v>
      </c>
      <c r="Y257" s="23" t="s">
        <v>6</v>
      </c>
      <c r="Z257" s="21" t="s">
        <v>6</v>
      </c>
      <c r="AA257" s="35" t="s">
        <v>6</v>
      </c>
      <c r="AB257" s="35" t="s">
        <v>1</v>
      </c>
      <c r="AC257" s="1" t="s">
        <v>20</v>
      </c>
    </row>
    <row r="258" spans="1:29">
      <c r="A258" s="35" t="s">
        <v>23</v>
      </c>
      <c r="B258" s="35" t="s">
        <v>13</v>
      </c>
      <c r="C258" s="35" t="s">
        <v>67</v>
      </c>
      <c r="D258" s="36">
        <v>103</v>
      </c>
      <c r="E258" s="12">
        <v>18.8</v>
      </c>
      <c r="F258" s="21">
        <v>5.25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6">
        <v>1362.38</v>
      </c>
      <c r="M258" s="21">
        <v>0.93200000000000005</v>
      </c>
      <c r="N258" s="21">
        <v>2.74</v>
      </c>
      <c r="O258" s="12">
        <v>0</v>
      </c>
      <c r="P258" s="35">
        <v>100</v>
      </c>
      <c r="Q258" s="35">
        <v>60</v>
      </c>
      <c r="R258" s="35">
        <v>30</v>
      </c>
      <c r="S258" s="35">
        <v>60</v>
      </c>
      <c r="T258" s="21">
        <v>0.20521330574392349</v>
      </c>
      <c r="U258" s="21">
        <v>4.48019801980198E-2</v>
      </c>
      <c r="V258" s="37">
        <v>3.6323779034713999</v>
      </c>
      <c r="W258" s="37">
        <v>36.0514193593024</v>
      </c>
      <c r="X258" s="35" t="s">
        <v>6</v>
      </c>
      <c r="Y258" s="23" t="s">
        <v>6</v>
      </c>
      <c r="Z258" s="21" t="s">
        <v>6</v>
      </c>
      <c r="AA258" s="35" t="s">
        <v>6</v>
      </c>
      <c r="AB258" s="35" t="s">
        <v>1</v>
      </c>
      <c r="AC258" s="1" t="s">
        <v>20</v>
      </c>
    </row>
    <row r="259" spans="1:29">
      <c r="A259" s="35" t="s">
        <v>22</v>
      </c>
      <c r="B259" s="35" t="s">
        <v>13</v>
      </c>
      <c r="C259" s="35" t="s">
        <v>67</v>
      </c>
      <c r="D259" s="36">
        <v>103</v>
      </c>
      <c r="E259" s="12">
        <v>18.8</v>
      </c>
      <c r="F259" s="21">
        <v>5.25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6">
        <v>1362.38</v>
      </c>
      <c r="M259" s="21">
        <v>0.93200000000000005</v>
      </c>
      <c r="N259" s="21">
        <v>2.74</v>
      </c>
      <c r="O259" s="12">
        <v>0</v>
      </c>
      <c r="P259" s="35">
        <v>100</v>
      </c>
      <c r="Q259" s="35">
        <v>60</v>
      </c>
      <c r="R259" s="35">
        <v>30</v>
      </c>
      <c r="S259" s="35">
        <v>80</v>
      </c>
      <c r="T259" s="21">
        <v>0.24345605157307451</v>
      </c>
      <c r="U259" s="21">
        <v>8.6963696369636898E-2</v>
      </c>
      <c r="V259" s="37">
        <v>3.5234153058480202</v>
      </c>
      <c r="W259" s="37">
        <v>36.0215178501293</v>
      </c>
      <c r="X259" s="35" t="s">
        <v>6</v>
      </c>
      <c r="Y259" s="23" t="s">
        <v>6</v>
      </c>
      <c r="Z259" s="21" t="s">
        <v>6</v>
      </c>
      <c r="AA259" s="35" t="s">
        <v>6</v>
      </c>
      <c r="AB259" s="35" t="s">
        <v>1</v>
      </c>
      <c r="AC259" s="1" t="s">
        <v>20</v>
      </c>
    </row>
    <row r="260" spans="1:29">
      <c r="A260" s="35" t="s">
        <v>22</v>
      </c>
      <c r="B260" s="35" t="s">
        <v>13</v>
      </c>
      <c r="C260" s="35" t="s">
        <v>67</v>
      </c>
      <c r="D260" s="36">
        <v>103</v>
      </c>
      <c r="E260" s="12">
        <v>18.8</v>
      </c>
      <c r="F260" s="21">
        <v>5.25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6">
        <v>1362.38</v>
      </c>
      <c r="M260" s="21">
        <v>0.93200000000000005</v>
      </c>
      <c r="N260" s="21">
        <v>2.74</v>
      </c>
      <c r="O260" s="12">
        <v>0</v>
      </c>
      <c r="P260" s="35">
        <v>100</v>
      </c>
      <c r="Q260" s="35">
        <v>60</v>
      </c>
      <c r="R260" s="35">
        <v>30</v>
      </c>
      <c r="S260" s="35">
        <v>100</v>
      </c>
      <c r="T260" s="21">
        <v>0.45105952893131929</v>
      </c>
      <c r="U260" s="21">
        <v>0.132013201320132</v>
      </c>
      <c r="V260" s="37">
        <v>1.67916637838516</v>
      </c>
      <c r="W260" s="37">
        <v>22.483125779335399</v>
      </c>
      <c r="X260" s="35" t="s">
        <v>6</v>
      </c>
      <c r="Y260" s="23" t="s">
        <v>6</v>
      </c>
      <c r="Z260" s="21" t="s">
        <v>6</v>
      </c>
      <c r="AA260" s="35" t="s">
        <v>6</v>
      </c>
      <c r="AB260" s="35" t="s">
        <v>1</v>
      </c>
      <c r="AC260" s="1" t="s">
        <v>20</v>
      </c>
    </row>
    <row r="261" spans="1:29">
      <c r="A261" s="35" t="s">
        <v>22</v>
      </c>
      <c r="B261" s="35" t="s">
        <v>13</v>
      </c>
      <c r="C261" s="35" t="s">
        <v>67</v>
      </c>
      <c r="D261" s="36">
        <v>103</v>
      </c>
      <c r="E261" s="12">
        <v>18.8</v>
      </c>
      <c r="F261" s="21">
        <v>5.25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6">
        <v>1362.38</v>
      </c>
      <c r="M261" s="21">
        <v>0.93200000000000005</v>
      </c>
      <c r="N261" s="21">
        <v>2.74</v>
      </c>
      <c r="O261" s="12">
        <v>0</v>
      </c>
      <c r="P261" s="35">
        <v>100</v>
      </c>
      <c r="Q261" s="35">
        <v>60</v>
      </c>
      <c r="R261" s="35">
        <v>30</v>
      </c>
      <c r="S261" s="35">
        <v>120</v>
      </c>
      <c r="T261" s="21">
        <v>0.68597925331038601</v>
      </c>
      <c r="U261" s="21">
        <v>0.12103960396039599</v>
      </c>
      <c r="V261" s="37">
        <v>0.81011865405754102</v>
      </c>
      <c r="W261" s="37">
        <v>4.4808566355809001</v>
      </c>
      <c r="X261" s="35" t="s">
        <v>6</v>
      </c>
      <c r="Y261" s="23" t="s">
        <v>6</v>
      </c>
      <c r="Z261" s="21" t="s">
        <v>6</v>
      </c>
      <c r="AA261" s="35" t="s">
        <v>6</v>
      </c>
      <c r="AB261" s="35" t="s">
        <v>1</v>
      </c>
      <c r="AC261" s="1" t="s">
        <v>20</v>
      </c>
    </row>
    <row r="262" spans="1:29" ht="14.55" customHeight="1">
      <c r="A262" s="35" t="s">
        <v>23</v>
      </c>
      <c r="B262" s="35" t="s">
        <v>13</v>
      </c>
      <c r="C262" s="35" t="s">
        <v>67</v>
      </c>
      <c r="D262" s="36">
        <v>103</v>
      </c>
      <c r="E262" s="12">
        <v>34.82</v>
      </c>
      <c r="F262" s="21">
        <v>9.15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6">
        <v>1362.38</v>
      </c>
      <c r="M262" s="21">
        <v>0.93200000000000005</v>
      </c>
      <c r="N262" s="21">
        <v>2.74</v>
      </c>
      <c r="O262" s="12">
        <v>0</v>
      </c>
      <c r="P262" s="35">
        <v>100</v>
      </c>
      <c r="Q262" s="35">
        <v>60</v>
      </c>
      <c r="R262" s="35">
        <v>30</v>
      </c>
      <c r="S262" s="35">
        <v>40</v>
      </c>
      <c r="T262" s="21">
        <v>0.62588350986457764</v>
      </c>
      <c r="U262" s="21">
        <v>0.10891089108910799</v>
      </c>
      <c r="V262" s="37">
        <v>0.83017033243277805</v>
      </c>
      <c r="W262" s="37">
        <v>22.567804242012301</v>
      </c>
      <c r="X262" s="35" t="s">
        <v>6</v>
      </c>
      <c r="Y262" s="23" t="s">
        <v>6</v>
      </c>
      <c r="Z262" s="21" t="s">
        <v>6</v>
      </c>
      <c r="AA262" s="35" t="s">
        <v>6</v>
      </c>
      <c r="AB262" s="35" t="s">
        <v>1</v>
      </c>
      <c r="AC262" s="1" t="s">
        <v>20</v>
      </c>
    </row>
    <row r="263" spans="1:29">
      <c r="A263" s="35" t="s">
        <v>23</v>
      </c>
      <c r="B263" s="35" t="s">
        <v>13</v>
      </c>
      <c r="C263" s="35" t="s">
        <v>67</v>
      </c>
      <c r="D263" s="36">
        <v>103</v>
      </c>
      <c r="E263" s="12">
        <v>34.82</v>
      </c>
      <c r="F263" s="21">
        <v>9.15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6">
        <v>1362.38</v>
      </c>
      <c r="M263" s="21">
        <v>0.93200000000000005</v>
      </c>
      <c r="N263" s="21">
        <v>2.74</v>
      </c>
      <c r="O263" s="12">
        <v>0</v>
      </c>
      <c r="P263" s="35">
        <v>100</v>
      </c>
      <c r="Q263" s="35">
        <v>60</v>
      </c>
      <c r="R263" s="35">
        <v>30</v>
      </c>
      <c r="S263" s="35">
        <v>60</v>
      </c>
      <c r="T263" s="21">
        <v>1.1940614478976703</v>
      </c>
      <c r="U263" s="21">
        <v>0.131435643564356</v>
      </c>
      <c r="V263" s="37">
        <v>0.79762871618075304</v>
      </c>
      <c r="W263" s="37">
        <v>13.0146575395444</v>
      </c>
      <c r="X263" s="35" t="s">
        <v>6</v>
      </c>
      <c r="Y263" s="23" t="s">
        <v>6</v>
      </c>
      <c r="Z263" s="21" t="s">
        <v>6</v>
      </c>
      <c r="AA263" s="35" t="s">
        <v>6</v>
      </c>
      <c r="AB263" s="35" t="s">
        <v>1</v>
      </c>
      <c r="AC263" s="1" t="s">
        <v>20</v>
      </c>
    </row>
    <row r="264" spans="1:29">
      <c r="A264" s="35" t="s">
        <v>23</v>
      </c>
      <c r="B264" s="35" t="s">
        <v>13</v>
      </c>
      <c r="C264" s="35" t="s">
        <v>67</v>
      </c>
      <c r="D264" s="36">
        <v>103</v>
      </c>
      <c r="E264" s="12">
        <v>34.82</v>
      </c>
      <c r="F264" s="21">
        <v>9.15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6">
        <v>1362.38</v>
      </c>
      <c r="M264" s="21">
        <v>0.93200000000000005</v>
      </c>
      <c r="N264" s="21">
        <v>2.74</v>
      </c>
      <c r="O264" s="12">
        <v>0</v>
      </c>
      <c r="P264" s="35">
        <v>100</v>
      </c>
      <c r="Q264" s="35">
        <v>60</v>
      </c>
      <c r="R264" s="35">
        <v>30</v>
      </c>
      <c r="S264" s="35">
        <v>80</v>
      </c>
      <c r="T264" s="21">
        <v>1.4836136663183834</v>
      </c>
      <c r="U264" s="21">
        <v>0.164356435643564</v>
      </c>
      <c r="V264" s="37">
        <v>0.65696495560749002</v>
      </c>
      <c r="W264" s="37">
        <v>7.4574445162680698</v>
      </c>
      <c r="X264" s="35" t="s">
        <v>6</v>
      </c>
      <c r="Y264" s="23" t="s">
        <v>6</v>
      </c>
      <c r="Z264" s="21" t="s">
        <v>6</v>
      </c>
      <c r="AA264" s="35" t="s">
        <v>6</v>
      </c>
      <c r="AB264" s="35" t="s">
        <v>1</v>
      </c>
      <c r="AC264" s="1" t="s">
        <v>20</v>
      </c>
    </row>
    <row r="265" spans="1:29">
      <c r="A265" s="35" t="s">
        <v>23</v>
      </c>
      <c r="B265" s="35" t="s">
        <v>13</v>
      </c>
      <c r="C265" s="35" t="s">
        <v>67</v>
      </c>
      <c r="D265" s="36">
        <v>103</v>
      </c>
      <c r="E265" s="12">
        <v>34.82</v>
      </c>
      <c r="F265" s="21">
        <v>9.15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6">
        <v>1362.38</v>
      </c>
      <c r="M265" s="21">
        <v>0.93200000000000005</v>
      </c>
      <c r="N265" s="21">
        <v>2.74</v>
      </c>
      <c r="O265" s="12">
        <v>0</v>
      </c>
      <c r="P265" s="35">
        <v>100</v>
      </c>
      <c r="Q265" s="35">
        <v>60</v>
      </c>
      <c r="R265" s="35">
        <v>30</v>
      </c>
      <c r="S265" s="35">
        <v>100</v>
      </c>
      <c r="T265" s="21">
        <v>1.4617606687017257</v>
      </c>
      <c r="U265" s="21">
        <v>0.160313531353135</v>
      </c>
      <c r="V265" s="37">
        <v>0.58309714418311698</v>
      </c>
      <c r="W265" s="37">
        <v>4.1599124857043099</v>
      </c>
      <c r="X265" s="35" t="s">
        <v>6</v>
      </c>
      <c r="Y265" s="23" t="s">
        <v>6</v>
      </c>
      <c r="Z265" s="21" t="s">
        <v>6</v>
      </c>
      <c r="AA265" s="35" t="s">
        <v>6</v>
      </c>
      <c r="AB265" s="35" t="s">
        <v>1</v>
      </c>
      <c r="AC265" s="1" t="s">
        <v>20</v>
      </c>
    </row>
    <row r="266" spans="1:29">
      <c r="A266" s="35" t="s">
        <v>23</v>
      </c>
      <c r="B266" s="35" t="s">
        <v>13</v>
      </c>
      <c r="C266" s="35" t="s">
        <v>67</v>
      </c>
      <c r="D266" s="36">
        <v>103</v>
      </c>
      <c r="E266" s="12">
        <v>34.82</v>
      </c>
      <c r="F266" s="21">
        <v>9.15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6">
        <v>1362.38</v>
      </c>
      <c r="M266" s="21">
        <v>0.93200000000000005</v>
      </c>
      <c r="N266" s="21">
        <v>2.74</v>
      </c>
      <c r="O266" s="12">
        <v>0</v>
      </c>
      <c r="P266" s="35">
        <v>100</v>
      </c>
      <c r="Q266" s="35">
        <v>60</v>
      </c>
      <c r="R266" s="35">
        <v>30</v>
      </c>
      <c r="S266" s="35">
        <v>120</v>
      </c>
      <c r="T266" s="21">
        <v>1.1011862080268779</v>
      </c>
      <c r="U266" s="21">
        <v>0.11</v>
      </c>
      <c r="V266" s="37">
        <v>0.75906496720976502</v>
      </c>
      <c r="W266" s="37">
        <v>0.88674523063663202</v>
      </c>
      <c r="X266" s="35" t="s">
        <v>6</v>
      </c>
      <c r="Y266" s="23" t="s">
        <v>6</v>
      </c>
      <c r="Z266" s="21" t="s">
        <v>6</v>
      </c>
      <c r="AA266" s="35" t="s">
        <v>6</v>
      </c>
      <c r="AB266" s="35" t="s">
        <v>1</v>
      </c>
      <c r="AC266" s="1" t="s">
        <v>20</v>
      </c>
    </row>
    <row r="267" spans="1:29" ht="14.55" customHeight="1">
      <c r="A267" s="35" t="s">
        <v>23</v>
      </c>
      <c r="B267" s="35" t="s">
        <v>13</v>
      </c>
      <c r="C267" s="35" t="s">
        <v>67</v>
      </c>
      <c r="D267" s="36">
        <v>103</v>
      </c>
      <c r="E267" s="12">
        <v>45.17</v>
      </c>
      <c r="F267" s="21">
        <v>12.342857142857143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6">
        <v>1362.38</v>
      </c>
      <c r="M267" s="21">
        <v>0.93200000000000005</v>
      </c>
      <c r="N267" s="21">
        <v>2.74</v>
      </c>
      <c r="O267" s="12">
        <v>0</v>
      </c>
      <c r="P267" s="35">
        <v>100</v>
      </c>
      <c r="Q267" s="35">
        <v>60</v>
      </c>
      <c r="R267" s="35">
        <v>30</v>
      </c>
      <c r="S267" s="35">
        <v>40</v>
      </c>
      <c r="T267" s="21">
        <v>0.21067655514808789</v>
      </c>
      <c r="U267" s="21">
        <v>1.67904290429042E-2</v>
      </c>
      <c r="V267" s="37">
        <v>1.5535544868186499</v>
      </c>
      <c r="W267" s="37">
        <v>18.715769476428999</v>
      </c>
      <c r="X267" s="35" t="s">
        <v>6</v>
      </c>
      <c r="Y267" s="23" t="s">
        <v>6</v>
      </c>
      <c r="Z267" s="21" t="s">
        <v>6</v>
      </c>
      <c r="AA267" s="35" t="s">
        <v>6</v>
      </c>
      <c r="AB267" s="35" t="s">
        <v>1</v>
      </c>
      <c r="AC267" s="1" t="s">
        <v>20</v>
      </c>
    </row>
    <row r="268" spans="1:29">
      <c r="A268" s="35" t="s">
        <v>23</v>
      </c>
      <c r="B268" s="35" t="s">
        <v>13</v>
      </c>
      <c r="C268" s="35" t="s">
        <v>67</v>
      </c>
      <c r="D268" s="36">
        <v>103</v>
      </c>
      <c r="E268" s="12">
        <v>45.17</v>
      </c>
      <c r="F268" s="21">
        <v>12.342857142857143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6">
        <v>1362.38</v>
      </c>
      <c r="M268" s="21">
        <v>0.93200000000000005</v>
      </c>
      <c r="N268" s="21">
        <v>2.74</v>
      </c>
      <c r="O268" s="12">
        <v>0</v>
      </c>
      <c r="P268" s="35">
        <v>100</v>
      </c>
      <c r="Q268" s="35">
        <v>60</v>
      </c>
      <c r="R268" s="35">
        <v>30</v>
      </c>
      <c r="S268" s="35">
        <v>60</v>
      </c>
      <c r="T268" s="21">
        <v>0.24072442687098999</v>
      </c>
      <c r="U268" s="21">
        <v>1.9389438943894301E-2</v>
      </c>
      <c r="V268" s="37">
        <v>0.99089675273575495</v>
      </c>
      <c r="W268" s="37">
        <v>19.499233711488898</v>
      </c>
      <c r="X268" s="35" t="s">
        <v>6</v>
      </c>
      <c r="Y268" s="23" t="s">
        <v>6</v>
      </c>
      <c r="Z268" s="21" t="s">
        <v>6</v>
      </c>
      <c r="AA268" s="35" t="s">
        <v>6</v>
      </c>
      <c r="AB268" s="35" t="s">
        <v>1</v>
      </c>
      <c r="AC268" s="1" t="s">
        <v>20</v>
      </c>
    </row>
    <row r="269" spans="1:29">
      <c r="A269" s="35" t="s">
        <v>23</v>
      </c>
      <c r="B269" s="35" t="s">
        <v>13</v>
      </c>
      <c r="C269" s="35" t="s">
        <v>67</v>
      </c>
      <c r="D269" s="36">
        <v>103</v>
      </c>
      <c r="E269" s="12">
        <v>45.17</v>
      </c>
      <c r="F269" s="21">
        <v>12.342857142857143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6">
        <v>1362.38</v>
      </c>
      <c r="M269" s="21">
        <v>0.93200000000000005</v>
      </c>
      <c r="N269" s="21">
        <v>2.74</v>
      </c>
      <c r="O269" s="12">
        <v>0</v>
      </c>
      <c r="P269" s="35">
        <v>100</v>
      </c>
      <c r="Q269" s="35">
        <v>60</v>
      </c>
      <c r="R269" s="35">
        <v>30</v>
      </c>
      <c r="S269" s="35">
        <v>80</v>
      </c>
      <c r="T269" s="21">
        <v>0.33633129144386698</v>
      </c>
      <c r="U269" s="21">
        <v>2.6608910891089001E-2</v>
      </c>
      <c r="V269" s="37">
        <v>1.7350876408893099</v>
      </c>
      <c r="W269" s="37">
        <v>29.9285306552176</v>
      </c>
      <c r="X269" s="35" t="s">
        <v>6</v>
      </c>
      <c r="Y269" s="23" t="s">
        <v>6</v>
      </c>
      <c r="Z269" s="21" t="s">
        <v>6</v>
      </c>
      <c r="AA269" s="35" t="s">
        <v>6</v>
      </c>
      <c r="AB269" s="35" t="s">
        <v>1</v>
      </c>
      <c r="AC269" s="1" t="s">
        <v>20</v>
      </c>
    </row>
    <row r="270" spans="1:29">
      <c r="A270" s="35" t="s">
        <v>23</v>
      </c>
      <c r="B270" s="35" t="s">
        <v>13</v>
      </c>
      <c r="C270" s="35" t="s">
        <v>67</v>
      </c>
      <c r="D270" s="36">
        <v>103</v>
      </c>
      <c r="E270" s="12">
        <v>45.17</v>
      </c>
      <c r="F270" s="21">
        <v>12.342857142857143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6">
        <v>1362.38</v>
      </c>
      <c r="M270" s="21">
        <v>0.93200000000000005</v>
      </c>
      <c r="N270" s="21">
        <v>2.74</v>
      </c>
      <c r="O270" s="12">
        <v>0</v>
      </c>
      <c r="P270" s="35">
        <v>100</v>
      </c>
      <c r="Q270" s="35">
        <v>60</v>
      </c>
      <c r="R270" s="35">
        <v>30</v>
      </c>
      <c r="S270" s="35">
        <v>100</v>
      </c>
      <c r="T270" s="21">
        <v>0.35818428906052452</v>
      </c>
      <c r="U270" s="21">
        <v>2.8630363036303601E-2</v>
      </c>
      <c r="V270" s="37">
        <v>1.02344916387146</v>
      </c>
      <c r="W270" s="37">
        <v>13.355789254536299</v>
      </c>
      <c r="X270" s="35" t="s">
        <v>6</v>
      </c>
      <c r="Y270" s="23" t="s">
        <v>6</v>
      </c>
      <c r="Z270" s="21" t="s">
        <v>6</v>
      </c>
      <c r="AA270" s="35" t="s">
        <v>6</v>
      </c>
      <c r="AB270" s="35" t="s">
        <v>1</v>
      </c>
      <c r="AC270" s="2" t="s">
        <v>20</v>
      </c>
    </row>
    <row r="271" spans="1:29">
      <c r="A271" s="35" t="s">
        <v>23</v>
      </c>
      <c r="B271" s="35" t="s">
        <v>13</v>
      </c>
      <c r="C271" s="35" t="s">
        <v>67</v>
      </c>
      <c r="D271" s="36">
        <v>103</v>
      </c>
      <c r="E271" s="12">
        <v>45.17</v>
      </c>
      <c r="F271" s="21">
        <v>12.342857142857143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6">
        <v>1362.38</v>
      </c>
      <c r="M271" s="21">
        <v>0.93200000000000005</v>
      </c>
      <c r="N271" s="21">
        <v>2.74</v>
      </c>
      <c r="O271" s="12">
        <v>0</v>
      </c>
      <c r="P271" s="35">
        <v>100</v>
      </c>
      <c r="Q271" s="35">
        <v>60</v>
      </c>
      <c r="R271" s="35">
        <v>30</v>
      </c>
      <c r="S271" s="35">
        <v>120</v>
      </c>
      <c r="T271" s="21">
        <v>7.9558569448143504E-2</v>
      </c>
      <c r="U271" s="21">
        <v>5.52805280528057E-3</v>
      </c>
      <c r="V271" s="37">
        <v>0.46</v>
      </c>
      <c r="W271" s="37">
        <v>1.1000000000000001</v>
      </c>
      <c r="X271" s="35" t="s">
        <v>6</v>
      </c>
      <c r="Y271" s="23" t="s">
        <v>6</v>
      </c>
      <c r="Z271" s="21" t="s">
        <v>6</v>
      </c>
      <c r="AA271" s="35" t="s">
        <v>6</v>
      </c>
      <c r="AB271" s="35" t="s">
        <v>1</v>
      </c>
      <c r="AC271" s="2" t="s">
        <v>20</v>
      </c>
    </row>
    <row r="272" spans="1:29">
      <c r="A272" s="35" t="s">
        <v>8</v>
      </c>
      <c r="B272" s="35" t="s">
        <v>2</v>
      </c>
      <c r="C272" s="49" t="s">
        <v>72</v>
      </c>
      <c r="D272" s="36">
        <v>294.39999999999998</v>
      </c>
      <c r="E272" s="12">
        <v>23</v>
      </c>
      <c r="F272" s="21">
        <f t="shared" ref="F272:F288" si="12">T272/U272</f>
        <v>2.8000000000000003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6">
        <v>700</v>
      </c>
      <c r="M272" s="35">
        <v>0.96</v>
      </c>
      <c r="N272" s="21">
        <v>5.4857142857142858</v>
      </c>
      <c r="O272" s="12">
        <v>0</v>
      </c>
      <c r="P272" s="35">
        <v>0.04</v>
      </c>
      <c r="Q272" s="35">
        <v>90</v>
      </c>
      <c r="R272" s="35">
        <v>700</v>
      </c>
      <c r="S272" s="35">
        <v>35</v>
      </c>
      <c r="T272" s="21">
        <v>0.14000000000000001</v>
      </c>
      <c r="U272" s="21">
        <v>0.05</v>
      </c>
      <c r="V272" s="37">
        <v>4.6439628482971198</v>
      </c>
      <c r="W272" s="37">
        <v>373.68421052631902</v>
      </c>
      <c r="X272" s="35" t="s">
        <v>6</v>
      </c>
      <c r="Y272" s="23" t="s">
        <v>6</v>
      </c>
      <c r="Z272" s="21" t="s">
        <v>6</v>
      </c>
      <c r="AA272" s="35" t="s">
        <v>6</v>
      </c>
      <c r="AB272" s="35" t="s">
        <v>1</v>
      </c>
      <c r="AC272" s="27" t="s">
        <v>26</v>
      </c>
    </row>
    <row r="273" spans="1:29">
      <c r="A273" s="35" t="s">
        <v>8</v>
      </c>
      <c r="B273" s="35" t="s">
        <v>2</v>
      </c>
      <c r="C273" s="49" t="s">
        <v>72</v>
      </c>
      <c r="D273" s="36">
        <v>294.39999999999998</v>
      </c>
      <c r="E273" s="12">
        <v>27</v>
      </c>
      <c r="F273" s="21">
        <f t="shared" si="12"/>
        <v>3.3333333333333335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6">
        <v>700</v>
      </c>
      <c r="M273" s="35">
        <v>0.96</v>
      </c>
      <c r="N273" s="21">
        <v>5.4857142857142858</v>
      </c>
      <c r="O273" s="12">
        <v>0</v>
      </c>
      <c r="P273" s="35">
        <v>0.04</v>
      </c>
      <c r="Q273" s="35">
        <v>90</v>
      </c>
      <c r="R273" s="35">
        <v>700</v>
      </c>
      <c r="S273" s="35">
        <v>35</v>
      </c>
      <c r="T273" s="21">
        <v>0.3</v>
      </c>
      <c r="U273" s="21">
        <v>0.09</v>
      </c>
      <c r="V273" s="37">
        <v>8.6687306501548491</v>
      </c>
      <c r="W273" s="37">
        <v>112.074303405573</v>
      </c>
      <c r="X273" s="35" t="s">
        <v>6</v>
      </c>
      <c r="Y273" s="23" t="s">
        <v>6</v>
      </c>
      <c r="Z273" s="21" t="s">
        <v>6</v>
      </c>
      <c r="AA273" s="35" t="s">
        <v>6</v>
      </c>
      <c r="AB273" s="35" t="s">
        <v>1</v>
      </c>
      <c r="AC273" s="1" t="s">
        <v>45</v>
      </c>
    </row>
    <row r="274" spans="1:29">
      <c r="A274" s="35" t="s">
        <v>8</v>
      </c>
      <c r="B274" s="35" t="s">
        <v>73</v>
      </c>
      <c r="C274" s="49" t="s">
        <v>71</v>
      </c>
      <c r="D274" s="36">
        <v>294.39999999999998</v>
      </c>
      <c r="E274" s="12">
        <v>37</v>
      </c>
      <c r="F274" s="21">
        <f t="shared" si="12"/>
        <v>4.615384615384615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6">
        <v>700</v>
      </c>
      <c r="M274" s="35">
        <v>0.96</v>
      </c>
      <c r="N274" s="21">
        <v>5.4857142857142858</v>
      </c>
      <c r="O274" s="12">
        <v>0</v>
      </c>
      <c r="P274" s="35">
        <v>0.04</v>
      </c>
      <c r="Q274" s="35">
        <v>90</v>
      </c>
      <c r="R274" s="35">
        <v>700</v>
      </c>
      <c r="S274" s="35">
        <v>35</v>
      </c>
      <c r="T274" s="21">
        <v>0.6</v>
      </c>
      <c r="U274" s="21">
        <v>0.13</v>
      </c>
      <c r="V274" s="37">
        <v>19.195046439628399</v>
      </c>
      <c r="W274" s="37">
        <v>273.68421052631498</v>
      </c>
      <c r="X274" s="35" t="s">
        <v>6</v>
      </c>
      <c r="Y274" s="23" t="s">
        <v>6</v>
      </c>
      <c r="Z274" s="21" t="s">
        <v>6</v>
      </c>
      <c r="AA274" s="35" t="s">
        <v>6</v>
      </c>
      <c r="AB274" s="35" t="s">
        <v>1</v>
      </c>
      <c r="AC274" s="27" t="s">
        <v>26</v>
      </c>
    </row>
    <row r="275" spans="1:29">
      <c r="A275" s="35" t="s">
        <v>8</v>
      </c>
      <c r="B275" s="35" t="s">
        <v>73</v>
      </c>
      <c r="C275" s="49" t="s">
        <v>71</v>
      </c>
      <c r="D275" s="36">
        <v>294.39999999999998</v>
      </c>
      <c r="E275" s="12">
        <v>43</v>
      </c>
      <c r="F275" s="21">
        <f t="shared" si="12"/>
        <v>6.3076923076923075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6">
        <v>700</v>
      </c>
      <c r="M275" s="35">
        <v>0.96</v>
      </c>
      <c r="N275" s="21">
        <v>5.4857142857142858</v>
      </c>
      <c r="O275" s="12">
        <v>0</v>
      </c>
      <c r="P275" s="35">
        <v>0.04</v>
      </c>
      <c r="Q275" s="35">
        <v>90</v>
      </c>
      <c r="R275" s="35">
        <v>700</v>
      </c>
      <c r="S275" s="35">
        <v>35</v>
      </c>
      <c r="T275" s="21">
        <v>0.82</v>
      </c>
      <c r="U275" s="21">
        <v>0.13</v>
      </c>
      <c r="V275" s="37">
        <v>21.981424148606798</v>
      </c>
      <c r="W275" s="37">
        <v>326.62538699690299</v>
      </c>
      <c r="X275" s="35" t="s">
        <v>6</v>
      </c>
      <c r="Y275" s="23" t="s">
        <v>6</v>
      </c>
      <c r="Z275" s="21" t="s">
        <v>6</v>
      </c>
      <c r="AA275" s="35" t="s">
        <v>6</v>
      </c>
      <c r="AB275" s="35" t="s">
        <v>1</v>
      </c>
      <c r="AC275" s="27" t="s">
        <v>26</v>
      </c>
    </row>
    <row r="276" spans="1:29">
      <c r="A276" s="35" t="s">
        <v>8</v>
      </c>
      <c r="B276" s="35" t="s">
        <v>73</v>
      </c>
      <c r="C276" s="49" t="s">
        <v>71</v>
      </c>
      <c r="D276" s="36">
        <v>294.39999999999998</v>
      </c>
      <c r="E276" s="12">
        <v>51</v>
      </c>
      <c r="F276" s="21">
        <f t="shared" si="12"/>
        <v>8.3636363636363633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6">
        <v>700</v>
      </c>
      <c r="M276" s="35">
        <v>0.96</v>
      </c>
      <c r="N276" s="21">
        <v>5.4857142857142858</v>
      </c>
      <c r="O276" s="12">
        <v>0</v>
      </c>
      <c r="P276" s="35">
        <v>0.04</v>
      </c>
      <c r="Q276" s="35">
        <v>90</v>
      </c>
      <c r="R276" s="35">
        <v>700</v>
      </c>
      <c r="S276" s="35">
        <v>35</v>
      </c>
      <c r="T276" s="21">
        <v>0.92</v>
      </c>
      <c r="U276" s="21">
        <v>0.11</v>
      </c>
      <c r="V276" s="37">
        <v>3.7151702786377898</v>
      </c>
      <c r="W276" s="37">
        <v>202.78637770897899</v>
      </c>
      <c r="X276" s="35" t="s">
        <v>6</v>
      </c>
      <c r="Y276" s="23" t="s">
        <v>6</v>
      </c>
      <c r="Z276" s="21" t="s">
        <v>6</v>
      </c>
      <c r="AA276" s="35" t="s">
        <v>6</v>
      </c>
      <c r="AB276" s="35" t="s">
        <v>1</v>
      </c>
      <c r="AC276" s="27" t="s">
        <v>26</v>
      </c>
    </row>
    <row r="277" spans="1:29">
      <c r="A277" s="35" t="s">
        <v>7</v>
      </c>
      <c r="B277" s="35" t="s">
        <v>75</v>
      </c>
      <c r="C277" s="49" t="s">
        <v>71</v>
      </c>
      <c r="D277" s="36">
        <v>336.5</v>
      </c>
      <c r="E277" s="12">
        <v>27</v>
      </c>
      <c r="F277" s="21">
        <f t="shared" si="12"/>
        <v>3.5000000000000004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6">
        <v>700</v>
      </c>
      <c r="M277" s="35">
        <v>0.96</v>
      </c>
      <c r="N277" s="21">
        <v>5.4857142857142858</v>
      </c>
      <c r="O277" s="12">
        <v>0</v>
      </c>
      <c r="P277" s="35">
        <v>0.04</v>
      </c>
      <c r="Q277" s="35">
        <v>90</v>
      </c>
      <c r="R277" s="35">
        <v>700</v>
      </c>
      <c r="S277" s="35">
        <v>35</v>
      </c>
      <c r="T277" s="21">
        <v>7.0000000000000007E-2</v>
      </c>
      <c r="U277" s="21">
        <v>0.02</v>
      </c>
      <c r="V277" s="37">
        <v>2.6608124669716902</v>
      </c>
      <c r="W277" s="37">
        <v>20.9632444709293</v>
      </c>
      <c r="X277" s="35" t="s">
        <v>6</v>
      </c>
      <c r="Y277" s="23" t="s">
        <v>6</v>
      </c>
      <c r="Z277" s="21" t="s">
        <v>6</v>
      </c>
      <c r="AA277" s="35" t="s">
        <v>6</v>
      </c>
      <c r="AB277" s="35" t="s">
        <v>1</v>
      </c>
      <c r="AC277" s="27" t="s">
        <v>26</v>
      </c>
    </row>
    <row r="278" spans="1:29">
      <c r="A278" s="35" t="s">
        <v>7</v>
      </c>
      <c r="B278" s="35" t="s">
        <v>75</v>
      </c>
      <c r="C278" s="49" t="s">
        <v>71</v>
      </c>
      <c r="D278" s="36">
        <v>336.5</v>
      </c>
      <c r="E278" s="12">
        <v>34</v>
      </c>
      <c r="F278" s="21">
        <f t="shared" si="12"/>
        <v>3.1999999999999997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6">
        <v>700</v>
      </c>
      <c r="M278" s="35">
        <v>0.96</v>
      </c>
      <c r="N278" s="21">
        <v>5.4857142857142858</v>
      </c>
      <c r="O278" s="12">
        <v>0</v>
      </c>
      <c r="P278" s="35">
        <v>0.04</v>
      </c>
      <c r="Q278" s="35">
        <v>90</v>
      </c>
      <c r="R278" s="35">
        <v>700</v>
      </c>
      <c r="S278" s="35">
        <v>35</v>
      </c>
      <c r="T278" s="21">
        <v>0.16</v>
      </c>
      <c r="U278" s="21">
        <v>0.05</v>
      </c>
      <c r="V278" s="37">
        <v>3.6170858678419502</v>
      </c>
      <c r="W278" s="37">
        <v>23.395248428698199</v>
      </c>
      <c r="X278" s="35" t="s">
        <v>6</v>
      </c>
      <c r="Y278" s="23" t="s">
        <v>6</v>
      </c>
      <c r="Z278" s="21" t="s">
        <v>6</v>
      </c>
      <c r="AA278" s="35" t="s">
        <v>6</v>
      </c>
      <c r="AB278" s="35" t="s">
        <v>1</v>
      </c>
      <c r="AC278" s="27" t="s">
        <v>26</v>
      </c>
    </row>
    <row r="279" spans="1:29">
      <c r="A279" s="35" t="s">
        <v>7</v>
      </c>
      <c r="B279" s="35" t="s">
        <v>74</v>
      </c>
      <c r="C279" s="49" t="s">
        <v>71</v>
      </c>
      <c r="D279" s="36">
        <v>336.5</v>
      </c>
      <c r="E279" s="12">
        <v>43</v>
      </c>
      <c r="F279" s="21">
        <f t="shared" si="12"/>
        <v>4.5555555555555554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6">
        <v>700</v>
      </c>
      <c r="M279" s="35">
        <v>0.96</v>
      </c>
      <c r="N279" s="21">
        <v>5.4857142857142858</v>
      </c>
      <c r="O279" s="12">
        <v>0</v>
      </c>
      <c r="P279" s="35">
        <v>0.04</v>
      </c>
      <c r="Q279" s="35">
        <v>90</v>
      </c>
      <c r="R279" s="35">
        <v>700</v>
      </c>
      <c r="S279" s="35">
        <v>35</v>
      </c>
      <c r="T279" s="21">
        <v>0.41</v>
      </c>
      <c r="U279" s="21">
        <v>0.09</v>
      </c>
      <c r="V279" s="37">
        <v>8.50976511991359</v>
      </c>
      <c r="W279" s="37">
        <v>177.874723124838</v>
      </c>
      <c r="X279" s="35" t="s">
        <v>6</v>
      </c>
      <c r="Y279" s="23" t="s">
        <v>6</v>
      </c>
      <c r="Z279" s="21" t="s">
        <v>6</v>
      </c>
      <c r="AA279" s="35" t="s">
        <v>6</v>
      </c>
      <c r="AB279" s="35" t="s">
        <v>1</v>
      </c>
      <c r="AC279" s="27" t="s">
        <v>26</v>
      </c>
    </row>
    <row r="280" spans="1:29" ht="14.55" customHeight="1">
      <c r="A280" s="35" t="s">
        <v>7</v>
      </c>
      <c r="B280" s="35" t="s">
        <v>74</v>
      </c>
      <c r="C280" s="49" t="s">
        <v>71</v>
      </c>
      <c r="D280" s="36">
        <v>336.5</v>
      </c>
      <c r="E280" s="12">
        <v>53</v>
      </c>
      <c r="F280" s="21">
        <f t="shared" si="12"/>
        <v>5.6000000000000005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6">
        <v>700</v>
      </c>
      <c r="M280" s="35">
        <v>0.96</v>
      </c>
      <c r="N280" s="21">
        <v>5.4857142857142858</v>
      </c>
      <c r="O280" s="12">
        <v>0</v>
      </c>
      <c r="P280" s="35">
        <v>0.04</v>
      </c>
      <c r="Q280" s="35">
        <v>90</v>
      </c>
      <c r="R280" s="35">
        <v>700</v>
      </c>
      <c r="S280" s="35">
        <v>35</v>
      </c>
      <c r="T280" s="21">
        <v>0.56000000000000005</v>
      </c>
      <c r="U280" s="21">
        <v>0.1</v>
      </c>
      <c r="V280" s="37">
        <v>13.8966032898952</v>
      </c>
      <c r="W280" s="37">
        <v>596.61622010591304</v>
      </c>
      <c r="X280" s="35" t="s">
        <v>6</v>
      </c>
      <c r="Y280" s="23" t="s">
        <v>6</v>
      </c>
      <c r="Z280" s="21" t="s">
        <v>6</v>
      </c>
      <c r="AA280" s="35" t="s">
        <v>6</v>
      </c>
      <c r="AB280" s="35" t="s">
        <v>1</v>
      </c>
      <c r="AC280" s="27" t="s">
        <v>26</v>
      </c>
    </row>
    <row r="281" spans="1:29">
      <c r="A281" s="35" t="s">
        <v>7</v>
      </c>
      <c r="B281" s="35" t="s">
        <v>76</v>
      </c>
      <c r="C281" s="49" t="s">
        <v>71</v>
      </c>
      <c r="D281" s="36">
        <v>510.8</v>
      </c>
      <c r="E281" s="12">
        <v>24</v>
      </c>
      <c r="F281" s="21">
        <f t="shared" si="12"/>
        <v>3.1999999999999997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6">
        <v>700</v>
      </c>
      <c r="M281" s="35">
        <v>0.96</v>
      </c>
      <c r="N281" s="21">
        <v>5.4857142857142858</v>
      </c>
      <c r="O281" s="12">
        <v>0</v>
      </c>
      <c r="P281" s="35">
        <v>0.04</v>
      </c>
      <c r="Q281" s="35">
        <v>90</v>
      </c>
      <c r="R281" s="35">
        <v>700</v>
      </c>
      <c r="S281" s="35">
        <v>35</v>
      </c>
      <c r="T281" s="21">
        <v>0.16</v>
      </c>
      <c r="U281" s="21">
        <v>0.05</v>
      </c>
      <c r="V281" s="37">
        <v>14.4404332129964</v>
      </c>
      <c r="W281" s="37">
        <v>181.22743682310301</v>
      </c>
      <c r="X281" s="35" t="s">
        <v>6</v>
      </c>
      <c r="Y281" s="23" t="s">
        <v>6</v>
      </c>
      <c r="Z281" s="21" t="s">
        <v>6</v>
      </c>
      <c r="AA281" s="35" t="s">
        <v>6</v>
      </c>
      <c r="AB281" s="35" t="s">
        <v>1</v>
      </c>
      <c r="AC281" s="1" t="s">
        <v>45</v>
      </c>
    </row>
    <row r="282" spans="1:29">
      <c r="A282" s="35" t="s">
        <v>7</v>
      </c>
      <c r="B282" s="35" t="s">
        <v>76</v>
      </c>
      <c r="C282" s="49" t="s">
        <v>71</v>
      </c>
      <c r="D282" s="36">
        <v>510.8</v>
      </c>
      <c r="E282" s="12">
        <v>32</v>
      </c>
      <c r="F282" s="21">
        <f t="shared" si="12"/>
        <v>5.0666666666666673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6">
        <v>700</v>
      </c>
      <c r="M282" s="35">
        <v>0.96</v>
      </c>
      <c r="N282" s="21">
        <v>5.4857142857142858</v>
      </c>
      <c r="O282" s="12">
        <v>0</v>
      </c>
      <c r="P282" s="35">
        <v>0.04</v>
      </c>
      <c r="Q282" s="35">
        <v>90</v>
      </c>
      <c r="R282" s="35">
        <v>700</v>
      </c>
      <c r="S282" s="35">
        <v>35</v>
      </c>
      <c r="T282" s="21">
        <v>0.38</v>
      </c>
      <c r="U282" s="21">
        <v>7.4999999999999997E-2</v>
      </c>
      <c r="V282" s="37">
        <v>11.913357400721999</v>
      </c>
      <c r="W282" s="37">
        <v>230.685920577611</v>
      </c>
      <c r="X282" s="35" t="s">
        <v>6</v>
      </c>
      <c r="Y282" s="23" t="s">
        <v>6</v>
      </c>
      <c r="Z282" s="21" t="s">
        <v>6</v>
      </c>
      <c r="AA282" s="35" t="s">
        <v>6</v>
      </c>
      <c r="AB282" s="35" t="s">
        <v>1</v>
      </c>
      <c r="AC282" s="27" t="s">
        <v>26</v>
      </c>
    </row>
    <row r="283" spans="1:29">
      <c r="A283" s="35" t="s">
        <v>7</v>
      </c>
      <c r="B283" s="35" t="s">
        <v>76</v>
      </c>
      <c r="C283" s="49" t="s">
        <v>71</v>
      </c>
      <c r="D283" s="36">
        <v>510.8</v>
      </c>
      <c r="E283" s="12">
        <v>40</v>
      </c>
      <c r="F283" s="21">
        <f t="shared" si="12"/>
        <v>6.8831168831168839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6">
        <v>700</v>
      </c>
      <c r="M283" s="35">
        <v>0.96</v>
      </c>
      <c r="N283" s="21">
        <v>5.4857142857142858</v>
      </c>
      <c r="O283" s="12">
        <v>0</v>
      </c>
      <c r="P283" s="35">
        <v>0.04</v>
      </c>
      <c r="Q283" s="35">
        <v>90</v>
      </c>
      <c r="R283" s="35">
        <v>700</v>
      </c>
      <c r="S283" s="35">
        <v>35</v>
      </c>
      <c r="T283" s="21">
        <v>0.53</v>
      </c>
      <c r="U283" s="21">
        <v>7.6999999999999999E-2</v>
      </c>
      <c r="V283" s="37">
        <v>16.245487364620999</v>
      </c>
      <c r="W283" s="37">
        <v>390.25270758123202</v>
      </c>
      <c r="X283" s="35" t="s">
        <v>6</v>
      </c>
      <c r="Y283" s="23" t="s">
        <v>6</v>
      </c>
      <c r="Z283" s="21" t="s">
        <v>6</v>
      </c>
      <c r="AA283" s="35" t="s">
        <v>6</v>
      </c>
      <c r="AB283" s="35" t="s">
        <v>1</v>
      </c>
      <c r="AC283" s="27" t="s">
        <v>26</v>
      </c>
    </row>
    <row r="284" spans="1:29">
      <c r="A284" s="35" t="s">
        <v>7</v>
      </c>
      <c r="B284" s="35" t="s">
        <v>76</v>
      </c>
      <c r="C284" s="49" t="s">
        <v>71</v>
      </c>
      <c r="D284" s="36">
        <v>510.8</v>
      </c>
      <c r="E284" s="12">
        <v>49</v>
      </c>
      <c r="F284" s="21">
        <f t="shared" si="12"/>
        <v>8.5416666666666661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6">
        <v>700</v>
      </c>
      <c r="M284" s="35">
        <v>0.96</v>
      </c>
      <c r="N284" s="21">
        <v>5.4857142857142858</v>
      </c>
      <c r="O284" s="12">
        <v>0</v>
      </c>
      <c r="P284" s="35">
        <v>0.04</v>
      </c>
      <c r="Q284" s="35">
        <v>90</v>
      </c>
      <c r="R284" s="35">
        <v>700</v>
      </c>
      <c r="S284" s="35">
        <v>35</v>
      </c>
      <c r="T284" s="21">
        <v>0.41</v>
      </c>
      <c r="U284" s="21">
        <v>4.8000000000000001E-2</v>
      </c>
      <c r="V284" s="37">
        <v>47.292418772563003</v>
      </c>
      <c r="W284" s="37">
        <v>453.79061371841101</v>
      </c>
      <c r="X284" s="35" t="s">
        <v>6</v>
      </c>
      <c r="Y284" s="23" t="s">
        <v>6</v>
      </c>
      <c r="Z284" s="21" t="s">
        <v>6</v>
      </c>
      <c r="AA284" s="35" t="s">
        <v>6</v>
      </c>
      <c r="AB284" s="35" t="s">
        <v>1</v>
      </c>
      <c r="AC284" s="27" t="s">
        <v>26</v>
      </c>
    </row>
    <row r="285" spans="1:29">
      <c r="A285" s="35" t="s">
        <v>7</v>
      </c>
      <c r="B285" s="35" t="s">
        <v>77</v>
      </c>
      <c r="C285" s="49" t="s">
        <v>71</v>
      </c>
      <c r="D285" s="36">
        <v>594.9</v>
      </c>
      <c r="E285" s="12">
        <v>23</v>
      </c>
      <c r="F285" s="21">
        <f t="shared" si="12"/>
        <v>3.1999999999999997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6">
        <v>700</v>
      </c>
      <c r="M285" s="35">
        <v>0.96</v>
      </c>
      <c r="N285" s="21">
        <v>5.4857142857142858</v>
      </c>
      <c r="O285" s="12">
        <v>0</v>
      </c>
      <c r="P285" s="35">
        <v>0.04</v>
      </c>
      <c r="Q285" s="35">
        <v>90</v>
      </c>
      <c r="R285" s="35">
        <v>700</v>
      </c>
      <c r="S285" s="35">
        <v>35</v>
      </c>
      <c r="T285" s="21">
        <v>0.16</v>
      </c>
      <c r="U285" s="21">
        <v>0.05</v>
      </c>
      <c r="V285" s="37">
        <v>10.8708025042688</v>
      </c>
      <c r="W285" s="37">
        <v>181.22743682310301</v>
      </c>
      <c r="X285" s="35" t="s">
        <v>6</v>
      </c>
      <c r="Y285" s="23" t="s">
        <v>6</v>
      </c>
      <c r="Z285" s="21" t="s">
        <v>6</v>
      </c>
      <c r="AA285" s="35" t="s">
        <v>6</v>
      </c>
      <c r="AB285" s="35" t="s">
        <v>1</v>
      </c>
      <c r="AC285" s="27" t="s">
        <v>26</v>
      </c>
    </row>
    <row r="286" spans="1:29">
      <c r="A286" s="35" t="s">
        <v>7</v>
      </c>
      <c r="B286" s="35" t="s">
        <v>77</v>
      </c>
      <c r="C286" s="49" t="s">
        <v>71</v>
      </c>
      <c r="D286" s="36">
        <v>594.9</v>
      </c>
      <c r="E286" s="12">
        <v>30</v>
      </c>
      <c r="F286" s="21">
        <f t="shared" si="12"/>
        <v>4.4186046511627914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6">
        <v>700</v>
      </c>
      <c r="M286" s="35">
        <v>0.96</v>
      </c>
      <c r="N286" s="21">
        <v>5.4857142857142858</v>
      </c>
      <c r="O286" s="12">
        <v>0</v>
      </c>
      <c r="P286" s="35">
        <v>0.04</v>
      </c>
      <c r="Q286" s="35">
        <v>90</v>
      </c>
      <c r="R286" s="35">
        <v>700</v>
      </c>
      <c r="S286" s="35">
        <v>35</v>
      </c>
      <c r="T286" s="21">
        <v>0.19</v>
      </c>
      <c r="U286" s="21">
        <v>4.2999999999999997E-2</v>
      </c>
      <c r="V286" s="37">
        <v>19.7495731360275</v>
      </c>
      <c r="W286" s="37">
        <v>230.685920577611</v>
      </c>
      <c r="X286" s="35" t="s">
        <v>6</v>
      </c>
      <c r="Y286" s="23" t="s">
        <v>6</v>
      </c>
      <c r="Z286" s="21" t="s">
        <v>6</v>
      </c>
      <c r="AA286" s="35" t="s">
        <v>6</v>
      </c>
      <c r="AB286" s="35" t="s">
        <v>1</v>
      </c>
      <c r="AC286" s="1" t="s">
        <v>45</v>
      </c>
    </row>
    <row r="287" spans="1:29" ht="14.55" customHeight="1">
      <c r="A287" s="35" t="s">
        <v>7</v>
      </c>
      <c r="B287" s="35" t="s">
        <v>77</v>
      </c>
      <c r="C287" s="49" t="s">
        <v>71</v>
      </c>
      <c r="D287" s="36">
        <v>594.9</v>
      </c>
      <c r="E287" s="12">
        <v>40</v>
      </c>
      <c r="F287" s="21">
        <f t="shared" si="12"/>
        <v>5.8695652173913047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6">
        <v>700</v>
      </c>
      <c r="M287" s="35">
        <v>0.96</v>
      </c>
      <c r="N287" s="21">
        <v>5.4857142857142858</v>
      </c>
      <c r="O287" s="12">
        <v>0</v>
      </c>
      <c r="P287" s="35">
        <v>0.04</v>
      </c>
      <c r="Q287" s="35">
        <v>90</v>
      </c>
      <c r="R287" s="35">
        <v>700</v>
      </c>
      <c r="S287" s="35">
        <v>35</v>
      </c>
      <c r="T287" s="21">
        <v>0.27</v>
      </c>
      <c r="U287" s="21">
        <v>4.5999999999999999E-2</v>
      </c>
      <c r="V287" s="37">
        <v>26.237905520774198</v>
      </c>
      <c r="W287" s="37">
        <v>390.25270758123202</v>
      </c>
      <c r="X287" s="35" t="s">
        <v>6</v>
      </c>
      <c r="Y287" s="23" t="s">
        <v>6</v>
      </c>
      <c r="Z287" s="21" t="s">
        <v>6</v>
      </c>
      <c r="AA287" s="35" t="s">
        <v>6</v>
      </c>
      <c r="AB287" s="35" t="s">
        <v>1</v>
      </c>
      <c r="AC287" s="27" t="s">
        <v>26</v>
      </c>
    </row>
    <row r="288" spans="1:29">
      <c r="A288" s="35" t="s">
        <v>7</v>
      </c>
      <c r="B288" s="35" t="s">
        <v>77</v>
      </c>
      <c r="C288" s="49" t="s">
        <v>71</v>
      </c>
      <c r="D288" s="36">
        <v>594.9</v>
      </c>
      <c r="E288" s="12">
        <v>49</v>
      </c>
      <c r="F288" s="21">
        <f t="shared" si="12"/>
        <v>7.8947368421052628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6">
        <v>700</v>
      </c>
      <c r="M288" s="35">
        <v>0.96</v>
      </c>
      <c r="N288" s="21">
        <v>5.4857142857142858</v>
      </c>
      <c r="O288" s="12">
        <v>0</v>
      </c>
      <c r="P288" s="35">
        <v>0.04</v>
      </c>
      <c r="Q288" s="35">
        <v>90</v>
      </c>
      <c r="R288" s="35">
        <v>700</v>
      </c>
      <c r="S288" s="35">
        <v>35</v>
      </c>
      <c r="T288" s="21">
        <v>0.3</v>
      </c>
      <c r="U288" s="21">
        <v>3.7999999999999999E-2</v>
      </c>
      <c r="V288" s="37">
        <v>51.849743881616</v>
      </c>
      <c r="W288" s="37">
        <v>453.79061371841101</v>
      </c>
      <c r="X288" s="35" t="s">
        <v>6</v>
      </c>
      <c r="Y288" s="23" t="s">
        <v>6</v>
      </c>
      <c r="Z288" s="21" t="s">
        <v>6</v>
      </c>
      <c r="AA288" s="35" t="s">
        <v>6</v>
      </c>
      <c r="AB288" s="35" t="s">
        <v>1</v>
      </c>
      <c r="AC288" s="27" t="s">
        <v>26</v>
      </c>
    </row>
    <row r="289" spans="1:29" ht="14.55" customHeight="1">
      <c r="A289" s="35" t="s">
        <v>7</v>
      </c>
      <c r="B289" s="35" t="s">
        <v>180</v>
      </c>
      <c r="C289" s="35" t="s">
        <v>60</v>
      </c>
      <c r="D289" s="36">
        <v>600</v>
      </c>
      <c r="E289" s="12">
        <v>33.774834437086092</v>
      </c>
      <c r="F289" s="21">
        <v>6.36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6">
        <v>880</v>
      </c>
      <c r="M289" s="35">
        <v>1.1299999999999999</v>
      </c>
      <c r="N289" s="21">
        <v>5.1363636363636367</v>
      </c>
      <c r="O289" s="12">
        <v>0</v>
      </c>
      <c r="P289" s="35">
        <v>0.04</v>
      </c>
      <c r="Q289" s="35">
        <v>90</v>
      </c>
      <c r="R289" s="35">
        <v>800</v>
      </c>
      <c r="S289" s="35">
        <v>30</v>
      </c>
      <c r="T289" s="35">
        <v>0.63</v>
      </c>
      <c r="U289" s="21">
        <v>0.1</v>
      </c>
      <c r="V289" s="37">
        <v>10.5</v>
      </c>
      <c r="W289" s="37">
        <v>107.6</v>
      </c>
      <c r="X289" s="35" t="s">
        <v>1</v>
      </c>
      <c r="Y289" s="23" t="s">
        <v>6</v>
      </c>
      <c r="Z289" s="21" t="s">
        <v>6</v>
      </c>
      <c r="AA289" s="35" t="s">
        <v>1</v>
      </c>
      <c r="AB289" s="35" t="s">
        <v>1</v>
      </c>
      <c r="AC289" s="1" t="s">
        <v>57</v>
      </c>
    </row>
    <row r="290" spans="1:29">
      <c r="A290" s="35" t="s">
        <v>7</v>
      </c>
      <c r="B290" s="35" t="s">
        <v>27</v>
      </c>
      <c r="C290" s="50">
        <v>0</v>
      </c>
      <c r="D290" s="36">
        <v>200</v>
      </c>
      <c r="E290" s="12">
        <v>24.81203007518797</v>
      </c>
      <c r="F290" s="21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6">
        <v>880</v>
      </c>
      <c r="M290" s="35">
        <v>1.1299999999999999</v>
      </c>
      <c r="N290" s="21">
        <v>5.1363636363636367</v>
      </c>
      <c r="O290" s="12">
        <v>0</v>
      </c>
      <c r="P290" s="35">
        <v>0.04</v>
      </c>
      <c r="Q290" s="35">
        <v>90</v>
      </c>
      <c r="R290" s="35">
        <v>800</v>
      </c>
      <c r="S290" s="35">
        <v>30</v>
      </c>
      <c r="T290" s="35">
        <v>0</v>
      </c>
      <c r="U290" s="21">
        <v>0</v>
      </c>
      <c r="V290" s="37" t="s">
        <v>1</v>
      </c>
      <c r="W290" s="37" t="s">
        <v>1</v>
      </c>
      <c r="X290" s="35" t="s">
        <v>1</v>
      </c>
      <c r="Y290" s="23" t="s">
        <v>6</v>
      </c>
      <c r="Z290" s="21" t="s">
        <v>6</v>
      </c>
      <c r="AA290" s="35" t="s">
        <v>1</v>
      </c>
      <c r="AB290" s="35" t="s">
        <v>1</v>
      </c>
      <c r="AC290" s="1" t="s">
        <v>57</v>
      </c>
    </row>
    <row r="291" spans="1:29">
      <c r="A291" s="35" t="s">
        <v>7</v>
      </c>
      <c r="B291" s="35" t="s">
        <v>180</v>
      </c>
      <c r="C291" s="35" t="s">
        <v>60</v>
      </c>
      <c r="D291" s="36">
        <v>600</v>
      </c>
      <c r="E291" s="12">
        <v>35.064935064935064</v>
      </c>
      <c r="F291" s="21">
        <v>5.75</v>
      </c>
      <c r="G291" s="48" t="s">
        <v>245</v>
      </c>
      <c r="H291" s="35">
        <v>0</v>
      </c>
      <c r="I291" s="48">
        <f>0.31</f>
        <v>0.31</v>
      </c>
      <c r="J291" s="35">
        <v>0</v>
      </c>
      <c r="K291" s="21">
        <f>(I291*(E291/(1+I291))*2*10/200)/F291</f>
        <v>0.14430972280291895</v>
      </c>
      <c r="L291" s="36">
        <v>880</v>
      </c>
      <c r="M291" s="35">
        <v>1.1299999999999999</v>
      </c>
      <c r="N291" s="21">
        <v>5.1363636363636367</v>
      </c>
      <c r="O291" s="12">
        <v>0</v>
      </c>
      <c r="P291" s="35">
        <v>0.04</v>
      </c>
      <c r="Q291" s="35">
        <v>90</v>
      </c>
      <c r="R291" s="35">
        <v>800</v>
      </c>
      <c r="S291" s="35">
        <v>30</v>
      </c>
      <c r="T291" s="35">
        <v>0.79</v>
      </c>
      <c r="U291" s="21">
        <v>0.14000000000000001</v>
      </c>
      <c r="V291" s="37">
        <v>13.03</v>
      </c>
      <c r="W291" s="37">
        <v>112.61</v>
      </c>
      <c r="X291" s="35" t="s">
        <v>1</v>
      </c>
      <c r="Y291" s="23" t="s">
        <v>6</v>
      </c>
      <c r="Z291" s="21" t="s">
        <v>6</v>
      </c>
      <c r="AA291" s="35" t="s">
        <v>1</v>
      </c>
      <c r="AB291" s="35" t="s">
        <v>1</v>
      </c>
      <c r="AC291" s="1" t="s">
        <v>28</v>
      </c>
    </row>
    <row r="292" spans="1:29">
      <c r="A292" s="35" t="s">
        <v>7</v>
      </c>
      <c r="B292" s="35" t="s">
        <v>180</v>
      </c>
      <c r="C292" s="35" t="s">
        <v>60</v>
      </c>
      <c r="D292" s="36">
        <v>600</v>
      </c>
      <c r="E292" s="12">
        <v>39.75903614457831</v>
      </c>
      <c r="F292" s="21">
        <v>4.97</v>
      </c>
      <c r="G292" s="48" t="s">
        <v>245</v>
      </c>
      <c r="H292" s="35">
        <v>0</v>
      </c>
      <c r="I292" s="48">
        <v>0.61</v>
      </c>
      <c r="J292" s="35">
        <v>0</v>
      </c>
      <c r="K292" s="21">
        <f>(I292*(E292/(1+I292))*2*10/200)/F292</f>
        <v>0.30309824222593662</v>
      </c>
      <c r="L292" s="36">
        <v>880</v>
      </c>
      <c r="M292" s="35">
        <v>1.1299999999999999</v>
      </c>
      <c r="N292" s="21">
        <v>5.1363636363636367</v>
      </c>
      <c r="O292" s="12">
        <v>0</v>
      </c>
      <c r="P292" s="35">
        <v>0.04</v>
      </c>
      <c r="Q292" s="35">
        <v>90</v>
      </c>
      <c r="R292" s="35">
        <v>800</v>
      </c>
      <c r="S292" s="35">
        <v>30</v>
      </c>
      <c r="T292" s="35">
        <v>0.73</v>
      </c>
      <c r="U292" s="21">
        <v>0.15</v>
      </c>
      <c r="V292" s="37">
        <v>13.03</v>
      </c>
      <c r="W292" s="37">
        <v>112.61</v>
      </c>
      <c r="X292" s="35" t="s">
        <v>1</v>
      </c>
      <c r="Y292" s="23" t="s">
        <v>6</v>
      </c>
      <c r="Z292" s="21" t="s">
        <v>6</v>
      </c>
      <c r="AA292" s="35" t="s">
        <v>1</v>
      </c>
      <c r="AB292" s="35" t="s">
        <v>1</v>
      </c>
      <c r="AC292" s="1" t="s">
        <v>57</v>
      </c>
    </row>
    <row r="293" spans="1:29">
      <c r="A293" s="35" t="s">
        <v>7</v>
      </c>
      <c r="B293" s="35" t="s">
        <v>180</v>
      </c>
      <c r="C293" s="35" t="s">
        <v>60</v>
      </c>
      <c r="D293" s="36">
        <v>600</v>
      </c>
      <c r="E293" s="12">
        <v>56.896551724137922</v>
      </c>
      <c r="F293" s="21">
        <v>3.88</v>
      </c>
      <c r="G293" s="48" t="s">
        <v>245</v>
      </c>
      <c r="H293" s="35">
        <v>0</v>
      </c>
      <c r="I293" s="48">
        <v>1.82</v>
      </c>
      <c r="J293" s="35">
        <v>0</v>
      </c>
      <c r="K293" s="21">
        <f t="shared" ref="K293:K298" si="13">(I293*(E293/(1+I293))*2*10/200)/F293</f>
        <v>0.94640385444478869</v>
      </c>
      <c r="L293" s="36">
        <v>880</v>
      </c>
      <c r="M293" s="35">
        <v>1.1299999999999999</v>
      </c>
      <c r="N293" s="21">
        <v>5.1363636363636367</v>
      </c>
      <c r="O293" s="12">
        <v>0</v>
      </c>
      <c r="P293" s="35">
        <v>0.04</v>
      </c>
      <c r="Q293" s="35">
        <v>90</v>
      </c>
      <c r="R293" s="35">
        <v>800</v>
      </c>
      <c r="S293" s="35">
        <v>30</v>
      </c>
      <c r="T293" s="35">
        <v>0.64</v>
      </c>
      <c r="U293" s="21">
        <v>0.16</v>
      </c>
      <c r="V293" s="37">
        <v>9</v>
      </c>
      <c r="W293" s="37">
        <v>81.5</v>
      </c>
      <c r="X293" s="35" t="s">
        <v>1</v>
      </c>
      <c r="Y293" s="23" t="s">
        <v>6</v>
      </c>
      <c r="Z293" s="21" t="s">
        <v>6</v>
      </c>
      <c r="AA293" s="35" t="s">
        <v>1</v>
      </c>
      <c r="AB293" s="35" t="s">
        <v>1</v>
      </c>
      <c r="AC293" s="1" t="s">
        <v>28</v>
      </c>
    </row>
    <row r="294" spans="1:29">
      <c r="A294" s="35" t="s">
        <v>7</v>
      </c>
      <c r="B294" s="35" t="s">
        <v>180</v>
      </c>
      <c r="C294" s="35" t="s">
        <v>60</v>
      </c>
      <c r="D294" s="36">
        <v>600</v>
      </c>
      <c r="E294" s="12">
        <v>68.051118210862612</v>
      </c>
      <c r="F294" s="21">
        <v>3.42</v>
      </c>
      <c r="G294" s="48" t="s">
        <v>245</v>
      </c>
      <c r="H294" s="35">
        <v>0</v>
      </c>
      <c r="I294" s="48">
        <v>3.42</v>
      </c>
      <c r="J294" s="35">
        <v>0</v>
      </c>
      <c r="K294" s="21">
        <f>(I294*(E294/(1+I294))*2*10/200)/F294</f>
        <v>1.5396180590692896</v>
      </c>
      <c r="L294" s="36">
        <v>880</v>
      </c>
      <c r="M294" s="35">
        <v>1.1299999999999999</v>
      </c>
      <c r="N294" s="21">
        <v>5.1363636363636367</v>
      </c>
      <c r="O294" s="12">
        <v>0</v>
      </c>
      <c r="P294" s="35">
        <v>0.04</v>
      </c>
      <c r="Q294" s="35">
        <v>90</v>
      </c>
      <c r="R294" s="35">
        <v>800</v>
      </c>
      <c r="S294" s="35">
        <v>30</v>
      </c>
      <c r="T294" s="35">
        <v>0.71</v>
      </c>
      <c r="U294" s="21">
        <v>0.14000000000000001</v>
      </c>
      <c r="V294" s="37">
        <v>9</v>
      </c>
      <c r="W294" s="37">
        <v>81.5</v>
      </c>
      <c r="X294" s="35" t="s">
        <v>1</v>
      </c>
      <c r="Y294" s="23" t="s">
        <v>6</v>
      </c>
      <c r="Z294" s="21" t="s">
        <v>6</v>
      </c>
      <c r="AA294" s="35" t="s">
        <v>1</v>
      </c>
      <c r="AB294" s="35" t="s">
        <v>1</v>
      </c>
      <c r="AC294" s="1" t="s">
        <v>28</v>
      </c>
    </row>
    <row r="295" spans="1:29">
      <c r="A295" s="35" t="s">
        <v>7</v>
      </c>
      <c r="B295" s="35" t="s">
        <v>180</v>
      </c>
      <c r="C295" s="35" t="s">
        <v>60</v>
      </c>
      <c r="D295" s="36">
        <v>600</v>
      </c>
      <c r="E295" s="12">
        <v>44.44444444444445</v>
      </c>
      <c r="F295" s="21">
        <v>9.6199999999999992</v>
      </c>
      <c r="G295" s="48">
        <v>0</v>
      </c>
      <c r="H295" s="35">
        <v>0</v>
      </c>
      <c r="I295" s="48">
        <v>0</v>
      </c>
      <c r="J295" s="35">
        <v>0</v>
      </c>
      <c r="K295" s="36">
        <f t="shared" si="13"/>
        <v>0</v>
      </c>
      <c r="L295" s="36">
        <v>880</v>
      </c>
      <c r="M295" s="35">
        <v>1.1299999999999999</v>
      </c>
      <c r="N295" s="21">
        <v>5.1363636363636367</v>
      </c>
      <c r="O295" s="12">
        <v>0</v>
      </c>
      <c r="P295" s="35">
        <v>0.04</v>
      </c>
      <c r="Q295" s="35">
        <v>90</v>
      </c>
      <c r="R295" s="35">
        <v>800</v>
      </c>
      <c r="S295" s="35">
        <v>30</v>
      </c>
      <c r="T295" s="35">
        <v>0.49</v>
      </c>
      <c r="U295" s="21">
        <v>0.13</v>
      </c>
      <c r="V295" s="37">
        <v>15.84</v>
      </c>
      <c r="W295" s="37">
        <v>172.2</v>
      </c>
      <c r="X295" s="35" t="s">
        <v>1</v>
      </c>
      <c r="Y295" s="23" t="s">
        <v>6</v>
      </c>
      <c r="Z295" s="21" t="s">
        <v>6</v>
      </c>
      <c r="AA295" s="35" t="s">
        <v>1</v>
      </c>
      <c r="AB295" s="35" t="s">
        <v>1</v>
      </c>
      <c r="AC295" s="1" t="s">
        <v>28</v>
      </c>
    </row>
    <row r="296" spans="1:29">
      <c r="A296" s="35" t="s">
        <v>7</v>
      </c>
      <c r="B296" s="35" t="s">
        <v>180</v>
      </c>
      <c r="C296" s="35" t="s">
        <v>60</v>
      </c>
      <c r="D296" s="36">
        <v>600</v>
      </c>
      <c r="E296" s="12">
        <v>48.979591836734699</v>
      </c>
      <c r="F296" s="21">
        <v>8.3000000000000007</v>
      </c>
      <c r="G296" s="48" t="s">
        <v>245</v>
      </c>
      <c r="H296" s="35">
        <v>0</v>
      </c>
      <c r="I296" s="48">
        <v>0.2</v>
      </c>
      <c r="J296" s="35">
        <v>0</v>
      </c>
      <c r="K296" s="21">
        <f t="shared" si="13"/>
        <v>9.8352594049668077E-2</v>
      </c>
      <c r="L296" s="36">
        <v>880</v>
      </c>
      <c r="M296" s="35">
        <v>1.1299999999999999</v>
      </c>
      <c r="N296" s="21">
        <v>5.1363636363636367</v>
      </c>
      <c r="O296" s="12">
        <v>0</v>
      </c>
      <c r="P296" s="35">
        <v>0.04</v>
      </c>
      <c r="Q296" s="35">
        <v>90</v>
      </c>
      <c r="R296" s="35">
        <v>800</v>
      </c>
      <c r="S296" s="35">
        <v>30</v>
      </c>
      <c r="T296" s="35">
        <v>1.26</v>
      </c>
      <c r="U296" s="21">
        <v>0.16</v>
      </c>
      <c r="V296" s="37">
        <v>15.84</v>
      </c>
      <c r="W296" s="37">
        <v>228.6</v>
      </c>
      <c r="X296" s="35" t="s">
        <v>1</v>
      </c>
      <c r="Y296" s="23" t="s">
        <v>6</v>
      </c>
      <c r="Z296" s="21" t="s">
        <v>6</v>
      </c>
      <c r="AA296" s="35" t="s">
        <v>1</v>
      </c>
      <c r="AB296" s="35" t="s">
        <v>1</v>
      </c>
      <c r="AC296" s="1" t="s">
        <v>28</v>
      </c>
    </row>
    <row r="297" spans="1:29">
      <c r="A297" s="35" t="s">
        <v>7</v>
      </c>
      <c r="B297" s="35" t="s">
        <v>180</v>
      </c>
      <c r="C297" s="35" t="s">
        <v>60</v>
      </c>
      <c r="D297" s="36">
        <v>600</v>
      </c>
      <c r="E297" s="12">
        <v>48.979591836734699</v>
      </c>
      <c r="F297" s="21">
        <v>7.99</v>
      </c>
      <c r="G297" s="48" t="s">
        <v>245</v>
      </c>
      <c r="H297" s="35">
        <v>0</v>
      </c>
      <c r="I297" s="48">
        <v>0.2</v>
      </c>
      <c r="J297" s="35">
        <v>0</v>
      </c>
      <c r="K297" s="21">
        <f t="shared" si="13"/>
        <v>0.10216852698526221</v>
      </c>
      <c r="L297" s="36">
        <v>880</v>
      </c>
      <c r="M297" s="35">
        <v>1.1299999999999999</v>
      </c>
      <c r="N297" s="21">
        <v>5.1363636363636367</v>
      </c>
      <c r="O297" s="12">
        <v>0</v>
      </c>
      <c r="P297" s="35">
        <v>0.04</v>
      </c>
      <c r="Q297" s="35">
        <v>90</v>
      </c>
      <c r="R297" s="35">
        <v>800</v>
      </c>
      <c r="S297" s="35">
        <v>30</v>
      </c>
      <c r="T297" s="35">
        <v>1.31</v>
      </c>
      <c r="U297" s="21">
        <v>0.18</v>
      </c>
      <c r="V297" s="37">
        <v>15.84</v>
      </c>
      <c r="W297" s="37">
        <v>35.5</v>
      </c>
      <c r="X297" s="35" t="s">
        <v>1</v>
      </c>
      <c r="Y297" s="23" t="s">
        <v>6</v>
      </c>
      <c r="Z297" s="21" t="s">
        <v>6</v>
      </c>
      <c r="AA297" s="35" t="s">
        <v>1</v>
      </c>
      <c r="AB297" s="35" t="s">
        <v>1</v>
      </c>
      <c r="AC297" s="1" t="s">
        <v>28</v>
      </c>
    </row>
    <row r="298" spans="1:29">
      <c r="A298" s="35" t="s">
        <v>7</v>
      </c>
      <c r="B298" s="35" t="s">
        <v>180</v>
      </c>
      <c r="C298" s="35" t="s">
        <v>60</v>
      </c>
      <c r="D298" s="36">
        <v>600</v>
      </c>
      <c r="E298" s="12">
        <v>60.317460317460316</v>
      </c>
      <c r="F298" s="21">
        <v>6.23</v>
      </c>
      <c r="G298" s="48" t="s">
        <v>245</v>
      </c>
      <c r="H298" s="35">
        <v>0</v>
      </c>
      <c r="I298" s="48">
        <v>0.9</v>
      </c>
      <c r="J298" s="35">
        <v>0</v>
      </c>
      <c r="K298" s="21">
        <f t="shared" si="13"/>
        <v>0.45861041045631734</v>
      </c>
      <c r="L298" s="36">
        <v>880</v>
      </c>
      <c r="M298" s="35">
        <v>1.1299999999999999</v>
      </c>
      <c r="N298" s="21">
        <v>5.1363636363636367</v>
      </c>
      <c r="O298" s="12">
        <v>0</v>
      </c>
      <c r="P298" s="35">
        <v>0.04</v>
      </c>
      <c r="Q298" s="35">
        <v>90</v>
      </c>
      <c r="R298" s="35">
        <v>800</v>
      </c>
      <c r="S298" s="35">
        <v>30</v>
      </c>
      <c r="T298" s="35">
        <v>1.41</v>
      </c>
      <c r="U298" s="21">
        <v>0.2</v>
      </c>
      <c r="V298" s="37">
        <v>15.84</v>
      </c>
      <c r="W298" s="37">
        <v>101.6</v>
      </c>
      <c r="X298" s="35" t="s">
        <v>1</v>
      </c>
      <c r="Y298" s="23" t="s">
        <v>6</v>
      </c>
      <c r="Z298" s="21" t="s">
        <v>6</v>
      </c>
      <c r="AA298" s="35" t="s">
        <v>1</v>
      </c>
      <c r="AB298" s="35" t="s">
        <v>1</v>
      </c>
      <c r="AC298" s="1" t="s">
        <v>28</v>
      </c>
    </row>
    <row r="299" spans="1:29">
      <c r="A299" s="35" t="s">
        <v>7</v>
      </c>
      <c r="B299" s="35" t="s">
        <v>180</v>
      </c>
      <c r="C299" s="35" t="s">
        <v>60</v>
      </c>
      <c r="D299" s="36">
        <v>600</v>
      </c>
      <c r="E299" s="12">
        <v>68.35443037974683</v>
      </c>
      <c r="F299" s="21">
        <v>5.15</v>
      </c>
      <c r="G299" s="48" t="s">
        <v>245</v>
      </c>
      <c r="H299" s="35">
        <v>0</v>
      </c>
      <c r="I299" s="51">
        <v>1.68</v>
      </c>
      <c r="J299" s="35">
        <v>0</v>
      </c>
      <c r="K299" s="21">
        <v>0.75</v>
      </c>
      <c r="L299" s="36">
        <v>880</v>
      </c>
      <c r="M299" s="35">
        <v>1.1299999999999999</v>
      </c>
      <c r="N299" s="21">
        <v>5.1363636363636367</v>
      </c>
      <c r="O299" s="12">
        <v>0</v>
      </c>
      <c r="P299" s="35">
        <v>0.04</v>
      </c>
      <c r="Q299" s="35">
        <v>90</v>
      </c>
      <c r="R299" s="35">
        <v>800</v>
      </c>
      <c r="S299" s="35">
        <v>30</v>
      </c>
      <c r="T299" s="35">
        <v>1.23</v>
      </c>
      <c r="U299" s="21">
        <v>0.18</v>
      </c>
      <c r="V299" s="37">
        <v>15.84</v>
      </c>
      <c r="W299" s="37">
        <v>20.73</v>
      </c>
      <c r="X299" s="35" t="s">
        <v>1</v>
      </c>
      <c r="Y299" s="23" t="s">
        <v>6</v>
      </c>
      <c r="Z299" s="21" t="s">
        <v>6</v>
      </c>
      <c r="AA299" s="35" t="s">
        <v>1</v>
      </c>
      <c r="AB299" s="35" t="s">
        <v>1</v>
      </c>
      <c r="AC299" s="1" t="s">
        <v>28</v>
      </c>
    </row>
    <row r="300" spans="1:29">
      <c r="A300" s="35" t="s">
        <v>7</v>
      </c>
      <c r="B300" s="35" t="s">
        <v>180</v>
      </c>
      <c r="C300" s="35" t="s">
        <v>60</v>
      </c>
      <c r="D300" s="36">
        <v>600</v>
      </c>
      <c r="E300" s="12">
        <v>50</v>
      </c>
      <c r="F300" s="21">
        <v>10.45</v>
      </c>
      <c r="G300" s="48">
        <v>0</v>
      </c>
      <c r="H300" s="35">
        <v>0</v>
      </c>
      <c r="I300" s="48">
        <v>0</v>
      </c>
      <c r="J300" s="35">
        <v>0</v>
      </c>
      <c r="K300" s="36">
        <f t="shared" ref="K300" si="14">(I300*(E300/(1+I300))*2*1000/200)/F300</f>
        <v>0</v>
      </c>
      <c r="L300" s="36">
        <v>880</v>
      </c>
      <c r="M300" s="35">
        <v>1.1299999999999999</v>
      </c>
      <c r="N300" s="21">
        <v>5.1363636363636367</v>
      </c>
      <c r="O300" s="12">
        <v>0</v>
      </c>
      <c r="P300" s="35">
        <v>0.04</v>
      </c>
      <c r="Q300" s="35">
        <v>90</v>
      </c>
      <c r="R300" s="35">
        <v>800</v>
      </c>
      <c r="S300" s="35">
        <v>30</v>
      </c>
      <c r="T300" s="35">
        <v>0.9</v>
      </c>
      <c r="U300" s="21">
        <v>0.13</v>
      </c>
      <c r="V300" s="37">
        <v>22.1</v>
      </c>
      <c r="W300" s="37">
        <v>207.4</v>
      </c>
      <c r="X300" s="35" t="s">
        <v>1</v>
      </c>
      <c r="Y300" s="23" t="s">
        <v>6</v>
      </c>
      <c r="Z300" s="21" t="s">
        <v>6</v>
      </c>
      <c r="AA300" s="35" t="s">
        <v>1</v>
      </c>
      <c r="AB300" s="35" t="s">
        <v>1</v>
      </c>
      <c r="AC300" s="1" t="s">
        <v>28</v>
      </c>
    </row>
    <row r="301" spans="1:29">
      <c r="A301" s="35" t="s">
        <v>7</v>
      </c>
      <c r="B301" s="35" t="s">
        <v>180</v>
      </c>
      <c r="C301" s="35" t="s">
        <v>60</v>
      </c>
      <c r="D301" s="36">
        <v>600</v>
      </c>
      <c r="E301" s="12">
        <v>60</v>
      </c>
      <c r="F301" s="21">
        <v>8.5</v>
      </c>
      <c r="G301" s="48" t="s">
        <v>245</v>
      </c>
      <c r="H301" s="35">
        <v>0</v>
      </c>
      <c r="I301" s="48">
        <v>0.5</v>
      </c>
      <c r="J301" s="35">
        <v>0</v>
      </c>
      <c r="K301" s="21">
        <f>(I301*(E301/(1+I301))*2*10/200)/F301</f>
        <v>0.23529411764705882</v>
      </c>
      <c r="L301" s="36">
        <v>880</v>
      </c>
      <c r="M301" s="35">
        <v>1.1299999999999999</v>
      </c>
      <c r="N301" s="21">
        <v>5.1363636363636367</v>
      </c>
      <c r="O301" s="12">
        <v>0</v>
      </c>
      <c r="P301" s="35">
        <v>0.04</v>
      </c>
      <c r="Q301" s="35">
        <v>90</v>
      </c>
      <c r="R301" s="35">
        <v>800</v>
      </c>
      <c r="S301" s="35">
        <v>30</v>
      </c>
      <c r="T301" s="35">
        <v>1.36</v>
      </c>
      <c r="U301" s="21">
        <v>0.19</v>
      </c>
      <c r="V301" s="37">
        <v>26.7</v>
      </c>
      <c r="W301" s="37">
        <v>247.8</v>
      </c>
      <c r="X301" s="35" t="s">
        <v>1</v>
      </c>
      <c r="Y301" s="23" t="s">
        <v>6</v>
      </c>
      <c r="Z301" s="21" t="s">
        <v>6</v>
      </c>
      <c r="AA301" s="35" t="s">
        <v>1</v>
      </c>
      <c r="AB301" s="35" t="s">
        <v>1</v>
      </c>
      <c r="AC301" s="1" t="s">
        <v>28</v>
      </c>
    </row>
    <row r="302" spans="1:29">
      <c r="A302" s="35" t="s">
        <v>7</v>
      </c>
      <c r="B302" s="35" t="s">
        <v>180</v>
      </c>
      <c r="C302" s="35" t="s">
        <v>60</v>
      </c>
      <c r="D302" s="36">
        <v>600</v>
      </c>
      <c r="E302" s="12">
        <v>60</v>
      </c>
      <c r="F302" s="21">
        <v>8.3800000000000008</v>
      </c>
      <c r="G302" s="48" t="s">
        <v>245</v>
      </c>
      <c r="H302" s="35">
        <v>0</v>
      </c>
      <c r="I302" s="48">
        <v>0.5</v>
      </c>
      <c r="J302" s="35">
        <v>0</v>
      </c>
      <c r="K302" s="21">
        <f>(I302*(E302/(1+I302))*2*10/200)/F302</f>
        <v>0.2386634844868735</v>
      </c>
      <c r="L302" s="36">
        <v>880</v>
      </c>
      <c r="M302" s="35">
        <v>1.1299999999999999</v>
      </c>
      <c r="N302" s="21">
        <v>5.1363636363636367</v>
      </c>
      <c r="O302" s="12">
        <v>0</v>
      </c>
      <c r="P302" s="35">
        <v>0.04</v>
      </c>
      <c r="Q302" s="35">
        <v>90</v>
      </c>
      <c r="R302" s="35">
        <v>800</v>
      </c>
      <c r="S302" s="35">
        <v>30</v>
      </c>
      <c r="T302" s="35">
        <v>1.59</v>
      </c>
      <c r="U302" s="21">
        <v>0.2</v>
      </c>
      <c r="V302" s="37">
        <v>19.86</v>
      </c>
      <c r="W302" s="37">
        <v>108.5</v>
      </c>
      <c r="X302" s="35" t="s">
        <v>1</v>
      </c>
      <c r="Y302" s="23" t="s">
        <v>6</v>
      </c>
      <c r="Z302" s="21" t="s">
        <v>6</v>
      </c>
      <c r="AA302" s="35" t="s">
        <v>1</v>
      </c>
      <c r="AB302" s="35" t="s">
        <v>1</v>
      </c>
      <c r="AC302" s="1" t="s">
        <v>28</v>
      </c>
    </row>
    <row r="303" spans="1:29">
      <c r="A303" s="35" t="s">
        <v>7</v>
      </c>
      <c r="B303" s="35" t="s">
        <v>180</v>
      </c>
      <c r="C303" s="35" t="s">
        <v>60</v>
      </c>
      <c r="D303" s="36">
        <v>600</v>
      </c>
      <c r="E303" s="12">
        <v>70.588235294117652</v>
      </c>
      <c r="F303" s="21">
        <v>6.21</v>
      </c>
      <c r="G303" s="48" t="s">
        <v>245</v>
      </c>
      <c r="H303" s="35">
        <v>0</v>
      </c>
      <c r="I303" s="48">
        <v>1.38</v>
      </c>
      <c r="J303" s="35">
        <v>0</v>
      </c>
      <c r="K303" s="21">
        <v>0.61</v>
      </c>
      <c r="L303" s="36">
        <v>880</v>
      </c>
      <c r="M303" s="35">
        <v>1.1299999999999999</v>
      </c>
      <c r="N303" s="21">
        <v>5.1363636363636367</v>
      </c>
      <c r="O303" s="12">
        <v>0</v>
      </c>
      <c r="P303" s="35">
        <v>0.04</v>
      </c>
      <c r="Q303" s="35">
        <v>90</v>
      </c>
      <c r="R303" s="35">
        <v>800</v>
      </c>
      <c r="S303" s="35">
        <v>30</v>
      </c>
      <c r="T303" s="35">
        <v>1.64</v>
      </c>
      <c r="U303" s="21">
        <v>0.19</v>
      </c>
      <c r="V303" s="37">
        <v>25.97</v>
      </c>
      <c r="W303" s="37">
        <v>44.68</v>
      </c>
      <c r="X303" s="35" t="s">
        <v>1</v>
      </c>
      <c r="Y303" s="23" t="s">
        <v>6</v>
      </c>
      <c r="Z303" s="21" t="s">
        <v>6</v>
      </c>
      <c r="AA303" s="35" t="s">
        <v>1</v>
      </c>
      <c r="AB303" s="35" t="s">
        <v>1</v>
      </c>
      <c r="AC303" s="1" t="s">
        <v>28</v>
      </c>
    </row>
    <row r="304" spans="1:29">
      <c r="A304" s="35" t="s">
        <v>7</v>
      </c>
      <c r="B304" s="35" t="s">
        <v>180</v>
      </c>
      <c r="C304" s="35" t="s">
        <v>60</v>
      </c>
      <c r="D304" s="36">
        <v>600</v>
      </c>
      <c r="E304" s="12">
        <v>39.393939393939398</v>
      </c>
      <c r="F304" s="21">
        <v>5.37</v>
      </c>
      <c r="G304" s="48" t="s">
        <v>246</v>
      </c>
      <c r="H304" s="35">
        <v>0</v>
      </c>
      <c r="I304" s="48">
        <v>0.47</v>
      </c>
      <c r="J304" s="35">
        <v>0</v>
      </c>
      <c r="K304" s="21">
        <f>(I304*(E304/(1+I304))*2*10/1000)/F304</f>
        <v>4.691002296748506E-2</v>
      </c>
      <c r="L304" s="36">
        <v>880</v>
      </c>
      <c r="M304" s="35">
        <v>1.1299999999999999</v>
      </c>
      <c r="N304" s="21">
        <v>5.1363636363636367</v>
      </c>
      <c r="O304" s="12">
        <v>0</v>
      </c>
      <c r="P304" s="35">
        <v>0.04</v>
      </c>
      <c r="Q304" s="35">
        <v>90</v>
      </c>
      <c r="R304" s="35">
        <v>800</v>
      </c>
      <c r="S304" s="35">
        <v>30</v>
      </c>
      <c r="T304" s="35">
        <v>0.71</v>
      </c>
      <c r="U304" s="21">
        <v>0.13</v>
      </c>
      <c r="V304" s="37">
        <v>11.59</v>
      </c>
      <c r="W304" s="37">
        <v>77.459999999999994</v>
      </c>
      <c r="X304" s="35" t="s">
        <v>1</v>
      </c>
      <c r="Y304" s="23" t="s">
        <v>6</v>
      </c>
      <c r="Z304" s="21" t="s">
        <v>6</v>
      </c>
      <c r="AA304" s="35" t="s">
        <v>1</v>
      </c>
      <c r="AB304" s="35" t="s">
        <v>1</v>
      </c>
      <c r="AC304" s="1" t="s">
        <v>28</v>
      </c>
    </row>
    <row r="305" spans="1:29" ht="13.8" customHeight="1">
      <c r="A305" s="35" t="s">
        <v>7</v>
      </c>
      <c r="B305" s="35" t="s">
        <v>180</v>
      </c>
      <c r="C305" s="35" t="s">
        <v>60</v>
      </c>
      <c r="D305" s="36">
        <v>600</v>
      </c>
      <c r="E305" s="12">
        <v>58.158995815899587</v>
      </c>
      <c r="F305" s="21">
        <v>4.17</v>
      </c>
      <c r="G305" s="48" t="s">
        <v>246</v>
      </c>
      <c r="H305" s="35">
        <v>0</v>
      </c>
      <c r="I305" s="48">
        <v>1.92</v>
      </c>
      <c r="J305" s="35">
        <v>0</v>
      </c>
      <c r="K305" s="21">
        <f>(I305*(E305/(1+I305))*2*10/1000)/F305</f>
        <v>0.18341262108098813</v>
      </c>
      <c r="L305" s="36">
        <v>880</v>
      </c>
      <c r="M305" s="35">
        <v>1.1299999999999999</v>
      </c>
      <c r="N305" s="21">
        <v>5.1363636363636367</v>
      </c>
      <c r="O305" s="12">
        <v>0</v>
      </c>
      <c r="P305" s="35">
        <v>0.04</v>
      </c>
      <c r="Q305" s="35">
        <v>90</v>
      </c>
      <c r="R305" s="35">
        <v>800</v>
      </c>
      <c r="S305" s="35">
        <v>30</v>
      </c>
      <c r="T305" s="35">
        <v>0.49</v>
      </c>
      <c r="U305" s="21">
        <v>0.12</v>
      </c>
      <c r="V305" s="37">
        <v>8.74</v>
      </c>
      <c r="W305" s="37">
        <v>38.03</v>
      </c>
      <c r="X305" s="35" t="s">
        <v>1</v>
      </c>
      <c r="Y305" s="23" t="s">
        <v>6</v>
      </c>
      <c r="Z305" s="21" t="s">
        <v>6</v>
      </c>
      <c r="AA305" s="35" t="s">
        <v>1</v>
      </c>
      <c r="AB305" s="35" t="s">
        <v>1</v>
      </c>
      <c r="AC305" s="1" t="s">
        <v>28</v>
      </c>
    </row>
    <row r="306" spans="1:29">
      <c r="A306" s="35" t="s">
        <v>7</v>
      </c>
      <c r="B306" s="35" t="s">
        <v>180</v>
      </c>
      <c r="C306" s="35" t="s">
        <v>60</v>
      </c>
      <c r="D306" s="36">
        <v>600</v>
      </c>
      <c r="E306" s="12">
        <v>69.6048632218845</v>
      </c>
      <c r="F306" s="21">
        <v>2.84</v>
      </c>
      <c r="G306" s="48" t="s">
        <v>246</v>
      </c>
      <c r="H306" s="35">
        <v>0</v>
      </c>
      <c r="I306" s="48">
        <v>4.08</v>
      </c>
      <c r="J306" s="35">
        <v>0</v>
      </c>
      <c r="K306" s="21">
        <f>(I306*(E306/(1+I306))*2*10/1000)/F306</f>
        <v>0.39368393305047233</v>
      </c>
      <c r="L306" s="36">
        <v>880</v>
      </c>
      <c r="M306" s="35">
        <v>1.1299999999999999</v>
      </c>
      <c r="N306" s="21">
        <v>5.1363636363636367</v>
      </c>
      <c r="O306" s="12">
        <v>0</v>
      </c>
      <c r="P306" s="35">
        <v>0.04</v>
      </c>
      <c r="Q306" s="35">
        <v>90</v>
      </c>
      <c r="R306" s="35">
        <v>800</v>
      </c>
      <c r="S306" s="35">
        <v>30</v>
      </c>
      <c r="T306" s="35">
        <v>0.3</v>
      </c>
      <c r="U306" s="21">
        <v>0.11</v>
      </c>
      <c r="V306" s="37">
        <v>7.73</v>
      </c>
      <c r="W306" s="37">
        <v>275.10000000000002</v>
      </c>
      <c r="X306" s="35" t="s">
        <v>1</v>
      </c>
      <c r="Y306" s="23" t="s">
        <v>6</v>
      </c>
      <c r="Z306" s="21" t="s">
        <v>6</v>
      </c>
      <c r="AA306" s="35" t="s">
        <v>1</v>
      </c>
      <c r="AB306" s="35" t="s">
        <v>1</v>
      </c>
      <c r="AC306" s="1" t="s">
        <v>28</v>
      </c>
    </row>
    <row r="307" spans="1:29">
      <c r="A307" s="35" t="s">
        <v>7</v>
      </c>
      <c r="B307" s="35" t="s">
        <v>180</v>
      </c>
      <c r="C307" s="35" t="s">
        <v>60</v>
      </c>
      <c r="D307" s="36">
        <v>600</v>
      </c>
      <c r="E307" s="12">
        <v>37.499999999999993</v>
      </c>
      <c r="F307" s="21">
        <v>5.7</v>
      </c>
      <c r="G307" s="48" t="s">
        <v>42</v>
      </c>
      <c r="H307" s="35">
        <v>0</v>
      </c>
      <c r="I307" s="48">
        <v>0.32</v>
      </c>
      <c r="J307" s="35">
        <v>0</v>
      </c>
      <c r="K307" s="35">
        <v>0</v>
      </c>
      <c r="L307" s="36">
        <v>880</v>
      </c>
      <c r="M307" s="35">
        <v>1.1299999999999999</v>
      </c>
      <c r="N307" s="21">
        <v>5.1363636363636367</v>
      </c>
      <c r="O307" s="12">
        <v>0</v>
      </c>
      <c r="P307" s="35">
        <v>0.04</v>
      </c>
      <c r="Q307" s="35">
        <v>90</v>
      </c>
      <c r="R307" s="35">
        <v>800</v>
      </c>
      <c r="S307" s="35">
        <v>30</v>
      </c>
      <c r="T307" s="35">
        <v>0.55000000000000004</v>
      </c>
      <c r="U307" s="21">
        <v>0.11</v>
      </c>
      <c r="V307" s="37">
        <v>11.59</v>
      </c>
      <c r="W307" s="37">
        <v>77.459999999999994</v>
      </c>
      <c r="X307" s="35" t="s">
        <v>1</v>
      </c>
      <c r="Y307" s="23" t="s">
        <v>6</v>
      </c>
      <c r="Z307" s="21" t="s">
        <v>6</v>
      </c>
      <c r="AA307" s="35" t="s">
        <v>1</v>
      </c>
      <c r="AB307" s="35" t="s">
        <v>1</v>
      </c>
      <c r="AC307" s="1" t="s">
        <v>28</v>
      </c>
    </row>
    <row r="308" spans="1:29">
      <c r="A308" s="35" t="s">
        <v>7</v>
      </c>
      <c r="B308" s="35" t="s">
        <v>180</v>
      </c>
      <c r="C308" s="35" t="s">
        <v>60</v>
      </c>
      <c r="D308" s="36">
        <v>600</v>
      </c>
      <c r="E308" s="12">
        <v>31.03448275862069</v>
      </c>
      <c r="F308" s="21">
        <v>4.63</v>
      </c>
      <c r="G308" s="48" t="s">
        <v>42</v>
      </c>
      <c r="H308" s="35">
        <v>0</v>
      </c>
      <c r="I308" s="48">
        <v>1.77</v>
      </c>
      <c r="J308" s="35">
        <v>0</v>
      </c>
      <c r="K308" s="35">
        <v>0</v>
      </c>
      <c r="L308" s="36">
        <v>880</v>
      </c>
      <c r="M308" s="35">
        <v>1.1299999999999999</v>
      </c>
      <c r="N308" s="21">
        <v>5.1363636363636367</v>
      </c>
      <c r="O308" s="12">
        <v>0</v>
      </c>
      <c r="P308" s="35">
        <v>0.04</v>
      </c>
      <c r="Q308" s="35">
        <v>90</v>
      </c>
      <c r="R308" s="35">
        <v>800</v>
      </c>
      <c r="S308" s="35">
        <v>30</v>
      </c>
      <c r="T308" s="35">
        <v>0.31</v>
      </c>
      <c r="U308" s="21">
        <v>7.0000000000000007E-2</v>
      </c>
      <c r="V308" s="37">
        <v>8.74</v>
      </c>
      <c r="W308" s="37">
        <v>103.47</v>
      </c>
      <c r="X308" s="35" t="s">
        <v>1</v>
      </c>
      <c r="Y308" s="23" t="s">
        <v>6</v>
      </c>
      <c r="Z308" s="21" t="s">
        <v>6</v>
      </c>
      <c r="AA308" s="35" t="s">
        <v>1</v>
      </c>
      <c r="AB308" s="35" t="s">
        <v>1</v>
      </c>
      <c r="AC308" s="1" t="s">
        <v>28</v>
      </c>
    </row>
    <row r="309" spans="1:29">
      <c r="A309" s="35" t="s">
        <v>7</v>
      </c>
      <c r="B309" s="35" t="s">
        <v>180</v>
      </c>
      <c r="C309" s="35" t="s">
        <v>60</v>
      </c>
      <c r="D309" s="36">
        <v>600</v>
      </c>
      <c r="E309" s="12">
        <v>43</v>
      </c>
      <c r="F309" s="21">
        <v>4.03</v>
      </c>
      <c r="G309" s="48" t="s">
        <v>42</v>
      </c>
      <c r="H309" s="35">
        <v>0</v>
      </c>
      <c r="I309" s="48">
        <v>3.6</v>
      </c>
      <c r="J309" s="35">
        <v>0</v>
      </c>
      <c r="K309" s="35">
        <v>0</v>
      </c>
      <c r="L309" s="36">
        <v>880</v>
      </c>
      <c r="M309" s="35">
        <v>1.1299999999999999</v>
      </c>
      <c r="N309" s="21">
        <v>5.1363636363636367</v>
      </c>
      <c r="O309" s="12">
        <v>0</v>
      </c>
      <c r="P309" s="35">
        <v>0.04</v>
      </c>
      <c r="Q309" s="35">
        <v>90</v>
      </c>
      <c r="R309" s="35">
        <v>800</v>
      </c>
      <c r="S309" s="35">
        <v>30</v>
      </c>
      <c r="T309" s="35">
        <v>0.21</v>
      </c>
      <c r="U309" s="21">
        <v>0.05</v>
      </c>
      <c r="V309" s="37">
        <v>7.73</v>
      </c>
      <c r="W309" s="37">
        <v>275.10000000000002</v>
      </c>
      <c r="X309" s="35" t="s">
        <v>1</v>
      </c>
      <c r="Y309" s="23" t="s">
        <v>6</v>
      </c>
      <c r="Z309" s="21" t="s">
        <v>6</v>
      </c>
      <c r="AA309" s="35" t="s">
        <v>1</v>
      </c>
      <c r="AB309" s="35" t="s">
        <v>1</v>
      </c>
      <c r="AC309" s="2" t="s">
        <v>28</v>
      </c>
    </row>
    <row r="310" spans="1:29" ht="15" customHeight="1">
      <c r="A310" s="35" t="s">
        <v>272</v>
      </c>
      <c r="B310" s="35" t="s">
        <v>180</v>
      </c>
      <c r="C310" s="35" t="s">
        <v>60</v>
      </c>
      <c r="D310" s="36">
        <v>600</v>
      </c>
      <c r="E310" s="12">
        <v>30.069930069930074</v>
      </c>
      <c r="F310" s="21">
        <v>6.86</v>
      </c>
      <c r="G310" s="35">
        <v>0</v>
      </c>
      <c r="H310" s="35">
        <v>0</v>
      </c>
      <c r="I310" s="35">
        <v>0</v>
      </c>
      <c r="J310" s="35">
        <v>0</v>
      </c>
      <c r="K310" s="36">
        <v>0</v>
      </c>
      <c r="L310" s="36">
        <v>231</v>
      </c>
      <c r="M310" s="35">
        <v>1.06</v>
      </c>
      <c r="N310" s="21">
        <v>16.899999999999999</v>
      </c>
      <c r="O310" s="12">
        <v>0</v>
      </c>
      <c r="P310" s="35">
        <v>0.04</v>
      </c>
      <c r="Q310" s="35">
        <v>90</v>
      </c>
      <c r="R310" s="35">
        <v>800</v>
      </c>
      <c r="S310" s="35">
        <v>30</v>
      </c>
      <c r="T310" s="35">
        <v>1.1599999999999999</v>
      </c>
      <c r="U310" s="21">
        <v>0.17</v>
      </c>
      <c r="V310" s="37" t="s">
        <v>1</v>
      </c>
      <c r="W310" s="37" t="s">
        <v>1</v>
      </c>
      <c r="X310" s="35" t="s">
        <v>1</v>
      </c>
      <c r="Y310" s="23" t="s">
        <v>6</v>
      </c>
      <c r="Z310" s="21" t="s">
        <v>6</v>
      </c>
      <c r="AA310" s="35" t="s">
        <v>1</v>
      </c>
      <c r="AB310" s="35" t="s">
        <v>1</v>
      </c>
      <c r="AC310" s="1" t="s">
        <v>57</v>
      </c>
    </row>
    <row r="311" spans="1:29" ht="13.2" customHeight="1">
      <c r="A311" s="35" t="s">
        <v>272</v>
      </c>
      <c r="B311" s="35" t="s">
        <v>180</v>
      </c>
      <c r="C311" s="35" t="s">
        <v>60</v>
      </c>
      <c r="D311" s="36">
        <v>600</v>
      </c>
      <c r="E311" s="12">
        <v>34.640522875816991</v>
      </c>
      <c r="F311" s="21">
        <v>6.19</v>
      </c>
      <c r="G311" s="48" t="s">
        <v>27</v>
      </c>
      <c r="H311" s="35">
        <v>0</v>
      </c>
      <c r="I311" s="35">
        <v>7.0000000000000007E-2</v>
      </c>
      <c r="J311" s="35">
        <v>0</v>
      </c>
      <c r="K311" s="21">
        <f>(I311*(E311/(1+I311))*2*10/200)/F311</f>
        <v>3.6610701633735289E-2</v>
      </c>
      <c r="L311" s="36">
        <v>231</v>
      </c>
      <c r="M311" s="35">
        <v>1.06</v>
      </c>
      <c r="N311" s="21">
        <v>16.899999999999999</v>
      </c>
      <c r="O311" s="12">
        <v>0</v>
      </c>
      <c r="P311" s="35">
        <v>0.04</v>
      </c>
      <c r="Q311" s="35">
        <v>90</v>
      </c>
      <c r="R311" s="35">
        <v>800</v>
      </c>
      <c r="S311" s="35">
        <v>30</v>
      </c>
      <c r="T311" s="35">
        <v>1.07</v>
      </c>
      <c r="U311" s="21">
        <v>0.17</v>
      </c>
      <c r="V311" s="37" t="s">
        <v>1</v>
      </c>
      <c r="W311" s="37" t="s">
        <v>1</v>
      </c>
      <c r="X311" s="35" t="s">
        <v>1</v>
      </c>
      <c r="Y311" s="23" t="s">
        <v>6</v>
      </c>
      <c r="Z311" s="21" t="s">
        <v>6</v>
      </c>
      <c r="AA311" s="35" t="s">
        <v>1</v>
      </c>
      <c r="AB311" s="35" t="s">
        <v>1</v>
      </c>
      <c r="AC311" s="1" t="s">
        <v>57</v>
      </c>
    </row>
    <row r="312" spans="1:29" ht="13.2" customHeight="1">
      <c r="A312" s="35" t="s">
        <v>272</v>
      </c>
      <c r="B312" s="35" t="s">
        <v>180</v>
      </c>
      <c r="C312" s="35" t="s">
        <v>60</v>
      </c>
      <c r="D312" s="36">
        <v>600</v>
      </c>
      <c r="E312" s="12">
        <v>42.196531791907518</v>
      </c>
      <c r="F312" s="21">
        <v>5.98</v>
      </c>
      <c r="G312" s="48" t="s">
        <v>27</v>
      </c>
      <c r="H312" s="35">
        <v>0</v>
      </c>
      <c r="I312" s="35">
        <v>0.4</v>
      </c>
      <c r="J312" s="35">
        <v>0</v>
      </c>
      <c r="K312" s="21">
        <f>(I312*(E312/(1+I312))*2*10/200)/F312</f>
        <v>0.20160789198235798</v>
      </c>
      <c r="L312" s="36">
        <v>231</v>
      </c>
      <c r="M312" s="35">
        <v>1.06</v>
      </c>
      <c r="N312" s="21">
        <v>16.899999999999999</v>
      </c>
      <c r="O312" s="12">
        <v>0</v>
      </c>
      <c r="P312" s="35">
        <v>0.04</v>
      </c>
      <c r="Q312" s="35">
        <v>90</v>
      </c>
      <c r="R312" s="35">
        <v>800</v>
      </c>
      <c r="S312" s="35">
        <v>30</v>
      </c>
      <c r="T312" s="35">
        <v>1.29</v>
      </c>
      <c r="U312" s="21">
        <v>0.22</v>
      </c>
      <c r="V312" s="37" t="s">
        <v>1</v>
      </c>
      <c r="W312" s="37" t="s">
        <v>1</v>
      </c>
      <c r="X312" s="35" t="s">
        <v>1</v>
      </c>
      <c r="Y312" s="23" t="s">
        <v>6</v>
      </c>
      <c r="Z312" s="21" t="s">
        <v>6</v>
      </c>
      <c r="AA312" s="35" t="s">
        <v>1</v>
      </c>
      <c r="AB312" s="35" t="s">
        <v>1</v>
      </c>
      <c r="AC312" s="1" t="s">
        <v>57</v>
      </c>
    </row>
    <row r="313" spans="1:29" ht="12" customHeight="1">
      <c r="A313" s="35" t="s">
        <v>273</v>
      </c>
      <c r="B313" s="35" t="s">
        <v>180</v>
      </c>
      <c r="C313" s="35" t="s">
        <v>60</v>
      </c>
      <c r="D313" s="36">
        <v>600</v>
      </c>
      <c r="E313" s="12">
        <v>44.44444444444445</v>
      </c>
      <c r="F313" s="21">
        <v>5.34</v>
      </c>
      <c r="G313" s="48" t="s">
        <v>27</v>
      </c>
      <c r="H313" s="35">
        <v>0</v>
      </c>
      <c r="I313" s="35">
        <v>0.67</v>
      </c>
      <c r="J313" s="35">
        <v>0</v>
      </c>
      <c r="K313" s="21">
        <f>(I313*(E313/(1+I313))*2*10/200)/F313</f>
        <v>0.3339139448942316</v>
      </c>
      <c r="L313" s="36">
        <v>231</v>
      </c>
      <c r="M313" s="35">
        <v>1.06</v>
      </c>
      <c r="N313" s="21">
        <v>16.899999999999999</v>
      </c>
      <c r="O313" s="12">
        <v>0</v>
      </c>
      <c r="P313" s="35">
        <v>0.04</v>
      </c>
      <c r="Q313" s="35">
        <v>90</v>
      </c>
      <c r="R313" s="35">
        <v>800</v>
      </c>
      <c r="S313" s="35">
        <v>30</v>
      </c>
      <c r="T313" s="35">
        <v>1.17</v>
      </c>
      <c r="U313" s="21">
        <v>0.22</v>
      </c>
      <c r="V313" s="37" t="s">
        <v>1</v>
      </c>
      <c r="W313" s="37" t="s">
        <v>1</v>
      </c>
      <c r="X313" s="35" t="s">
        <v>1</v>
      </c>
      <c r="Y313" s="23" t="s">
        <v>6</v>
      </c>
      <c r="Z313" s="21" t="s">
        <v>6</v>
      </c>
      <c r="AA313" s="35" t="s">
        <v>1</v>
      </c>
      <c r="AB313" s="35" t="s">
        <v>1</v>
      </c>
      <c r="AC313" s="1" t="s">
        <v>28</v>
      </c>
    </row>
    <row r="314" spans="1:29" ht="15" customHeight="1">
      <c r="A314" s="35" t="s">
        <v>273</v>
      </c>
      <c r="B314" s="35" t="s">
        <v>180</v>
      </c>
      <c r="C314" s="35" t="s">
        <v>60</v>
      </c>
      <c r="D314" s="36">
        <v>600</v>
      </c>
      <c r="E314" s="12">
        <v>48.979591836734691</v>
      </c>
      <c r="F314" s="21">
        <v>5.26</v>
      </c>
      <c r="G314" s="48" t="s">
        <v>27</v>
      </c>
      <c r="H314" s="35">
        <v>0</v>
      </c>
      <c r="I314" s="35">
        <v>0.8</v>
      </c>
      <c r="J314" s="35">
        <v>0</v>
      </c>
      <c r="K314" s="21">
        <f>(I314*(E314/(1+I314))*2*10/200)/F314</f>
        <v>0.41385375442952843</v>
      </c>
      <c r="L314" s="36">
        <v>231</v>
      </c>
      <c r="M314" s="35">
        <v>1.06</v>
      </c>
      <c r="N314" s="21">
        <v>16.899999999999999</v>
      </c>
      <c r="O314" s="12">
        <v>0</v>
      </c>
      <c r="P314" s="35">
        <v>0.04</v>
      </c>
      <c r="Q314" s="35">
        <v>90</v>
      </c>
      <c r="R314" s="35">
        <v>800</v>
      </c>
      <c r="S314" s="35">
        <v>30</v>
      </c>
      <c r="T314" s="35">
        <v>1.1200000000000001</v>
      </c>
      <c r="U314" s="21">
        <v>0.21</v>
      </c>
      <c r="V314" s="37" t="s">
        <v>1</v>
      </c>
      <c r="W314" s="37" t="s">
        <v>1</v>
      </c>
      <c r="X314" s="35" t="s">
        <v>1</v>
      </c>
      <c r="Y314" s="23" t="s">
        <v>6</v>
      </c>
      <c r="Z314" s="21" t="s">
        <v>6</v>
      </c>
      <c r="AA314" s="35" t="s">
        <v>1</v>
      </c>
      <c r="AB314" s="35" t="s">
        <v>1</v>
      </c>
      <c r="AC314" s="1" t="s">
        <v>28</v>
      </c>
    </row>
    <row r="315" spans="1:29" ht="14.55" customHeight="1">
      <c r="A315" s="35" t="s">
        <v>273</v>
      </c>
      <c r="B315" s="35" t="s">
        <v>180</v>
      </c>
      <c r="C315" s="35" t="s">
        <v>60</v>
      </c>
      <c r="D315" s="36">
        <v>600</v>
      </c>
      <c r="E315" s="12">
        <v>60.629921259842526</v>
      </c>
      <c r="F315" s="21">
        <v>4.26</v>
      </c>
      <c r="G315" s="48" t="s">
        <v>27</v>
      </c>
      <c r="H315" s="35">
        <v>0</v>
      </c>
      <c r="I315" s="35">
        <v>0.88</v>
      </c>
      <c r="J315" s="35">
        <v>0</v>
      </c>
      <c r="K315" s="21">
        <f>(I315*(E315/(1+I315))*2*10/200)/F315</f>
        <v>0.66619631790856837</v>
      </c>
      <c r="L315" s="36">
        <v>231</v>
      </c>
      <c r="M315" s="35">
        <v>1.06</v>
      </c>
      <c r="N315" s="21">
        <v>16.899999999999999</v>
      </c>
      <c r="O315" s="12">
        <v>0</v>
      </c>
      <c r="P315" s="35">
        <v>0.04</v>
      </c>
      <c r="Q315" s="35">
        <v>90</v>
      </c>
      <c r="R315" s="35">
        <v>800</v>
      </c>
      <c r="S315" s="35">
        <v>30</v>
      </c>
      <c r="T315" s="35">
        <v>0.88</v>
      </c>
      <c r="U315" s="21">
        <v>0.21</v>
      </c>
      <c r="V315" s="37" t="s">
        <v>1</v>
      </c>
      <c r="W315" s="37" t="s">
        <v>1</v>
      </c>
      <c r="X315" s="35" t="s">
        <v>1</v>
      </c>
      <c r="Y315" s="23" t="s">
        <v>6</v>
      </c>
      <c r="Z315" s="21" t="s">
        <v>6</v>
      </c>
      <c r="AA315" s="35" t="s">
        <v>1</v>
      </c>
      <c r="AB315" s="35" t="s">
        <v>1</v>
      </c>
      <c r="AC315" s="2" t="s">
        <v>28</v>
      </c>
    </row>
    <row r="316" spans="1:29" ht="14.55" customHeight="1">
      <c r="A316" s="35" t="s">
        <v>273</v>
      </c>
      <c r="B316" s="35" t="s">
        <v>180</v>
      </c>
      <c r="C316" s="35" t="s">
        <v>60</v>
      </c>
      <c r="D316" s="36">
        <v>600</v>
      </c>
      <c r="E316" s="12">
        <v>30.069930069930074</v>
      </c>
      <c r="F316" s="21">
        <v>6.08</v>
      </c>
      <c r="G316" s="35">
        <v>0</v>
      </c>
      <c r="H316" s="35">
        <v>0</v>
      </c>
      <c r="I316" s="35">
        <v>0</v>
      </c>
      <c r="J316" s="35">
        <v>0</v>
      </c>
      <c r="K316" s="36">
        <v>0</v>
      </c>
      <c r="L316" s="36">
        <v>201</v>
      </c>
      <c r="M316" s="21">
        <v>0.45</v>
      </c>
      <c r="N316" s="21">
        <v>9.1999999999999993</v>
      </c>
      <c r="O316" s="12">
        <v>0</v>
      </c>
      <c r="P316" s="35">
        <v>0.04</v>
      </c>
      <c r="Q316" s="35">
        <v>90</v>
      </c>
      <c r="R316" s="35">
        <v>800</v>
      </c>
      <c r="S316" s="35">
        <v>30</v>
      </c>
      <c r="T316" s="35">
        <v>0.71</v>
      </c>
      <c r="U316" s="21">
        <v>0.12</v>
      </c>
      <c r="V316" s="37" t="s">
        <v>6</v>
      </c>
      <c r="W316" s="37" t="s">
        <v>6</v>
      </c>
      <c r="X316" s="35" t="s">
        <v>6</v>
      </c>
      <c r="Y316" s="23" t="s">
        <v>6</v>
      </c>
      <c r="Z316" s="21" t="s">
        <v>6</v>
      </c>
      <c r="AA316" s="35" t="s">
        <v>6</v>
      </c>
      <c r="AB316" s="35" t="s">
        <v>1</v>
      </c>
      <c r="AC316" s="1" t="s">
        <v>57</v>
      </c>
    </row>
    <row r="317" spans="1:29" ht="11.55" customHeight="1">
      <c r="A317" s="35" t="s">
        <v>273</v>
      </c>
      <c r="B317" s="35" t="s">
        <v>180</v>
      </c>
      <c r="C317" s="35" t="s">
        <v>60</v>
      </c>
      <c r="D317" s="36">
        <v>600</v>
      </c>
      <c r="E317" s="12">
        <v>34.640522875816991</v>
      </c>
      <c r="F317" s="21">
        <v>5.54</v>
      </c>
      <c r="G317" s="48" t="s">
        <v>27</v>
      </c>
      <c r="H317" s="35">
        <v>0</v>
      </c>
      <c r="I317" s="35">
        <v>7.0000000000000007E-2</v>
      </c>
      <c r="J317" s="35">
        <v>0</v>
      </c>
      <c r="K317" s="21">
        <f>(I317*(E317/(1+I317))*2*10/200)/F317</f>
        <v>4.0906181067296286E-2</v>
      </c>
      <c r="L317" s="36">
        <v>201</v>
      </c>
      <c r="M317" s="21">
        <v>0.45</v>
      </c>
      <c r="N317" s="21">
        <v>9.1999999999999993</v>
      </c>
      <c r="O317" s="12">
        <v>0</v>
      </c>
      <c r="P317" s="35">
        <v>0.04</v>
      </c>
      <c r="Q317" s="35">
        <v>90</v>
      </c>
      <c r="R317" s="35">
        <v>800</v>
      </c>
      <c r="S317" s="35">
        <v>30</v>
      </c>
      <c r="T317" s="35">
        <v>0.76</v>
      </c>
      <c r="U317" s="21">
        <v>0.14000000000000001</v>
      </c>
      <c r="V317" s="37" t="s">
        <v>6</v>
      </c>
      <c r="W317" s="37" t="s">
        <v>6</v>
      </c>
      <c r="X317" s="35" t="s">
        <v>6</v>
      </c>
      <c r="Y317" s="23" t="s">
        <v>6</v>
      </c>
      <c r="Z317" s="21" t="s">
        <v>6</v>
      </c>
      <c r="AA317" s="35" t="s">
        <v>6</v>
      </c>
      <c r="AB317" s="35" t="s">
        <v>1</v>
      </c>
      <c r="AC317" s="1" t="s">
        <v>28</v>
      </c>
    </row>
    <row r="318" spans="1:29" ht="13.8" customHeight="1">
      <c r="A318" s="35" t="s">
        <v>273</v>
      </c>
      <c r="B318" s="35" t="s">
        <v>180</v>
      </c>
      <c r="C318" s="35" t="s">
        <v>60</v>
      </c>
      <c r="D318" s="36">
        <v>600</v>
      </c>
      <c r="E318" s="12">
        <v>42.196531791907518</v>
      </c>
      <c r="F318" s="21">
        <v>5.94</v>
      </c>
      <c r="G318" s="48" t="s">
        <v>27</v>
      </c>
      <c r="H318" s="35">
        <v>0</v>
      </c>
      <c r="I318" s="35">
        <v>0.4</v>
      </c>
      <c r="J318" s="35">
        <v>0</v>
      </c>
      <c r="K318" s="21">
        <f>(I318*(E318/(1+I318))*2*10/200)/F318</f>
        <v>0.20296552088459607</v>
      </c>
      <c r="L318" s="36">
        <v>201</v>
      </c>
      <c r="M318" s="21">
        <v>0.45</v>
      </c>
      <c r="N318" s="21">
        <v>9.1999999999999993</v>
      </c>
      <c r="O318" s="12">
        <v>0</v>
      </c>
      <c r="P318" s="35">
        <v>0.04</v>
      </c>
      <c r="Q318" s="35">
        <v>90</v>
      </c>
      <c r="R318" s="35">
        <v>800</v>
      </c>
      <c r="S318" s="35">
        <v>30</v>
      </c>
      <c r="T318" s="35">
        <v>0.89</v>
      </c>
      <c r="U318" s="21">
        <v>0.15</v>
      </c>
      <c r="V318" s="37" t="s">
        <v>6</v>
      </c>
      <c r="W318" s="37" t="s">
        <v>6</v>
      </c>
      <c r="X318" s="35" t="s">
        <v>6</v>
      </c>
      <c r="Y318" s="23" t="s">
        <v>6</v>
      </c>
      <c r="Z318" s="21" t="s">
        <v>6</v>
      </c>
      <c r="AA318" s="35" t="s">
        <v>6</v>
      </c>
      <c r="AB318" s="35" t="s">
        <v>1</v>
      </c>
      <c r="AC318" s="1" t="s">
        <v>57</v>
      </c>
    </row>
    <row r="319" spans="1:29" ht="13.8" customHeight="1">
      <c r="A319" s="35" t="s">
        <v>273</v>
      </c>
      <c r="B319" s="35" t="s">
        <v>180</v>
      </c>
      <c r="C319" s="35" t="s">
        <v>60</v>
      </c>
      <c r="D319" s="36">
        <v>600</v>
      </c>
      <c r="E319" s="12">
        <v>44.44444444444445</v>
      </c>
      <c r="F319" s="21">
        <v>5.57</v>
      </c>
      <c r="G319" s="48" t="s">
        <v>27</v>
      </c>
      <c r="H319" s="35">
        <v>0</v>
      </c>
      <c r="I319" s="35">
        <v>0.67</v>
      </c>
      <c r="J319" s="35">
        <v>0</v>
      </c>
      <c r="K319" s="21">
        <f>(I319*(E319/(1+I319))*2*10/200)/F319</f>
        <v>0.32012575686448769</v>
      </c>
      <c r="L319" s="36">
        <v>201</v>
      </c>
      <c r="M319" s="21">
        <v>0.45</v>
      </c>
      <c r="N319" s="21">
        <v>9.1999999999999993</v>
      </c>
      <c r="O319" s="12">
        <v>0</v>
      </c>
      <c r="P319" s="35">
        <v>0.04</v>
      </c>
      <c r="Q319" s="35">
        <v>90</v>
      </c>
      <c r="R319" s="35">
        <v>800</v>
      </c>
      <c r="S319" s="35">
        <v>30</v>
      </c>
      <c r="T319" s="35">
        <v>0.9</v>
      </c>
      <c r="U319" s="21">
        <v>0.16</v>
      </c>
      <c r="V319" s="37" t="s">
        <v>6</v>
      </c>
      <c r="W319" s="37" t="s">
        <v>6</v>
      </c>
      <c r="X319" s="35" t="s">
        <v>6</v>
      </c>
      <c r="Y319" s="23" t="s">
        <v>6</v>
      </c>
      <c r="Z319" s="21" t="s">
        <v>6</v>
      </c>
      <c r="AA319" s="35" t="s">
        <v>6</v>
      </c>
      <c r="AB319" s="35" t="s">
        <v>1</v>
      </c>
      <c r="AC319" s="1" t="s">
        <v>28</v>
      </c>
    </row>
    <row r="320" spans="1:29" ht="13.8" customHeight="1">
      <c r="A320" s="35" t="s">
        <v>273</v>
      </c>
      <c r="B320" s="35" t="s">
        <v>180</v>
      </c>
      <c r="C320" s="35" t="s">
        <v>60</v>
      </c>
      <c r="D320" s="36">
        <v>600</v>
      </c>
      <c r="E320" s="12">
        <v>48.979591836734691</v>
      </c>
      <c r="F320" s="21">
        <v>5.39</v>
      </c>
      <c r="G320" s="48" t="s">
        <v>27</v>
      </c>
      <c r="H320" s="35">
        <v>0</v>
      </c>
      <c r="I320" s="35">
        <v>0.8</v>
      </c>
      <c r="J320" s="35">
        <v>0</v>
      </c>
      <c r="K320" s="21">
        <f>(I320*(E320/(1+I320))*2*10/200)/F320</f>
        <v>0.40387212398874206</v>
      </c>
      <c r="L320" s="36">
        <v>201</v>
      </c>
      <c r="M320" s="21">
        <v>0.45</v>
      </c>
      <c r="N320" s="21">
        <v>9.1999999999999993</v>
      </c>
      <c r="O320" s="12">
        <v>0</v>
      </c>
      <c r="P320" s="35">
        <v>0.04</v>
      </c>
      <c r="Q320" s="35">
        <v>90</v>
      </c>
      <c r="R320" s="35">
        <v>800</v>
      </c>
      <c r="S320" s="35">
        <v>30</v>
      </c>
      <c r="T320" s="35">
        <v>0.98</v>
      </c>
      <c r="U320" s="21">
        <v>0.18</v>
      </c>
      <c r="V320" s="37" t="s">
        <v>6</v>
      </c>
      <c r="W320" s="37" t="s">
        <v>6</v>
      </c>
      <c r="X320" s="35" t="s">
        <v>6</v>
      </c>
      <c r="Y320" s="23" t="s">
        <v>6</v>
      </c>
      <c r="Z320" s="21" t="s">
        <v>6</v>
      </c>
      <c r="AA320" s="35" t="s">
        <v>6</v>
      </c>
      <c r="AB320" s="35" t="s">
        <v>1</v>
      </c>
      <c r="AC320" s="1" t="s">
        <v>28</v>
      </c>
    </row>
    <row r="321" spans="1:29" ht="15" customHeight="1">
      <c r="A321" s="35" t="s">
        <v>272</v>
      </c>
      <c r="B321" s="35" t="s">
        <v>180</v>
      </c>
      <c r="C321" s="35" t="s">
        <v>60</v>
      </c>
      <c r="D321" s="36">
        <v>600</v>
      </c>
      <c r="E321" s="12">
        <v>41.17647058823529</v>
      </c>
      <c r="F321" s="21">
        <v>5.07</v>
      </c>
      <c r="G321" s="48" t="s">
        <v>27</v>
      </c>
      <c r="H321" s="35">
        <v>0</v>
      </c>
      <c r="I321" s="35">
        <v>0.88</v>
      </c>
      <c r="J321" s="35">
        <v>0</v>
      </c>
      <c r="K321" s="21">
        <f>(I321*(E321/(1+I321))*2*10/200)/F321</f>
        <v>0.38015961766804163</v>
      </c>
      <c r="L321" s="36">
        <v>201</v>
      </c>
      <c r="M321" s="21">
        <v>0.45</v>
      </c>
      <c r="N321" s="21">
        <v>9.1999999999999993</v>
      </c>
      <c r="O321" s="12">
        <v>0</v>
      </c>
      <c r="P321" s="35">
        <v>0.04</v>
      </c>
      <c r="Q321" s="35">
        <v>90</v>
      </c>
      <c r="R321" s="35">
        <v>800</v>
      </c>
      <c r="S321" s="35">
        <v>30</v>
      </c>
      <c r="T321" s="35">
        <v>1.06</v>
      </c>
      <c r="U321" s="21">
        <v>0.21</v>
      </c>
      <c r="V321" s="37" t="s">
        <v>6</v>
      </c>
      <c r="W321" s="37" t="s">
        <v>6</v>
      </c>
      <c r="X321" s="35" t="s">
        <v>6</v>
      </c>
      <c r="Y321" s="23" t="s">
        <v>6</v>
      </c>
      <c r="Z321" s="21" t="s">
        <v>6</v>
      </c>
      <c r="AA321" s="35" t="s">
        <v>6</v>
      </c>
      <c r="AB321" s="35" t="s">
        <v>1</v>
      </c>
      <c r="AC321" s="2" t="s">
        <v>28</v>
      </c>
    </row>
    <row r="322" spans="1:29">
      <c r="A322" s="35" t="s">
        <v>8</v>
      </c>
      <c r="B322" s="35" t="s">
        <v>4</v>
      </c>
      <c r="C322" s="49" t="s">
        <v>71</v>
      </c>
      <c r="D322" s="36">
        <v>146.22999999999999</v>
      </c>
      <c r="E322" s="12">
        <v>12</v>
      </c>
      <c r="F322" s="21">
        <f t="shared" ref="F322:F341" si="15">E322*4*10/D322</f>
        <v>3.2825001709635506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6">
        <v>880</v>
      </c>
      <c r="M322" s="35">
        <v>1</v>
      </c>
      <c r="N322" s="21">
        <v>8.8888888888888893</v>
      </c>
      <c r="O322" s="12">
        <v>0</v>
      </c>
      <c r="P322" s="35">
        <v>0.04</v>
      </c>
      <c r="Q322" s="35" t="s">
        <v>1</v>
      </c>
      <c r="R322" s="35">
        <v>180</v>
      </c>
      <c r="S322" s="35">
        <v>35</v>
      </c>
      <c r="T322" s="21">
        <v>9.2381140268047834E-2</v>
      </c>
      <c r="U322" s="21">
        <f t="shared" ref="U322:U350" si="16">T322/F322</f>
        <v>2.8143529461242989E-2</v>
      </c>
      <c r="V322" s="35" t="s">
        <v>1</v>
      </c>
      <c r="W322" s="35" t="s">
        <v>1</v>
      </c>
      <c r="X322" s="35" t="s">
        <v>1</v>
      </c>
      <c r="Y322" s="23" t="s">
        <v>6</v>
      </c>
      <c r="Z322" s="21" t="s">
        <v>6</v>
      </c>
      <c r="AA322" s="35" t="s">
        <v>1</v>
      </c>
      <c r="AB322" s="35" t="s">
        <v>1</v>
      </c>
      <c r="AC322" s="1" t="s">
        <v>50</v>
      </c>
    </row>
    <row r="323" spans="1:29">
      <c r="A323" s="35" t="s">
        <v>8</v>
      </c>
      <c r="B323" s="35" t="s">
        <v>4</v>
      </c>
      <c r="C323" s="49" t="s">
        <v>71</v>
      </c>
      <c r="D323" s="36">
        <v>146.22999999999999</v>
      </c>
      <c r="E323" s="12">
        <v>22</v>
      </c>
      <c r="F323" s="21">
        <f t="shared" si="15"/>
        <v>6.0179169800998435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6">
        <v>880</v>
      </c>
      <c r="M323" s="35">
        <v>1</v>
      </c>
      <c r="N323" s="21">
        <v>8.8888888888888893</v>
      </c>
      <c r="O323" s="12">
        <v>0</v>
      </c>
      <c r="P323" s="35">
        <v>0.04</v>
      </c>
      <c r="Q323" s="35" t="s">
        <v>1</v>
      </c>
      <c r="R323" s="35">
        <v>180</v>
      </c>
      <c r="S323" s="35">
        <v>35</v>
      </c>
      <c r="T323" s="21">
        <v>0.36876005561368741</v>
      </c>
      <c r="U323" s="21">
        <f t="shared" si="16"/>
        <v>6.1277026059533522E-2</v>
      </c>
      <c r="V323" s="35" t="s">
        <v>1</v>
      </c>
      <c r="W323" s="35" t="s">
        <v>1</v>
      </c>
      <c r="X323" s="35" t="s">
        <v>1</v>
      </c>
      <c r="Y323" s="23" t="s">
        <v>6</v>
      </c>
      <c r="Z323" s="21" t="s">
        <v>6</v>
      </c>
      <c r="AA323" s="35" t="s">
        <v>1</v>
      </c>
      <c r="AB323" s="35" t="s">
        <v>1</v>
      </c>
      <c r="AC323" s="27" t="s">
        <v>49</v>
      </c>
    </row>
    <row r="324" spans="1:29">
      <c r="A324" s="35" t="s">
        <v>8</v>
      </c>
      <c r="B324" s="35" t="s">
        <v>4</v>
      </c>
      <c r="C324" s="49" t="s">
        <v>71</v>
      </c>
      <c r="D324" s="36">
        <v>146.22999999999999</v>
      </c>
      <c r="E324" s="12">
        <v>31</v>
      </c>
      <c r="F324" s="21">
        <f t="shared" si="15"/>
        <v>8.4797921083225063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6">
        <v>880</v>
      </c>
      <c r="M324" s="35">
        <v>1</v>
      </c>
      <c r="N324" s="21">
        <v>8.8888888888888893</v>
      </c>
      <c r="O324" s="12">
        <v>0</v>
      </c>
      <c r="P324" s="35">
        <v>0.04</v>
      </c>
      <c r="Q324" s="35" t="s">
        <v>1</v>
      </c>
      <c r="R324" s="35">
        <v>180</v>
      </c>
      <c r="S324" s="35">
        <v>35</v>
      </c>
      <c r="T324" s="21">
        <v>1.2333651342287035</v>
      </c>
      <c r="U324" s="21">
        <f t="shared" si="16"/>
        <v>0.14544756740182524</v>
      </c>
      <c r="V324" s="35" t="s">
        <v>1</v>
      </c>
      <c r="W324" s="35" t="s">
        <v>1</v>
      </c>
      <c r="X324" s="35" t="s">
        <v>1</v>
      </c>
      <c r="Y324" s="23" t="s">
        <v>6</v>
      </c>
      <c r="Z324" s="21" t="s">
        <v>6</v>
      </c>
      <c r="AA324" s="35" t="s">
        <v>1</v>
      </c>
      <c r="AB324" s="35" t="s">
        <v>1</v>
      </c>
      <c r="AC324" s="27" t="s">
        <v>49</v>
      </c>
    </row>
    <row r="325" spans="1:29">
      <c r="A325" s="35" t="s">
        <v>7</v>
      </c>
      <c r="B325" s="35" t="s">
        <v>4</v>
      </c>
      <c r="C325" s="49" t="s">
        <v>71</v>
      </c>
      <c r="D325" s="36">
        <v>146.22999999999999</v>
      </c>
      <c r="E325" s="12">
        <v>41</v>
      </c>
      <c r="F325" s="21">
        <f t="shared" si="15"/>
        <v>11.215208917458799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6">
        <v>880</v>
      </c>
      <c r="M325" s="35">
        <v>1</v>
      </c>
      <c r="N325" s="21">
        <v>8.8888888888888893</v>
      </c>
      <c r="O325" s="12">
        <v>0</v>
      </c>
      <c r="P325" s="35">
        <v>0.04</v>
      </c>
      <c r="Q325" s="35" t="s">
        <v>1</v>
      </c>
      <c r="R325" s="35">
        <v>180</v>
      </c>
      <c r="S325" s="35">
        <v>35</v>
      </c>
      <c r="T325" s="21">
        <v>2.0882114749389249</v>
      </c>
      <c r="U325" s="21">
        <f t="shared" si="16"/>
        <v>0.18619461218312131</v>
      </c>
      <c r="V325" s="35" t="s">
        <v>1</v>
      </c>
      <c r="W325" s="35" t="s">
        <v>1</v>
      </c>
      <c r="X325" s="35" t="s">
        <v>1</v>
      </c>
      <c r="Y325" s="23" t="s">
        <v>6</v>
      </c>
      <c r="Z325" s="21" t="s">
        <v>6</v>
      </c>
      <c r="AA325" s="35" t="s">
        <v>1</v>
      </c>
      <c r="AB325" s="35" t="s">
        <v>1</v>
      </c>
      <c r="AC325" s="27" t="s">
        <v>49</v>
      </c>
    </row>
    <row r="326" spans="1:29">
      <c r="A326" s="35" t="s">
        <v>7</v>
      </c>
      <c r="B326" s="35" t="s">
        <v>46</v>
      </c>
      <c r="C326" s="49" t="s">
        <v>72</v>
      </c>
      <c r="D326" s="36">
        <v>188.3</v>
      </c>
      <c r="E326" s="12">
        <v>13</v>
      </c>
      <c r="F326" s="21">
        <f t="shared" si="15"/>
        <v>2.7615507169410511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6">
        <v>880</v>
      </c>
      <c r="M326" s="35">
        <v>1</v>
      </c>
      <c r="N326" s="21">
        <v>8.8888888888888893</v>
      </c>
      <c r="O326" s="12">
        <v>0</v>
      </c>
      <c r="P326" s="35">
        <v>0.04</v>
      </c>
      <c r="Q326" s="35" t="s">
        <v>1</v>
      </c>
      <c r="R326" s="35">
        <v>180</v>
      </c>
      <c r="S326" s="35">
        <v>35</v>
      </c>
      <c r="T326" s="21">
        <v>7.4749429125584604E-2</v>
      </c>
      <c r="U326" s="21">
        <f t="shared" si="16"/>
        <v>2.7067918277591505E-2</v>
      </c>
      <c r="V326" s="35" t="s">
        <v>1</v>
      </c>
      <c r="W326" s="35" t="s">
        <v>1</v>
      </c>
      <c r="X326" s="35" t="s">
        <v>1</v>
      </c>
      <c r="Y326" s="23" t="s">
        <v>6</v>
      </c>
      <c r="Z326" s="21" t="s">
        <v>6</v>
      </c>
      <c r="AA326" s="35" t="s">
        <v>1</v>
      </c>
      <c r="AB326" s="35" t="s">
        <v>1</v>
      </c>
      <c r="AC326" s="27" t="s">
        <v>49</v>
      </c>
    </row>
    <row r="327" spans="1:29">
      <c r="A327" s="35" t="s">
        <v>7</v>
      </c>
      <c r="B327" s="35" t="s">
        <v>46</v>
      </c>
      <c r="C327" s="49" t="s">
        <v>72</v>
      </c>
      <c r="D327" s="36">
        <v>188.3</v>
      </c>
      <c r="E327" s="12">
        <v>22</v>
      </c>
      <c r="F327" s="21">
        <f t="shared" si="15"/>
        <v>4.6733935209771635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6">
        <v>880</v>
      </c>
      <c r="M327" s="35">
        <v>1</v>
      </c>
      <c r="N327" s="21">
        <v>8.8888888888888893</v>
      </c>
      <c r="O327" s="12">
        <v>0</v>
      </c>
      <c r="P327" s="35">
        <v>0.04</v>
      </c>
      <c r="Q327" s="35" t="s">
        <v>1</v>
      </c>
      <c r="R327" s="35">
        <v>180</v>
      </c>
      <c r="S327" s="35">
        <v>35</v>
      </c>
      <c r="T327" s="21">
        <v>0.35198864858456363</v>
      </c>
      <c r="U327" s="21">
        <f t="shared" si="16"/>
        <v>7.531757105508334E-2</v>
      </c>
      <c r="V327" s="35" t="s">
        <v>1</v>
      </c>
      <c r="W327" s="35" t="s">
        <v>1</v>
      </c>
      <c r="X327" s="35" t="s">
        <v>1</v>
      </c>
      <c r="Y327" s="23" t="s">
        <v>6</v>
      </c>
      <c r="Z327" s="21" t="s">
        <v>6</v>
      </c>
      <c r="AA327" s="35" t="s">
        <v>1</v>
      </c>
      <c r="AB327" s="35" t="s">
        <v>1</v>
      </c>
      <c r="AC327" s="27" t="s">
        <v>49</v>
      </c>
    </row>
    <row r="328" spans="1:29">
      <c r="A328" s="35" t="s">
        <v>7</v>
      </c>
      <c r="B328" s="35" t="s">
        <v>46</v>
      </c>
      <c r="C328" s="49" t="s">
        <v>72</v>
      </c>
      <c r="D328" s="36">
        <v>188.3</v>
      </c>
      <c r="E328" s="12">
        <v>32</v>
      </c>
      <c r="F328" s="21">
        <f t="shared" si="15"/>
        <v>6.7976633032395108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6">
        <v>880</v>
      </c>
      <c r="M328" s="35">
        <v>1</v>
      </c>
      <c r="N328" s="21">
        <v>8.8888888888888893</v>
      </c>
      <c r="O328" s="12">
        <v>0</v>
      </c>
      <c r="P328" s="35">
        <v>0.04</v>
      </c>
      <c r="Q328" s="35" t="s">
        <v>1</v>
      </c>
      <c r="R328" s="35">
        <v>180</v>
      </c>
      <c r="S328" s="35">
        <v>35</v>
      </c>
      <c r="T328" s="21">
        <v>1.1785524414868358</v>
      </c>
      <c r="U328" s="21">
        <f t="shared" si="16"/>
        <v>0.17337611307185249</v>
      </c>
      <c r="V328" s="35" t="s">
        <v>1</v>
      </c>
      <c r="W328" s="35" t="s">
        <v>1</v>
      </c>
      <c r="X328" s="35" t="s">
        <v>1</v>
      </c>
      <c r="Y328" s="23" t="s">
        <v>6</v>
      </c>
      <c r="Z328" s="21" t="s">
        <v>6</v>
      </c>
      <c r="AA328" s="35" t="s">
        <v>1</v>
      </c>
      <c r="AB328" s="35" t="s">
        <v>1</v>
      </c>
      <c r="AC328" s="1" t="s">
        <v>50</v>
      </c>
    </row>
    <row r="329" spans="1:29">
      <c r="A329" s="35" t="s">
        <v>7</v>
      </c>
      <c r="B329" s="35" t="s">
        <v>46</v>
      </c>
      <c r="C329" s="49" t="s">
        <v>72</v>
      </c>
      <c r="D329" s="36">
        <v>188.3</v>
      </c>
      <c r="E329" s="12">
        <v>41</v>
      </c>
      <c r="F329" s="21">
        <f t="shared" si="15"/>
        <v>8.7095061072756241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6">
        <v>880</v>
      </c>
      <c r="M329" s="35">
        <v>1</v>
      </c>
      <c r="N329" s="21">
        <v>8.8888888888888893</v>
      </c>
      <c r="O329" s="12">
        <v>0</v>
      </c>
      <c r="P329" s="35">
        <v>0.04</v>
      </c>
      <c r="Q329" s="35" t="s">
        <v>1</v>
      </c>
      <c r="R329" s="35">
        <v>180</v>
      </c>
      <c r="S329" s="35">
        <v>35</v>
      </c>
      <c r="T329" s="21">
        <v>1.8843674200693767</v>
      </c>
      <c r="U329" s="21">
        <f t="shared" si="16"/>
        <v>0.21635755195064857</v>
      </c>
      <c r="V329" s="35" t="s">
        <v>1</v>
      </c>
      <c r="W329" s="35" t="s">
        <v>1</v>
      </c>
      <c r="X329" s="35" t="s">
        <v>1</v>
      </c>
      <c r="Y329" s="23" t="s">
        <v>6</v>
      </c>
      <c r="Z329" s="21" t="s">
        <v>6</v>
      </c>
      <c r="AA329" s="35" t="s">
        <v>1</v>
      </c>
      <c r="AB329" s="35" t="s">
        <v>1</v>
      </c>
      <c r="AC329" s="27" t="s">
        <v>49</v>
      </c>
    </row>
    <row r="330" spans="1:29">
      <c r="A330" s="35" t="s">
        <v>7</v>
      </c>
      <c r="B330" s="35" t="s">
        <v>47</v>
      </c>
      <c r="C330" s="49" t="s">
        <v>70</v>
      </c>
      <c r="D330" s="36">
        <v>246.4</v>
      </c>
      <c r="E330" s="12">
        <v>10</v>
      </c>
      <c r="F330" s="21">
        <f t="shared" si="15"/>
        <v>1.6233766233766234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6">
        <v>880</v>
      </c>
      <c r="M330" s="35">
        <v>1</v>
      </c>
      <c r="N330" s="21">
        <v>8.8888888888888893</v>
      </c>
      <c r="O330" s="12">
        <v>0</v>
      </c>
      <c r="P330" s="35">
        <v>0.04</v>
      </c>
      <c r="Q330" s="35" t="s">
        <v>1</v>
      </c>
      <c r="R330" s="35">
        <v>180</v>
      </c>
      <c r="S330" s="35">
        <v>35</v>
      </c>
      <c r="T330" s="21">
        <v>2.536397490729915E-2</v>
      </c>
      <c r="U330" s="21">
        <f t="shared" si="16"/>
        <v>1.5624208542896277E-2</v>
      </c>
      <c r="V330" s="35" t="s">
        <v>1</v>
      </c>
      <c r="W330" s="35" t="s">
        <v>1</v>
      </c>
      <c r="X330" s="35" t="s">
        <v>1</v>
      </c>
      <c r="Y330" s="23" t="s">
        <v>6</v>
      </c>
      <c r="Z330" s="21" t="s">
        <v>6</v>
      </c>
      <c r="AA330" s="35" t="s">
        <v>1</v>
      </c>
      <c r="AB330" s="35" t="s">
        <v>1</v>
      </c>
      <c r="AC330" s="27" t="s">
        <v>49</v>
      </c>
    </row>
    <row r="331" spans="1:29">
      <c r="A331" s="35" t="s">
        <v>7</v>
      </c>
      <c r="B331" s="35" t="s">
        <v>47</v>
      </c>
      <c r="C331" s="49" t="s">
        <v>70</v>
      </c>
      <c r="D331" s="36">
        <v>246.4</v>
      </c>
      <c r="E331" s="12">
        <v>21</v>
      </c>
      <c r="F331" s="21">
        <f t="shared" si="15"/>
        <v>3.4090909090909092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6">
        <v>880</v>
      </c>
      <c r="M331" s="35">
        <v>1</v>
      </c>
      <c r="N331" s="21">
        <v>8.8888888888888893</v>
      </c>
      <c r="O331" s="12">
        <v>0</v>
      </c>
      <c r="P331" s="35">
        <v>0.04</v>
      </c>
      <c r="Q331" s="35" t="s">
        <v>1</v>
      </c>
      <c r="R331" s="35">
        <v>180</v>
      </c>
      <c r="S331" s="35">
        <v>35</v>
      </c>
      <c r="T331" s="21">
        <v>0.10404495392939098</v>
      </c>
      <c r="U331" s="21">
        <f t="shared" si="16"/>
        <v>3.0519853152621353E-2</v>
      </c>
      <c r="V331" s="35" t="s">
        <v>1</v>
      </c>
      <c r="W331" s="35" t="s">
        <v>1</v>
      </c>
      <c r="X331" s="35" t="s">
        <v>1</v>
      </c>
      <c r="Y331" s="23" t="s">
        <v>6</v>
      </c>
      <c r="Z331" s="21" t="s">
        <v>6</v>
      </c>
      <c r="AA331" s="35" t="s">
        <v>1</v>
      </c>
      <c r="AB331" s="35" t="s">
        <v>1</v>
      </c>
      <c r="AC331" s="27" t="s">
        <v>49</v>
      </c>
    </row>
    <row r="332" spans="1:29">
      <c r="A332" s="35" t="s">
        <v>7</v>
      </c>
      <c r="B332" s="35" t="s">
        <v>47</v>
      </c>
      <c r="C332" s="49" t="s">
        <v>70</v>
      </c>
      <c r="D332" s="36">
        <v>246.4</v>
      </c>
      <c r="E332" s="12">
        <v>30</v>
      </c>
      <c r="F332" s="21">
        <f t="shared" si="15"/>
        <v>4.8701298701298699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6">
        <v>880</v>
      </c>
      <c r="M332" s="35">
        <v>1</v>
      </c>
      <c r="N332" s="21">
        <v>8.8888888888888893</v>
      </c>
      <c r="O332" s="12">
        <v>0</v>
      </c>
      <c r="P332" s="35">
        <v>0.04</v>
      </c>
      <c r="Q332" s="35" t="s">
        <v>1</v>
      </c>
      <c r="R332" s="35">
        <v>180</v>
      </c>
      <c r="S332" s="35">
        <v>35</v>
      </c>
      <c r="T332" s="21">
        <v>0.2763245856269444</v>
      </c>
      <c r="U332" s="21">
        <f t="shared" si="16"/>
        <v>5.6738648248732586E-2</v>
      </c>
      <c r="V332" s="35" t="s">
        <v>1</v>
      </c>
      <c r="W332" s="35" t="s">
        <v>1</v>
      </c>
      <c r="X332" s="35" t="s">
        <v>1</v>
      </c>
      <c r="Y332" s="23" t="s">
        <v>6</v>
      </c>
      <c r="Z332" s="21" t="s">
        <v>6</v>
      </c>
      <c r="AA332" s="35" t="s">
        <v>1</v>
      </c>
      <c r="AB332" s="35" t="s">
        <v>1</v>
      </c>
      <c r="AC332" s="27" t="s">
        <v>49</v>
      </c>
    </row>
    <row r="333" spans="1:29">
      <c r="A333" s="35" t="s">
        <v>7</v>
      </c>
      <c r="B333" s="35" t="s">
        <v>47</v>
      </c>
      <c r="C333" s="49" t="s">
        <v>70</v>
      </c>
      <c r="D333" s="36">
        <v>246.4</v>
      </c>
      <c r="E333" s="12">
        <v>31</v>
      </c>
      <c r="F333" s="21">
        <f t="shared" si="15"/>
        <v>5.0324675324675328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6">
        <v>880</v>
      </c>
      <c r="M333" s="35">
        <v>1</v>
      </c>
      <c r="N333" s="21">
        <v>8.8888888888888893</v>
      </c>
      <c r="O333" s="12">
        <v>0</v>
      </c>
      <c r="P333" s="35">
        <v>0.04</v>
      </c>
      <c r="Q333" s="35" t="s">
        <v>1</v>
      </c>
      <c r="R333" s="35">
        <v>180</v>
      </c>
      <c r="S333" s="35">
        <v>35</v>
      </c>
      <c r="T333" s="21">
        <v>0.31019989625151073</v>
      </c>
      <c r="U333" s="21">
        <f t="shared" si="16"/>
        <v>6.1639721319655033E-2</v>
      </c>
      <c r="V333" s="35" t="s">
        <v>1</v>
      </c>
      <c r="W333" s="35" t="s">
        <v>1</v>
      </c>
      <c r="X333" s="35" t="s">
        <v>1</v>
      </c>
      <c r="Y333" s="23" t="s">
        <v>6</v>
      </c>
      <c r="Z333" s="21" t="s">
        <v>6</v>
      </c>
      <c r="AA333" s="35" t="s">
        <v>1</v>
      </c>
      <c r="AB333" s="35" t="s">
        <v>1</v>
      </c>
      <c r="AC333" s="1" t="s">
        <v>49</v>
      </c>
    </row>
    <row r="334" spans="1:29">
      <c r="A334" s="35" t="s">
        <v>7</v>
      </c>
      <c r="B334" s="35" t="s">
        <v>47</v>
      </c>
      <c r="C334" s="49" t="s">
        <v>70</v>
      </c>
      <c r="D334" s="36">
        <v>246.4</v>
      </c>
      <c r="E334" s="12">
        <v>35</v>
      </c>
      <c r="F334" s="21">
        <f t="shared" si="15"/>
        <v>5.6818181818181817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6">
        <v>880</v>
      </c>
      <c r="M334" s="35">
        <v>1</v>
      </c>
      <c r="N334" s="21">
        <v>8.8888888888888893</v>
      </c>
      <c r="O334" s="12">
        <v>0</v>
      </c>
      <c r="P334" s="35">
        <v>0.04</v>
      </c>
      <c r="Q334" s="35" t="s">
        <v>1</v>
      </c>
      <c r="R334" s="35">
        <v>180</v>
      </c>
      <c r="S334" s="35">
        <v>35</v>
      </c>
      <c r="T334" s="21">
        <v>0.39203552284505117</v>
      </c>
      <c r="U334" s="21">
        <f t="shared" si="16"/>
        <v>6.8998252020729012E-2</v>
      </c>
      <c r="V334" s="35" t="s">
        <v>1</v>
      </c>
      <c r="W334" s="35" t="s">
        <v>1</v>
      </c>
      <c r="X334" s="35" t="s">
        <v>1</v>
      </c>
      <c r="Y334" s="23" t="s">
        <v>6</v>
      </c>
      <c r="Z334" s="21" t="s">
        <v>6</v>
      </c>
      <c r="AA334" s="35" t="s">
        <v>1</v>
      </c>
      <c r="AB334" s="35" t="s">
        <v>1</v>
      </c>
      <c r="AC334" s="27" t="s">
        <v>49</v>
      </c>
    </row>
    <row r="335" spans="1:29">
      <c r="A335" s="35" t="s">
        <v>7</v>
      </c>
      <c r="B335" s="35" t="s">
        <v>47</v>
      </c>
      <c r="C335" s="49" t="s">
        <v>70</v>
      </c>
      <c r="D335" s="36">
        <v>246.4</v>
      </c>
      <c r="E335" s="12">
        <v>45</v>
      </c>
      <c r="F335" s="21">
        <f t="shared" si="15"/>
        <v>7.3051948051948052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6">
        <v>880</v>
      </c>
      <c r="M335" s="35">
        <v>1</v>
      </c>
      <c r="N335" s="21">
        <v>8.8888888888888893</v>
      </c>
      <c r="O335" s="12">
        <v>0</v>
      </c>
      <c r="P335" s="35">
        <v>0.04</v>
      </c>
      <c r="Q335" s="35" t="s">
        <v>1</v>
      </c>
      <c r="R335" s="35">
        <v>180</v>
      </c>
      <c r="S335" s="35">
        <v>35</v>
      </c>
      <c r="T335" s="21">
        <v>0.90757782190967107</v>
      </c>
      <c r="U335" s="21">
        <f t="shared" si="16"/>
        <v>0.12423731962141275</v>
      </c>
      <c r="V335" s="35" t="s">
        <v>1</v>
      </c>
      <c r="W335" s="35" t="s">
        <v>1</v>
      </c>
      <c r="X335" s="35" t="s">
        <v>1</v>
      </c>
      <c r="Y335" s="23" t="s">
        <v>6</v>
      </c>
      <c r="Z335" s="21" t="s">
        <v>6</v>
      </c>
      <c r="AA335" s="35" t="s">
        <v>1</v>
      </c>
      <c r="AB335" s="35" t="s">
        <v>1</v>
      </c>
      <c r="AC335" s="27" t="s">
        <v>49</v>
      </c>
    </row>
    <row r="336" spans="1:29">
      <c r="A336" s="35" t="s">
        <v>8</v>
      </c>
      <c r="B336" s="35" t="s">
        <v>48</v>
      </c>
      <c r="C336" s="49" t="s">
        <v>69</v>
      </c>
      <c r="D336" s="36">
        <v>302.5</v>
      </c>
      <c r="E336" s="12">
        <v>12</v>
      </c>
      <c r="F336" s="21">
        <f t="shared" si="15"/>
        <v>1.5867768595041323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6">
        <v>880</v>
      </c>
      <c r="M336" s="35">
        <v>1</v>
      </c>
      <c r="N336" s="21">
        <v>8.8888888888888893</v>
      </c>
      <c r="O336" s="12">
        <v>0</v>
      </c>
      <c r="P336" s="35">
        <v>0.04</v>
      </c>
      <c r="Q336" s="35" t="s">
        <v>1</v>
      </c>
      <c r="R336" s="35">
        <v>180</v>
      </c>
      <c r="S336" s="35">
        <v>35</v>
      </c>
      <c r="T336" s="21">
        <v>3.2113502907909985E-2</v>
      </c>
      <c r="U336" s="21">
        <f t="shared" si="16"/>
        <v>2.0238197145089103E-2</v>
      </c>
      <c r="V336" s="35" t="s">
        <v>1</v>
      </c>
      <c r="W336" s="35" t="s">
        <v>1</v>
      </c>
      <c r="X336" s="35" t="s">
        <v>1</v>
      </c>
      <c r="Y336" s="23" t="s">
        <v>6</v>
      </c>
      <c r="Z336" s="21" t="s">
        <v>6</v>
      </c>
      <c r="AA336" s="35" t="s">
        <v>1</v>
      </c>
      <c r="AB336" s="35" t="s">
        <v>1</v>
      </c>
      <c r="AC336" s="27" t="s">
        <v>49</v>
      </c>
    </row>
    <row r="337" spans="1:29">
      <c r="A337" s="35" t="s">
        <v>8</v>
      </c>
      <c r="B337" s="35" t="s">
        <v>48</v>
      </c>
      <c r="C337" s="49" t="s">
        <v>69</v>
      </c>
      <c r="D337" s="36">
        <v>302.5</v>
      </c>
      <c r="E337" s="12">
        <v>21</v>
      </c>
      <c r="F337" s="21">
        <f t="shared" si="15"/>
        <v>2.7768595041322315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6">
        <v>880</v>
      </c>
      <c r="M337" s="35">
        <v>1</v>
      </c>
      <c r="N337" s="21">
        <v>8.8888888888888893</v>
      </c>
      <c r="O337" s="12">
        <v>0</v>
      </c>
      <c r="P337" s="35">
        <v>0.04</v>
      </c>
      <c r="Q337" s="35" t="s">
        <v>1</v>
      </c>
      <c r="R337" s="35">
        <v>180</v>
      </c>
      <c r="S337" s="35">
        <v>35</v>
      </c>
      <c r="T337" s="21">
        <v>0.13473194792706863</v>
      </c>
      <c r="U337" s="21">
        <f t="shared" si="16"/>
        <v>4.851954077135507E-2</v>
      </c>
      <c r="V337" s="35" t="s">
        <v>1</v>
      </c>
      <c r="W337" s="35" t="s">
        <v>1</v>
      </c>
      <c r="X337" s="35" t="s">
        <v>1</v>
      </c>
      <c r="Y337" s="23" t="s">
        <v>6</v>
      </c>
      <c r="Z337" s="21" t="s">
        <v>6</v>
      </c>
      <c r="AA337" s="35" t="s">
        <v>1</v>
      </c>
      <c r="AB337" s="35" t="s">
        <v>1</v>
      </c>
      <c r="AC337" s="27" t="s">
        <v>49</v>
      </c>
    </row>
    <row r="338" spans="1:29">
      <c r="A338" s="35" t="s">
        <v>8</v>
      </c>
      <c r="B338" s="35" t="s">
        <v>48</v>
      </c>
      <c r="C338" s="49" t="s">
        <v>69</v>
      </c>
      <c r="D338" s="36">
        <v>302.5</v>
      </c>
      <c r="E338" s="12">
        <v>28.000000000000004</v>
      </c>
      <c r="F338" s="21">
        <f t="shared" si="15"/>
        <v>3.7024793388429758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6">
        <v>880</v>
      </c>
      <c r="M338" s="35">
        <v>1</v>
      </c>
      <c r="N338" s="21">
        <v>8.8888888888888893</v>
      </c>
      <c r="O338" s="12">
        <v>0</v>
      </c>
      <c r="P338" s="35">
        <v>0.04</v>
      </c>
      <c r="Q338" s="35" t="s">
        <v>1</v>
      </c>
      <c r="R338" s="35">
        <v>180</v>
      </c>
      <c r="S338" s="35">
        <v>35</v>
      </c>
      <c r="T338" s="21">
        <v>0.30466764167127769</v>
      </c>
      <c r="U338" s="21">
        <f t="shared" si="16"/>
        <v>8.2287465719251329E-2</v>
      </c>
      <c r="V338" s="35" t="s">
        <v>1</v>
      </c>
      <c r="W338" s="35" t="s">
        <v>1</v>
      </c>
      <c r="X338" s="35" t="s">
        <v>1</v>
      </c>
      <c r="Y338" s="23" t="s">
        <v>6</v>
      </c>
      <c r="Z338" s="21" t="s">
        <v>6</v>
      </c>
      <c r="AA338" s="35" t="s">
        <v>1</v>
      </c>
      <c r="AB338" s="35" t="s">
        <v>1</v>
      </c>
      <c r="AC338" s="27" t="s">
        <v>49</v>
      </c>
    </row>
    <row r="339" spans="1:29">
      <c r="A339" s="35" t="s">
        <v>7</v>
      </c>
      <c r="B339" s="35" t="s">
        <v>48</v>
      </c>
      <c r="C339" s="49" t="s">
        <v>69</v>
      </c>
      <c r="D339" s="36">
        <v>302.5</v>
      </c>
      <c r="E339" s="12">
        <v>34</v>
      </c>
      <c r="F339" s="21">
        <f t="shared" si="15"/>
        <v>4.4958677685950414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6">
        <v>880</v>
      </c>
      <c r="M339" s="35">
        <v>1</v>
      </c>
      <c r="N339" s="21">
        <v>8.8888888888888893</v>
      </c>
      <c r="O339" s="12">
        <v>0</v>
      </c>
      <c r="P339" s="35">
        <v>0.04</v>
      </c>
      <c r="Q339" s="35" t="s">
        <v>1</v>
      </c>
      <c r="R339" s="35">
        <v>180</v>
      </c>
      <c r="S339" s="35">
        <v>35</v>
      </c>
      <c r="T339" s="21">
        <v>0.47683498226575588</v>
      </c>
      <c r="U339" s="21">
        <f t="shared" si="16"/>
        <v>0.10606072215837585</v>
      </c>
      <c r="V339" s="35" t="s">
        <v>1</v>
      </c>
      <c r="W339" s="35" t="s">
        <v>1</v>
      </c>
      <c r="X339" s="35" t="s">
        <v>1</v>
      </c>
      <c r="Y339" s="23" t="s">
        <v>6</v>
      </c>
      <c r="Z339" s="21" t="s">
        <v>6</v>
      </c>
      <c r="AA339" s="35" t="s">
        <v>1</v>
      </c>
      <c r="AB339" s="35" t="s">
        <v>1</v>
      </c>
      <c r="AC339" s="1" t="s">
        <v>49</v>
      </c>
    </row>
    <row r="340" spans="1:29">
      <c r="A340" s="35" t="s">
        <v>7</v>
      </c>
      <c r="B340" s="35" t="s">
        <v>48</v>
      </c>
      <c r="C340" s="49" t="s">
        <v>69</v>
      </c>
      <c r="D340" s="36">
        <v>302.5</v>
      </c>
      <c r="E340" s="12">
        <v>37</v>
      </c>
      <c r="F340" s="21">
        <f t="shared" si="15"/>
        <v>4.8925619834710741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6">
        <v>880</v>
      </c>
      <c r="M340" s="35">
        <v>1</v>
      </c>
      <c r="N340" s="21">
        <v>8.8888888888888893</v>
      </c>
      <c r="O340" s="12">
        <v>0</v>
      </c>
      <c r="P340" s="35">
        <v>0.04</v>
      </c>
      <c r="Q340" s="35" t="s">
        <v>1</v>
      </c>
      <c r="R340" s="35">
        <v>180</v>
      </c>
      <c r="S340" s="35">
        <v>35</v>
      </c>
      <c r="T340" s="21">
        <v>0.59712541477136605</v>
      </c>
      <c r="U340" s="21">
        <f t="shared" si="16"/>
        <v>0.12204759322185016</v>
      </c>
      <c r="V340" s="35" t="s">
        <v>1</v>
      </c>
      <c r="W340" s="35" t="s">
        <v>1</v>
      </c>
      <c r="X340" s="35" t="s">
        <v>1</v>
      </c>
      <c r="Y340" s="23" t="s">
        <v>6</v>
      </c>
      <c r="Z340" s="21" t="s">
        <v>6</v>
      </c>
      <c r="AA340" s="35" t="s">
        <v>1</v>
      </c>
      <c r="AB340" s="35" t="s">
        <v>1</v>
      </c>
      <c r="AC340" s="27" t="s">
        <v>49</v>
      </c>
    </row>
    <row r="341" spans="1:29">
      <c r="A341" s="35" t="s">
        <v>7</v>
      </c>
      <c r="B341" s="35" t="s">
        <v>48</v>
      </c>
      <c r="C341" s="49" t="s">
        <v>69</v>
      </c>
      <c r="D341" s="36">
        <v>302.5</v>
      </c>
      <c r="E341" s="12">
        <v>46</v>
      </c>
      <c r="F341" s="21">
        <f t="shared" si="15"/>
        <v>6.0826446280991737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6">
        <v>880</v>
      </c>
      <c r="M341" s="35">
        <v>1</v>
      </c>
      <c r="N341" s="21">
        <v>8.8888888888888893</v>
      </c>
      <c r="O341" s="12">
        <v>0</v>
      </c>
      <c r="P341" s="35">
        <v>0.04</v>
      </c>
      <c r="Q341" s="35" t="s">
        <v>1</v>
      </c>
      <c r="R341" s="35">
        <v>180</v>
      </c>
      <c r="S341" s="35">
        <v>35</v>
      </c>
      <c r="T341" s="21">
        <v>1.3362567414258708</v>
      </c>
      <c r="U341" s="21">
        <f t="shared" si="16"/>
        <v>0.21968351319637278</v>
      </c>
      <c r="V341" s="35" t="s">
        <v>1</v>
      </c>
      <c r="W341" s="35" t="s">
        <v>1</v>
      </c>
      <c r="X341" s="35" t="s">
        <v>1</v>
      </c>
      <c r="Y341" s="23" t="s">
        <v>6</v>
      </c>
      <c r="Z341" s="21" t="s">
        <v>6</v>
      </c>
      <c r="AA341" s="35" t="s">
        <v>1</v>
      </c>
      <c r="AB341" s="35" t="s">
        <v>1</v>
      </c>
      <c r="AC341" s="27" t="s">
        <v>49</v>
      </c>
    </row>
    <row r="342" spans="1:29">
      <c r="A342" s="35" t="s">
        <v>31</v>
      </c>
      <c r="B342" s="35" t="s">
        <v>3</v>
      </c>
      <c r="C342" s="39" t="s">
        <v>65</v>
      </c>
      <c r="D342" s="36">
        <v>189</v>
      </c>
      <c r="E342" s="12">
        <v>37.367303609341818</v>
      </c>
      <c r="F342" s="21">
        <f>F343*E342/E343</f>
        <v>11.13686206036418</v>
      </c>
      <c r="G342" s="35" t="s">
        <v>79</v>
      </c>
      <c r="H342" s="35">
        <v>0</v>
      </c>
      <c r="I342" s="21">
        <v>1.1475461844449324</v>
      </c>
      <c r="J342" s="35">
        <v>0</v>
      </c>
      <c r="K342" s="35">
        <v>0</v>
      </c>
      <c r="L342" s="36">
        <v>981</v>
      </c>
      <c r="M342" s="35">
        <v>1.9</v>
      </c>
      <c r="N342" s="21">
        <v>3.3</v>
      </c>
      <c r="O342" s="12">
        <v>0</v>
      </c>
      <c r="P342" s="35">
        <v>100</v>
      </c>
      <c r="Q342" s="35">
        <v>50</v>
      </c>
      <c r="R342" s="36">
        <v>30</v>
      </c>
      <c r="S342" s="35">
        <v>25</v>
      </c>
      <c r="T342" s="35">
        <v>1.93</v>
      </c>
      <c r="U342" s="24">
        <f t="shared" si="16"/>
        <v>0.17329836623089934</v>
      </c>
      <c r="V342" s="37">
        <v>0.55297405674707001</v>
      </c>
      <c r="W342" s="37">
        <v>5.5983109544930674</v>
      </c>
      <c r="X342" s="35" t="s">
        <v>1</v>
      </c>
      <c r="Y342" s="23" t="s">
        <v>6</v>
      </c>
      <c r="Z342" s="21" t="s">
        <v>6</v>
      </c>
      <c r="AA342" s="35" t="s">
        <v>1</v>
      </c>
      <c r="AB342" s="35" t="s">
        <v>1</v>
      </c>
      <c r="AC342" s="1" t="s">
        <v>125</v>
      </c>
    </row>
    <row r="343" spans="1:29">
      <c r="A343" s="35" t="s">
        <v>31</v>
      </c>
      <c r="B343" s="35" t="s">
        <v>3</v>
      </c>
      <c r="C343" s="39" t="s">
        <v>65</v>
      </c>
      <c r="D343" s="36">
        <v>189</v>
      </c>
      <c r="E343" s="12">
        <v>37.367303609341818</v>
      </c>
      <c r="F343" s="21">
        <f>F344*E343/E344</f>
        <v>11.13686206036418</v>
      </c>
      <c r="G343" s="35" t="s">
        <v>79</v>
      </c>
      <c r="H343" s="35">
        <v>0</v>
      </c>
      <c r="I343" s="21">
        <v>1.1475461844449324</v>
      </c>
      <c r="J343" s="35">
        <v>0</v>
      </c>
      <c r="K343" s="35">
        <v>0</v>
      </c>
      <c r="L343" s="36">
        <v>981</v>
      </c>
      <c r="M343" s="35">
        <v>1.9</v>
      </c>
      <c r="N343" s="21">
        <v>3.3</v>
      </c>
      <c r="O343" s="12">
        <v>0</v>
      </c>
      <c r="P343" s="35">
        <v>100</v>
      </c>
      <c r="Q343" s="35">
        <v>50</v>
      </c>
      <c r="R343" s="36">
        <v>30</v>
      </c>
      <c r="S343" s="35">
        <v>50</v>
      </c>
      <c r="T343" s="35">
        <v>1.73</v>
      </c>
      <c r="U343" s="21">
        <f t="shared" si="16"/>
        <v>0.15533998631059889</v>
      </c>
      <c r="V343" s="37">
        <v>0.52158273381294828</v>
      </c>
      <c r="W343" s="37">
        <v>1.69064748201435</v>
      </c>
      <c r="X343" s="35" t="s">
        <v>1</v>
      </c>
      <c r="Y343" s="23" t="s">
        <v>6</v>
      </c>
      <c r="Z343" s="21" t="s">
        <v>6</v>
      </c>
      <c r="AA343" s="35" t="s">
        <v>1</v>
      </c>
      <c r="AB343" s="35" t="s">
        <v>1</v>
      </c>
      <c r="AC343" s="1" t="s">
        <v>125</v>
      </c>
    </row>
    <row r="344" spans="1:29">
      <c r="A344" s="35" t="s">
        <v>31</v>
      </c>
      <c r="B344" s="35" t="s">
        <v>3</v>
      </c>
      <c r="C344" s="39" t="s">
        <v>65</v>
      </c>
      <c r="D344" s="36">
        <v>189</v>
      </c>
      <c r="E344" s="12">
        <v>37.367303609341818</v>
      </c>
      <c r="F344" s="21">
        <f t="shared" ref="F344:F349" si="17">F345*E344/E345</f>
        <v>11.13686206036418</v>
      </c>
      <c r="G344" s="35" t="s">
        <v>79</v>
      </c>
      <c r="H344" s="35">
        <v>0</v>
      </c>
      <c r="I344" s="21">
        <v>1.1475461844449324</v>
      </c>
      <c r="J344" s="35">
        <v>0</v>
      </c>
      <c r="K344" s="35">
        <v>0</v>
      </c>
      <c r="L344" s="36">
        <v>981</v>
      </c>
      <c r="M344" s="35">
        <v>1.9</v>
      </c>
      <c r="N344" s="21">
        <v>3.3</v>
      </c>
      <c r="O344" s="12">
        <v>0</v>
      </c>
      <c r="P344" s="35">
        <v>100</v>
      </c>
      <c r="Q344" s="35">
        <v>50</v>
      </c>
      <c r="R344" s="36">
        <v>30</v>
      </c>
      <c r="S344" s="35">
        <v>75</v>
      </c>
      <c r="T344" s="35">
        <v>1.51</v>
      </c>
      <c r="U344" s="21">
        <f t="shared" si="16"/>
        <v>0.13558576839826841</v>
      </c>
      <c r="V344" s="37">
        <v>0.45282802139926004</v>
      </c>
      <c r="W344" s="37">
        <v>1.0294789734415433</v>
      </c>
      <c r="X344" s="35" t="s">
        <v>1</v>
      </c>
      <c r="Y344" s="23" t="s">
        <v>6</v>
      </c>
      <c r="Z344" s="21" t="s">
        <v>6</v>
      </c>
      <c r="AA344" s="35" t="s">
        <v>1</v>
      </c>
      <c r="AB344" s="35" t="s">
        <v>1</v>
      </c>
      <c r="AC344" s="1" t="s">
        <v>78</v>
      </c>
    </row>
    <row r="345" spans="1:29">
      <c r="A345" s="35" t="s">
        <v>31</v>
      </c>
      <c r="B345" s="35" t="s">
        <v>3</v>
      </c>
      <c r="C345" s="39" t="s">
        <v>65</v>
      </c>
      <c r="D345" s="36">
        <v>189</v>
      </c>
      <c r="E345" s="12">
        <v>41.082802547770704</v>
      </c>
      <c r="F345" s="21">
        <f t="shared" si="17"/>
        <v>12.244220503866304</v>
      </c>
      <c r="G345" s="35" t="s">
        <v>81</v>
      </c>
      <c r="H345" s="35">
        <v>0</v>
      </c>
      <c r="I345" s="21">
        <v>0.84227814115563682</v>
      </c>
      <c r="J345" s="35">
        <v>0</v>
      </c>
      <c r="K345" s="35">
        <v>0</v>
      </c>
      <c r="L345" s="36">
        <v>981</v>
      </c>
      <c r="M345" s="35">
        <v>1.9</v>
      </c>
      <c r="N345" s="21">
        <v>3.3</v>
      </c>
      <c r="O345" s="12">
        <v>0</v>
      </c>
      <c r="P345" s="35">
        <v>100</v>
      </c>
      <c r="Q345" s="35">
        <v>50</v>
      </c>
      <c r="R345" s="36">
        <v>30</v>
      </c>
      <c r="S345" s="35">
        <v>25</v>
      </c>
      <c r="T345" s="35">
        <v>2.46</v>
      </c>
      <c r="U345" s="21">
        <f t="shared" si="16"/>
        <v>0.2009111155114543</v>
      </c>
      <c r="V345" s="37">
        <v>0.55297405674707001</v>
      </c>
      <c r="W345" s="37">
        <v>5.8926909289750835</v>
      </c>
      <c r="X345" s="35" t="s">
        <v>1</v>
      </c>
      <c r="Y345" s="23" t="s">
        <v>6</v>
      </c>
      <c r="Z345" s="21" t="s">
        <v>6</v>
      </c>
      <c r="AA345" s="35" t="s">
        <v>1</v>
      </c>
      <c r="AB345" s="35" t="s">
        <v>1</v>
      </c>
      <c r="AC345" s="1" t="s">
        <v>78</v>
      </c>
    </row>
    <row r="346" spans="1:29">
      <c r="A346" s="35" t="s">
        <v>31</v>
      </c>
      <c r="B346" s="35" t="s">
        <v>3</v>
      </c>
      <c r="C346" s="39" t="s">
        <v>65</v>
      </c>
      <c r="D346" s="36">
        <v>189</v>
      </c>
      <c r="E346" s="12">
        <v>41.082802547770704</v>
      </c>
      <c r="F346" s="21">
        <f>F347*E346/E347</f>
        <v>12.244220503866304</v>
      </c>
      <c r="G346" s="35" t="s">
        <v>81</v>
      </c>
      <c r="H346" s="35">
        <v>0</v>
      </c>
      <c r="I346" s="21">
        <v>0.84227814115563682</v>
      </c>
      <c r="J346" s="35">
        <v>0</v>
      </c>
      <c r="K346" s="35">
        <v>0</v>
      </c>
      <c r="L346" s="36">
        <v>981</v>
      </c>
      <c r="M346" s="35">
        <v>1.9</v>
      </c>
      <c r="N346" s="21">
        <v>3.3</v>
      </c>
      <c r="O346" s="12">
        <v>0</v>
      </c>
      <c r="P346" s="35">
        <v>100</v>
      </c>
      <c r="Q346" s="35">
        <v>50</v>
      </c>
      <c r="R346" s="36">
        <v>30</v>
      </c>
      <c r="S346" s="35">
        <v>50</v>
      </c>
      <c r="T346" s="35">
        <v>2.35</v>
      </c>
      <c r="U346" s="21">
        <f t="shared" si="16"/>
        <v>0.19192728514305593</v>
      </c>
      <c r="V346" s="37">
        <v>0.52158273381294828</v>
      </c>
      <c r="W346" s="37">
        <v>1.6726618705035832</v>
      </c>
      <c r="X346" s="35" t="s">
        <v>1</v>
      </c>
      <c r="Y346" s="23" t="s">
        <v>6</v>
      </c>
      <c r="Z346" s="21" t="s">
        <v>6</v>
      </c>
      <c r="AA346" s="35" t="s">
        <v>1</v>
      </c>
      <c r="AB346" s="35" t="s">
        <v>1</v>
      </c>
      <c r="AC346" s="1" t="s">
        <v>78</v>
      </c>
    </row>
    <row r="347" spans="1:29">
      <c r="A347" s="35" t="s">
        <v>31</v>
      </c>
      <c r="B347" s="35" t="s">
        <v>3</v>
      </c>
      <c r="C347" s="39" t="s">
        <v>65</v>
      </c>
      <c r="D347" s="36">
        <v>189</v>
      </c>
      <c r="E347" s="12">
        <v>41.082802547770704</v>
      </c>
      <c r="F347" s="21">
        <f t="shared" si="17"/>
        <v>12.244220503866304</v>
      </c>
      <c r="G347" s="35" t="s">
        <v>81</v>
      </c>
      <c r="H347" s="35">
        <v>0</v>
      </c>
      <c r="I347" s="21">
        <v>0.84227814115563682</v>
      </c>
      <c r="J347" s="35">
        <v>0</v>
      </c>
      <c r="K347" s="35">
        <v>0</v>
      </c>
      <c r="L347" s="36">
        <v>981</v>
      </c>
      <c r="M347" s="35">
        <v>1.9</v>
      </c>
      <c r="N347" s="21">
        <v>3.3</v>
      </c>
      <c r="O347" s="12">
        <v>0</v>
      </c>
      <c r="P347" s="35">
        <v>100</v>
      </c>
      <c r="Q347" s="35">
        <v>50</v>
      </c>
      <c r="R347" s="36">
        <v>30</v>
      </c>
      <c r="S347" s="35">
        <v>75</v>
      </c>
      <c r="T347" s="35">
        <v>2.17</v>
      </c>
      <c r="U347" s="21">
        <f t="shared" si="16"/>
        <v>0.17722647181294951</v>
      </c>
      <c r="V347" s="37">
        <v>0.50070508073602171</v>
      </c>
      <c r="W347" s="37">
        <v>0.61192942838358166</v>
      </c>
      <c r="X347" s="35" t="s">
        <v>1</v>
      </c>
      <c r="Y347" s="23" t="s">
        <v>6</v>
      </c>
      <c r="Z347" s="21" t="s">
        <v>6</v>
      </c>
      <c r="AA347" s="35" t="s">
        <v>1</v>
      </c>
      <c r="AB347" s="35" t="s">
        <v>1</v>
      </c>
      <c r="AC347" s="1" t="s">
        <v>78</v>
      </c>
    </row>
    <row r="348" spans="1:29">
      <c r="A348" s="35" t="s">
        <v>31</v>
      </c>
      <c r="B348" s="35" t="s">
        <v>3</v>
      </c>
      <c r="C348" s="39" t="s">
        <v>65</v>
      </c>
      <c r="D348" s="36">
        <v>189</v>
      </c>
      <c r="E348" s="12">
        <v>52.077646345162265</v>
      </c>
      <c r="F348" s="21">
        <f t="shared" si="17"/>
        <v>15.521097530556249</v>
      </c>
      <c r="G348" s="35" t="s">
        <v>81</v>
      </c>
      <c r="H348" s="35">
        <v>0</v>
      </c>
      <c r="I348" s="21">
        <v>0.41515343329245291</v>
      </c>
      <c r="J348" s="35">
        <v>0</v>
      </c>
      <c r="K348" s="35">
        <v>0</v>
      </c>
      <c r="L348" s="36">
        <v>981</v>
      </c>
      <c r="M348" s="35">
        <v>1.9</v>
      </c>
      <c r="N348" s="21">
        <v>3.3</v>
      </c>
      <c r="O348" s="12">
        <v>0</v>
      </c>
      <c r="P348" s="35">
        <v>100</v>
      </c>
      <c r="Q348" s="35">
        <v>50</v>
      </c>
      <c r="R348" s="36">
        <v>30</v>
      </c>
      <c r="S348" s="35">
        <v>25</v>
      </c>
      <c r="T348" s="35">
        <v>3.91</v>
      </c>
      <c r="U348" s="21">
        <f t="shared" si="16"/>
        <v>0.25191517496120475</v>
      </c>
      <c r="V348" s="37">
        <v>0.63006257974360835</v>
      </c>
      <c r="W348" s="37">
        <v>2.7997205176498667</v>
      </c>
      <c r="X348" s="35" t="s">
        <v>1</v>
      </c>
      <c r="Y348" s="23" t="s">
        <v>6</v>
      </c>
      <c r="Z348" s="21" t="s">
        <v>6</v>
      </c>
      <c r="AA348" s="35" t="s">
        <v>1</v>
      </c>
      <c r="AB348" s="35" t="s">
        <v>1</v>
      </c>
      <c r="AC348" s="1" t="s">
        <v>78</v>
      </c>
    </row>
    <row r="349" spans="1:29">
      <c r="A349" s="35" t="s">
        <v>31</v>
      </c>
      <c r="B349" s="35" t="s">
        <v>3</v>
      </c>
      <c r="C349" s="39" t="s">
        <v>65</v>
      </c>
      <c r="D349" s="36">
        <v>189</v>
      </c>
      <c r="E349" s="12">
        <v>52.077646345162265</v>
      </c>
      <c r="F349" s="21">
        <f t="shared" si="17"/>
        <v>15.521097530556249</v>
      </c>
      <c r="G349" s="35" t="s">
        <v>81</v>
      </c>
      <c r="H349" s="35">
        <v>0</v>
      </c>
      <c r="I349" s="21">
        <v>0.41515343329245291</v>
      </c>
      <c r="J349" s="35">
        <v>0</v>
      </c>
      <c r="K349" s="35">
        <v>0</v>
      </c>
      <c r="L349" s="36">
        <v>981</v>
      </c>
      <c r="M349" s="35">
        <v>1.9</v>
      </c>
      <c r="N349" s="21">
        <v>3.3</v>
      </c>
      <c r="O349" s="12">
        <v>0</v>
      </c>
      <c r="P349" s="35">
        <v>100</v>
      </c>
      <c r="Q349" s="35">
        <v>50</v>
      </c>
      <c r="R349" s="36">
        <v>30</v>
      </c>
      <c r="S349" s="35">
        <v>50</v>
      </c>
      <c r="T349" s="35">
        <v>3.85</v>
      </c>
      <c r="U349" s="21">
        <f t="shared" si="16"/>
        <v>0.24804946895156987</v>
      </c>
      <c r="V349" s="37">
        <v>0.6294964028776967</v>
      </c>
      <c r="W349" s="37">
        <v>1.4568345323740735</v>
      </c>
      <c r="X349" s="35" t="s">
        <v>1</v>
      </c>
      <c r="Y349" s="23" t="s">
        <v>6</v>
      </c>
      <c r="Z349" s="21" t="s">
        <v>6</v>
      </c>
      <c r="AA349" s="35" t="s">
        <v>1</v>
      </c>
      <c r="AB349" s="35" t="s">
        <v>1</v>
      </c>
      <c r="AC349" s="1" t="s">
        <v>78</v>
      </c>
    </row>
    <row r="350" spans="1:29" ht="14.55" customHeight="1">
      <c r="A350" s="35" t="s">
        <v>31</v>
      </c>
      <c r="B350" s="35" t="s">
        <v>3</v>
      </c>
      <c r="C350" s="39" t="s">
        <v>65</v>
      </c>
      <c r="D350" s="36">
        <v>189</v>
      </c>
      <c r="E350" s="12">
        <v>52.077646345162265</v>
      </c>
      <c r="F350" s="21">
        <f>F351*E350/E351</f>
        <v>15.521097530556249</v>
      </c>
      <c r="G350" s="35" t="s">
        <v>81</v>
      </c>
      <c r="H350" s="35">
        <v>0</v>
      </c>
      <c r="I350" s="21">
        <v>0.41515343329245291</v>
      </c>
      <c r="J350" s="35">
        <v>0</v>
      </c>
      <c r="K350" s="35">
        <v>0</v>
      </c>
      <c r="L350" s="36">
        <v>981</v>
      </c>
      <c r="M350" s="35">
        <v>1.9</v>
      </c>
      <c r="N350" s="21">
        <v>3.3</v>
      </c>
      <c r="O350" s="12">
        <v>0</v>
      </c>
      <c r="P350" s="35">
        <v>100</v>
      </c>
      <c r="Q350" s="35">
        <v>50</v>
      </c>
      <c r="R350" s="36">
        <v>30</v>
      </c>
      <c r="S350" s="35">
        <v>75</v>
      </c>
      <c r="T350" s="35">
        <v>4.0199999999999996</v>
      </c>
      <c r="U350" s="21">
        <f t="shared" si="16"/>
        <v>0.25900230264553525</v>
      </c>
      <c r="V350" s="37">
        <v>0.6281817226454367</v>
      </c>
      <c r="W350" s="37">
        <v>0.83472027724214326</v>
      </c>
      <c r="X350" s="35" t="s">
        <v>1</v>
      </c>
      <c r="Y350" s="23" t="s">
        <v>6</v>
      </c>
      <c r="Z350" s="21" t="s">
        <v>6</v>
      </c>
      <c r="AA350" s="35" t="s">
        <v>1</v>
      </c>
      <c r="AB350" s="35" t="s">
        <v>1</v>
      </c>
      <c r="AC350" s="1" t="s">
        <v>78</v>
      </c>
    </row>
    <row r="351" spans="1:29">
      <c r="A351" s="35" t="s">
        <v>31</v>
      </c>
      <c r="B351" s="35" t="s">
        <v>3</v>
      </c>
      <c r="C351" s="39" t="s">
        <v>65</v>
      </c>
      <c r="D351" s="36">
        <v>189</v>
      </c>
      <c r="E351" s="12">
        <v>60.797694874127991</v>
      </c>
      <c r="F351" s="21">
        <f>T351/U351</f>
        <v>18.12</v>
      </c>
      <c r="G351" s="35" t="s">
        <v>81</v>
      </c>
      <c r="H351" s="35">
        <v>0</v>
      </c>
      <c r="I351" s="21">
        <v>0.25875144666931665</v>
      </c>
      <c r="J351" s="35">
        <v>0</v>
      </c>
      <c r="K351" s="35">
        <v>0</v>
      </c>
      <c r="L351" s="36">
        <v>981</v>
      </c>
      <c r="M351" s="35">
        <v>1.9</v>
      </c>
      <c r="N351" s="21">
        <v>3.3</v>
      </c>
      <c r="O351" s="12">
        <v>0</v>
      </c>
      <c r="P351" s="35">
        <v>100</v>
      </c>
      <c r="Q351" s="35">
        <v>50</v>
      </c>
      <c r="R351" s="36">
        <v>30</v>
      </c>
      <c r="S351" s="35">
        <v>25</v>
      </c>
      <c r="T351" s="35">
        <v>4.53</v>
      </c>
      <c r="U351" s="21">
        <v>0.25</v>
      </c>
      <c r="V351" s="37">
        <v>0.67781760738805508</v>
      </c>
      <c r="W351" s="37">
        <v>1.1133969256941352</v>
      </c>
      <c r="X351" s="35" t="s">
        <v>1</v>
      </c>
      <c r="Y351" s="23" t="s">
        <v>6</v>
      </c>
      <c r="Z351" s="21" t="s">
        <v>6</v>
      </c>
      <c r="AA351" s="35" t="s">
        <v>1</v>
      </c>
      <c r="AB351" s="35" t="s">
        <v>1</v>
      </c>
      <c r="AC351" s="1" t="s">
        <v>78</v>
      </c>
    </row>
    <row r="352" spans="1:29" ht="15" customHeight="1">
      <c r="A352" s="35" t="s">
        <v>31</v>
      </c>
      <c r="B352" s="35" t="s">
        <v>3</v>
      </c>
      <c r="C352" s="39" t="s">
        <v>65</v>
      </c>
      <c r="D352" s="36">
        <v>189</v>
      </c>
      <c r="E352" s="12">
        <v>60.797694874127991</v>
      </c>
      <c r="F352" s="21">
        <v>18.2</v>
      </c>
      <c r="G352" s="35" t="s">
        <v>81</v>
      </c>
      <c r="H352" s="35">
        <v>0</v>
      </c>
      <c r="I352" s="21">
        <v>0.25875144666931665</v>
      </c>
      <c r="J352" s="35">
        <v>0</v>
      </c>
      <c r="K352" s="35">
        <v>0</v>
      </c>
      <c r="L352" s="36">
        <v>981</v>
      </c>
      <c r="M352" s="35">
        <v>1.9</v>
      </c>
      <c r="N352" s="21">
        <v>3.3</v>
      </c>
      <c r="O352" s="12">
        <v>0</v>
      </c>
      <c r="P352" s="35">
        <v>100</v>
      </c>
      <c r="Q352" s="35">
        <v>50</v>
      </c>
      <c r="R352" s="36">
        <v>30</v>
      </c>
      <c r="S352" s="35">
        <v>50</v>
      </c>
      <c r="T352" s="35">
        <v>4.72</v>
      </c>
      <c r="U352" s="21">
        <f t="shared" ref="U352:U364" si="18">T352/F352</f>
        <v>0.25934065934065936</v>
      </c>
      <c r="V352" s="37">
        <v>0.64748201438849007</v>
      </c>
      <c r="W352" s="37">
        <v>2.4460431654676498</v>
      </c>
      <c r="X352" s="35" t="s">
        <v>1</v>
      </c>
      <c r="Y352" s="23" t="s">
        <v>6</v>
      </c>
      <c r="Z352" s="21" t="s">
        <v>6</v>
      </c>
      <c r="AA352" s="35" t="s">
        <v>1</v>
      </c>
      <c r="AB352" s="35" t="s">
        <v>1</v>
      </c>
      <c r="AC352" s="1" t="s">
        <v>78</v>
      </c>
    </row>
    <row r="353" spans="1:29">
      <c r="A353" s="35" t="s">
        <v>31</v>
      </c>
      <c r="B353" s="35" t="s">
        <v>3</v>
      </c>
      <c r="C353" s="39" t="s">
        <v>65</v>
      </c>
      <c r="D353" s="36">
        <v>189</v>
      </c>
      <c r="E353" s="12">
        <v>60.797694874127991</v>
      </c>
      <c r="F353" s="21">
        <v>18.2</v>
      </c>
      <c r="G353" s="35" t="s">
        <v>81</v>
      </c>
      <c r="H353" s="35">
        <v>0</v>
      </c>
      <c r="I353" s="21">
        <v>0.25875144666931665</v>
      </c>
      <c r="J353" s="35">
        <v>0</v>
      </c>
      <c r="K353" s="35">
        <v>0</v>
      </c>
      <c r="L353" s="36">
        <v>981</v>
      </c>
      <c r="M353" s="35">
        <v>1.9</v>
      </c>
      <c r="N353" s="21">
        <v>3.3</v>
      </c>
      <c r="O353" s="12">
        <v>0</v>
      </c>
      <c r="P353" s="35">
        <v>100</v>
      </c>
      <c r="Q353" s="35">
        <v>50</v>
      </c>
      <c r="R353" s="36">
        <v>30</v>
      </c>
      <c r="S353" s="35">
        <v>75</v>
      </c>
      <c r="T353" s="35">
        <v>5.35</v>
      </c>
      <c r="U353" s="21">
        <f t="shared" si="18"/>
        <v>0.29395604395604397</v>
      </c>
      <c r="V353" s="37">
        <v>0.60792134378368168</v>
      </c>
      <c r="W353" s="37">
        <v>1.67319202391165</v>
      </c>
      <c r="X353" s="35" t="s">
        <v>1</v>
      </c>
      <c r="Y353" s="23" t="s">
        <v>6</v>
      </c>
      <c r="Z353" s="21" t="s">
        <v>6</v>
      </c>
      <c r="AA353" s="35" t="s">
        <v>1</v>
      </c>
      <c r="AB353" s="35" t="s">
        <v>1</v>
      </c>
      <c r="AC353" s="1" t="s">
        <v>78</v>
      </c>
    </row>
    <row r="354" spans="1:29">
      <c r="A354" s="35" t="s">
        <v>31</v>
      </c>
      <c r="B354" s="35" t="s">
        <v>3</v>
      </c>
      <c r="C354" s="39" t="s">
        <v>65</v>
      </c>
      <c r="D354" s="36">
        <v>189</v>
      </c>
      <c r="E354" s="12">
        <v>66.333030027297539</v>
      </c>
      <c r="F354" s="21">
        <f>F353*E354/E353</f>
        <v>19.857021701172361</v>
      </c>
      <c r="G354" s="35" t="s">
        <v>81</v>
      </c>
      <c r="H354" s="35">
        <v>0</v>
      </c>
      <c r="I354" s="21">
        <v>0.19304010840463204</v>
      </c>
      <c r="J354" s="35">
        <v>0</v>
      </c>
      <c r="K354" s="35">
        <v>0</v>
      </c>
      <c r="L354" s="36">
        <v>981</v>
      </c>
      <c r="M354" s="35">
        <v>1.9</v>
      </c>
      <c r="N354" s="21">
        <v>3.3</v>
      </c>
      <c r="O354" s="12">
        <v>0</v>
      </c>
      <c r="P354" s="35">
        <v>100</v>
      </c>
      <c r="Q354" s="35">
        <v>50</v>
      </c>
      <c r="R354" s="36">
        <v>30</v>
      </c>
      <c r="S354" s="35">
        <v>25</v>
      </c>
      <c r="T354" s="21">
        <v>4.4000000000000004</v>
      </c>
      <c r="U354" s="21">
        <f t="shared" si="18"/>
        <v>0.22158408578161667</v>
      </c>
      <c r="V354" s="37">
        <v>0.66175344796160329</v>
      </c>
      <c r="W354" s="37">
        <v>2.0052129533993499</v>
      </c>
      <c r="X354" s="35">
        <v>100</v>
      </c>
      <c r="Y354" s="23">
        <v>1.9169329073482395</v>
      </c>
      <c r="Z354" s="21">
        <v>1.0999999999999999</v>
      </c>
      <c r="AA354" s="41">
        <v>6</v>
      </c>
      <c r="AB354" s="35" t="s">
        <v>1</v>
      </c>
      <c r="AC354" s="1" t="s">
        <v>78</v>
      </c>
    </row>
    <row r="355" spans="1:29">
      <c r="A355" s="35" t="s">
        <v>31</v>
      </c>
      <c r="B355" s="35" t="s">
        <v>3</v>
      </c>
      <c r="C355" s="39" t="s">
        <v>65</v>
      </c>
      <c r="D355" s="36">
        <v>189</v>
      </c>
      <c r="E355" s="12">
        <v>66.333030027297539</v>
      </c>
      <c r="F355" s="21">
        <f t="shared" ref="F355:F364" si="19">F354*E355/E354</f>
        <v>19.857021701172361</v>
      </c>
      <c r="G355" s="35" t="s">
        <v>81</v>
      </c>
      <c r="H355" s="35">
        <v>0</v>
      </c>
      <c r="I355" s="21">
        <v>0.19304010840463204</v>
      </c>
      <c r="J355" s="35">
        <v>0</v>
      </c>
      <c r="K355" s="35">
        <v>0</v>
      </c>
      <c r="L355" s="36">
        <v>981</v>
      </c>
      <c r="M355" s="35">
        <v>1.9</v>
      </c>
      <c r="N355" s="21">
        <v>3.3</v>
      </c>
      <c r="O355" s="12">
        <v>0</v>
      </c>
      <c r="P355" s="35">
        <v>100</v>
      </c>
      <c r="Q355" s="35">
        <v>50</v>
      </c>
      <c r="R355" s="36">
        <v>30</v>
      </c>
      <c r="S355" s="35">
        <v>50</v>
      </c>
      <c r="T355" s="35">
        <v>4.59</v>
      </c>
      <c r="U355" s="21">
        <f t="shared" si="18"/>
        <v>0.23115248948582284</v>
      </c>
      <c r="V355" s="37">
        <v>0.62949640287769837</v>
      </c>
      <c r="W355" s="37">
        <v>1.7086330935252001</v>
      </c>
      <c r="X355" s="35" t="s">
        <v>1</v>
      </c>
      <c r="Y355" s="23" t="s">
        <v>6</v>
      </c>
      <c r="Z355" s="21" t="s">
        <v>6</v>
      </c>
      <c r="AA355" s="35" t="s">
        <v>1</v>
      </c>
      <c r="AB355" s="35" t="s">
        <v>1</v>
      </c>
      <c r="AC355" s="1" t="s">
        <v>78</v>
      </c>
    </row>
    <row r="356" spans="1:29">
      <c r="A356" s="35" t="s">
        <v>31</v>
      </c>
      <c r="B356" s="35" t="s">
        <v>3</v>
      </c>
      <c r="C356" s="39" t="s">
        <v>65</v>
      </c>
      <c r="D356" s="36">
        <v>189</v>
      </c>
      <c r="E356" s="12">
        <v>66.333030027297539</v>
      </c>
      <c r="F356" s="21">
        <f t="shared" si="19"/>
        <v>19.857021701172361</v>
      </c>
      <c r="G356" s="35" t="s">
        <v>81</v>
      </c>
      <c r="H356" s="35">
        <v>0</v>
      </c>
      <c r="I356" s="21">
        <v>0.19304010840463204</v>
      </c>
      <c r="J356" s="35">
        <v>0</v>
      </c>
      <c r="K356" s="35">
        <v>0</v>
      </c>
      <c r="L356" s="36">
        <v>981</v>
      </c>
      <c r="M356" s="35">
        <v>1.9</v>
      </c>
      <c r="N356" s="21">
        <v>3.3</v>
      </c>
      <c r="O356" s="12">
        <v>0</v>
      </c>
      <c r="P356" s="35">
        <v>100</v>
      </c>
      <c r="Q356" s="35">
        <v>50</v>
      </c>
      <c r="R356" s="36">
        <v>30</v>
      </c>
      <c r="S356" s="35">
        <v>75</v>
      </c>
      <c r="T356" s="35">
        <v>5.51</v>
      </c>
      <c r="U356" s="21">
        <f t="shared" si="18"/>
        <v>0.27748370742197903</v>
      </c>
      <c r="V356" s="37">
        <v>0.60748143205930005</v>
      </c>
      <c r="W356" s="37">
        <v>1.4901398674888167</v>
      </c>
      <c r="X356" s="35" t="s">
        <v>1</v>
      </c>
      <c r="Y356" s="23" t="s">
        <v>6</v>
      </c>
      <c r="Z356" s="21" t="s">
        <v>6</v>
      </c>
      <c r="AA356" s="35" t="s">
        <v>1</v>
      </c>
      <c r="AB356" s="35" t="s">
        <v>1</v>
      </c>
      <c r="AC356" s="1" t="s">
        <v>78</v>
      </c>
    </row>
    <row r="357" spans="1:29">
      <c r="A357" s="35" t="s">
        <v>31</v>
      </c>
      <c r="B357" s="35" t="s">
        <v>3</v>
      </c>
      <c r="C357" s="39" t="s">
        <v>65</v>
      </c>
      <c r="D357" s="36">
        <v>189</v>
      </c>
      <c r="E357" s="12">
        <v>60</v>
      </c>
      <c r="F357" s="21">
        <f t="shared" si="19"/>
        <v>17.961207283611873</v>
      </c>
      <c r="G357" s="35">
        <v>0</v>
      </c>
      <c r="H357" s="35">
        <v>0</v>
      </c>
      <c r="I357" s="36">
        <v>0</v>
      </c>
      <c r="J357" s="35">
        <v>0</v>
      </c>
      <c r="K357" s="35">
        <v>0</v>
      </c>
      <c r="L357" s="36">
        <v>981</v>
      </c>
      <c r="M357" s="35">
        <v>1.9</v>
      </c>
      <c r="N357" s="21">
        <v>3.3</v>
      </c>
      <c r="O357" s="12">
        <v>0</v>
      </c>
      <c r="P357" s="35">
        <v>100</v>
      </c>
      <c r="Q357" s="35">
        <v>50</v>
      </c>
      <c r="R357" s="36">
        <v>30</v>
      </c>
      <c r="S357" s="35">
        <v>25</v>
      </c>
      <c r="T357" s="35">
        <v>3.44</v>
      </c>
      <c r="U357" s="21">
        <f t="shared" si="18"/>
        <v>0.19152387396245449</v>
      </c>
      <c r="V357" s="37" t="s">
        <v>1</v>
      </c>
      <c r="W357" s="37" t="s">
        <v>1</v>
      </c>
      <c r="X357" s="35">
        <v>100</v>
      </c>
      <c r="Y357" s="23">
        <v>1.9160583941605918</v>
      </c>
      <c r="Z357" s="21">
        <v>0.8</v>
      </c>
      <c r="AA357" s="35">
        <v>6</v>
      </c>
      <c r="AB357" s="35" t="s">
        <v>1</v>
      </c>
      <c r="AC357" s="1" t="s">
        <v>78</v>
      </c>
    </row>
    <row r="358" spans="1:29">
      <c r="A358" s="35" t="s">
        <v>31</v>
      </c>
      <c r="B358" s="35" t="s">
        <v>3</v>
      </c>
      <c r="C358" s="39" t="s">
        <v>65</v>
      </c>
      <c r="D358" s="36">
        <v>189</v>
      </c>
      <c r="E358" s="12">
        <v>51.06342932429888</v>
      </c>
      <c r="F358" s="21">
        <f>F357*E358/E357</f>
        <v>15.286013978429954</v>
      </c>
      <c r="G358" s="35" t="s">
        <v>81</v>
      </c>
      <c r="H358" s="35">
        <v>0</v>
      </c>
      <c r="I358" s="21">
        <v>6.3821444256226878E-2</v>
      </c>
      <c r="J358" s="35">
        <v>0</v>
      </c>
      <c r="K358" s="35">
        <v>0</v>
      </c>
      <c r="L358" s="36">
        <v>981</v>
      </c>
      <c r="M358" s="35">
        <v>1.9</v>
      </c>
      <c r="N358" s="21">
        <v>3.3</v>
      </c>
      <c r="O358" s="12">
        <v>0</v>
      </c>
      <c r="P358" s="35">
        <v>100</v>
      </c>
      <c r="Q358" s="35">
        <v>50</v>
      </c>
      <c r="R358" s="36">
        <v>30</v>
      </c>
      <c r="S358" s="35">
        <v>25</v>
      </c>
      <c r="T358" s="35">
        <v>3.86</v>
      </c>
      <c r="U358" s="21">
        <f t="shared" si="18"/>
        <v>0.25251841359342164</v>
      </c>
      <c r="V358" s="37" t="s">
        <v>1</v>
      </c>
      <c r="W358" s="37" t="s">
        <v>1</v>
      </c>
      <c r="X358" s="35">
        <v>100</v>
      </c>
      <c r="Y358" s="23">
        <v>2.7916251246261155</v>
      </c>
      <c r="Z358" s="21">
        <v>1.7999999999999998</v>
      </c>
      <c r="AA358" s="35">
        <v>6</v>
      </c>
      <c r="AB358" s="35" t="s">
        <v>1</v>
      </c>
      <c r="AC358" s="1" t="s">
        <v>78</v>
      </c>
    </row>
    <row r="359" spans="1:29">
      <c r="A359" s="35" t="s">
        <v>31</v>
      </c>
      <c r="B359" s="35" t="s">
        <v>3</v>
      </c>
      <c r="C359" s="39" t="s">
        <v>65</v>
      </c>
      <c r="D359" s="36">
        <v>189</v>
      </c>
      <c r="E359" s="12">
        <v>56.919275123558485</v>
      </c>
      <c r="F359" s="21">
        <f>F358*E359/E358</f>
        <v>17.038981648786116</v>
      </c>
      <c r="G359" s="35" t="s">
        <v>81</v>
      </c>
      <c r="H359" s="35">
        <v>0</v>
      </c>
      <c r="I359" s="21">
        <v>0.19327620804105836</v>
      </c>
      <c r="J359" s="35">
        <v>0</v>
      </c>
      <c r="K359" s="35">
        <v>0</v>
      </c>
      <c r="L359" s="36">
        <v>981</v>
      </c>
      <c r="M359" s="35">
        <v>1.9</v>
      </c>
      <c r="N359" s="21">
        <v>3.3</v>
      </c>
      <c r="O359" s="12">
        <v>0</v>
      </c>
      <c r="P359" s="35">
        <v>100</v>
      </c>
      <c r="Q359" s="35">
        <v>50</v>
      </c>
      <c r="R359" s="36">
        <v>30</v>
      </c>
      <c r="S359" s="35">
        <v>25</v>
      </c>
      <c r="T359" s="35">
        <v>3.44</v>
      </c>
      <c r="U359" s="21">
        <f t="shared" si="18"/>
        <v>0.20188999970224575</v>
      </c>
      <c r="V359" s="37" t="s">
        <v>1</v>
      </c>
      <c r="W359" s="37" t="s">
        <v>1</v>
      </c>
      <c r="X359" s="35">
        <v>100</v>
      </c>
      <c r="Y359" s="23">
        <v>3.1541790025051157</v>
      </c>
      <c r="Z359" s="21">
        <v>1.2</v>
      </c>
      <c r="AA359" s="35">
        <v>6</v>
      </c>
      <c r="AB359" s="35" t="s">
        <v>1</v>
      </c>
      <c r="AC359" s="1" t="s">
        <v>78</v>
      </c>
    </row>
    <row r="360" spans="1:29">
      <c r="A360" s="35" t="s">
        <v>31</v>
      </c>
      <c r="B360" s="35" t="s">
        <v>3</v>
      </c>
      <c r="C360" s="39" t="s">
        <v>65</v>
      </c>
      <c r="D360" s="36">
        <v>189</v>
      </c>
      <c r="E360" s="12">
        <v>74.370639975735514</v>
      </c>
      <c r="F360" s="21">
        <f t="shared" si="19"/>
        <v>22.263108006984289</v>
      </c>
      <c r="G360" s="35" t="s">
        <v>79</v>
      </c>
      <c r="H360" s="35">
        <v>0</v>
      </c>
      <c r="I360" s="21">
        <v>0.12342356458814979</v>
      </c>
      <c r="J360" s="35">
        <v>0</v>
      </c>
      <c r="K360" s="35">
        <v>0</v>
      </c>
      <c r="L360" s="36">
        <v>981</v>
      </c>
      <c r="M360" s="35">
        <v>1.9</v>
      </c>
      <c r="N360" s="21">
        <v>3.3</v>
      </c>
      <c r="O360" s="12">
        <v>0</v>
      </c>
      <c r="P360" s="35">
        <v>100</v>
      </c>
      <c r="Q360" s="35">
        <v>50</v>
      </c>
      <c r="R360" s="36">
        <v>30</v>
      </c>
      <c r="S360" s="35">
        <v>25</v>
      </c>
      <c r="T360" s="35">
        <v>4.33</v>
      </c>
      <c r="U360" s="21">
        <f t="shared" si="18"/>
        <v>0.19449216159044866</v>
      </c>
      <c r="V360" s="37">
        <v>0.6619235676529599</v>
      </c>
      <c r="W360" s="37">
        <v>3.3587095206270332</v>
      </c>
      <c r="X360" s="35" t="s">
        <v>1</v>
      </c>
      <c r="Y360" s="23" t="s">
        <v>6</v>
      </c>
      <c r="Z360" s="21" t="s">
        <v>6</v>
      </c>
      <c r="AA360" s="35" t="s">
        <v>1</v>
      </c>
      <c r="AB360" s="35" t="s">
        <v>1</v>
      </c>
      <c r="AC360" s="1" t="s">
        <v>78</v>
      </c>
    </row>
    <row r="361" spans="1:29">
      <c r="A361" s="35" t="s">
        <v>31</v>
      </c>
      <c r="B361" s="35" t="s">
        <v>3</v>
      </c>
      <c r="C361" s="39" t="s">
        <v>65</v>
      </c>
      <c r="D361" s="36">
        <v>189</v>
      </c>
      <c r="E361" s="12">
        <v>74.370639975735514</v>
      </c>
      <c r="F361" s="21">
        <f t="shared" si="19"/>
        <v>22.263108006984289</v>
      </c>
      <c r="G361" s="35" t="s">
        <v>79</v>
      </c>
      <c r="H361" s="35">
        <v>0</v>
      </c>
      <c r="I361" s="21">
        <v>0.12342356458814979</v>
      </c>
      <c r="J361" s="35">
        <v>0</v>
      </c>
      <c r="K361" s="35">
        <v>0</v>
      </c>
      <c r="L361" s="36">
        <v>981</v>
      </c>
      <c r="M361" s="35">
        <v>1.9</v>
      </c>
      <c r="N361" s="21">
        <v>3.3</v>
      </c>
      <c r="O361" s="12">
        <v>0</v>
      </c>
      <c r="P361" s="35">
        <v>100</v>
      </c>
      <c r="Q361" s="35">
        <v>50</v>
      </c>
      <c r="R361" s="36">
        <v>30</v>
      </c>
      <c r="S361" s="35">
        <v>50</v>
      </c>
      <c r="T361" s="35">
        <v>4.49</v>
      </c>
      <c r="U361" s="21">
        <f t="shared" si="18"/>
        <v>0.20167893892404493</v>
      </c>
      <c r="V361" s="37">
        <v>0.62949640287769837</v>
      </c>
      <c r="W361" s="37">
        <v>2.6978417266187336</v>
      </c>
      <c r="X361" s="35" t="s">
        <v>1</v>
      </c>
      <c r="Y361" s="23" t="s">
        <v>6</v>
      </c>
      <c r="Z361" s="21" t="s">
        <v>6</v>
      </c>
      <c r="AA361" s="35" t="s">
        <v>1</v>
      </c>
      <c r="AB361" s="35" t="s">
        <v>1</v>
      </c>
      <c r="AC361" s="1" t="s">
        <v>78</v>
      </c>
    </row>
    <row r="362" spans="1:29">
      <c r="A362" s="35" t="s">
        <v>31</v>
      </c>
      <c r="B362" s="35" t="s">
        <v>3</v>
      </c>
      <c r="C362" s="39" t="s">
        <v>65</v>
      </c>
      <c r="D362" s="36">
        <v>189</v>
      </c>
      <c r="E362" s="12">
        <v>74.370639975735514</v>
      </c>
      <c r="F362" s="21">
        <f t="shared" si="19"/>
        <v>22.263108006984289</v>
      </c>
      <c r="G362" s="35" t="s">
        <v>79</v>
      </c>
      <c r="H362" s="35">
        <v>0</v>
      </c>
      <c r="I362" s="21">
        <v>0.12342356458814979</v>
      </c>
      <c r="J362" s="35">
        <v>0</v>
      </c>
      <c r="K362" s="35">
        <v>0</v>
      </c>
      <c r="L362" s="36">
        <v>981</v>
      </c>
      <c r="M362" s="35">
        <v>1.9</v>
      </c>
      <c r="N362" s="21">
        <v>3.3</v>
      </c>
      <c r="O362" s="12">
        <v>0</v>
      </c>
      <c r="P362" s="35">
        <v>100</v>
      </c>
      <c r="Q362" s="35">
        <v>50</v>
      </c>
      <c r="R362" s="36">
        <v>30</v>
      </c>
      <c r="S362" s="35">
        <v>75</v>
      </c>
      <c r="T362" s="35">
        <v>5.13</v>
      </c>
      <c r="U362" s="21">
        <f t="shared" si="18"/>
        <v>0.23042604825842994</v>
      </c>
      <c r="V362" s="37">
        <v>0.608532332289765</v>
      </c>
      <c r="W362" s="37">
        <v>1.8234218777876334</v>
      </c>
      <c r="X362" s="35" t="s">
        <v>1</v>
      </c>
      <c r="Y362" s="23" t="s">
        <v>6</v>
      </c>
      <c r="Z362" s="21" t="s">
        <v>6</v>
      </c>
      <c r="AA362" s="35" t="s">
        <v>1</v>
      </c>
      <c r="AB362" s="35" t="s">
        <v>1</v>
      </c>
      <c r="AC362" s="1" t="s">
        <v>125</v>
      </c>
    </row>
    <row r="363" spans="1:29">
      <c r="A363" s="35" t="s">
        <v>31</v>
      </c>
      <c r="B363" s="35" t="s">
        <v>3</v>
      </c>
      <c r="C363" s="39" t="s">
        <v>65</v>
      </c>
      <c r="D363" s="36">
        <v>189</v>
      </c>
      <c r="E363" s="12">
        <v>60.797694874127991</v>
      </c>
      <c r="F363" s="21">
        <f t="shared" si="19"/>
        <v>18.200000000000003</v>
      </c>
      <c r="G363" s="35" t="s">
        <v>79</v>
      </c>
      <c r="H363" s="35">
        <v>0</v>
      </c>
      <c r="I363" s="21">
        <v>0.25875144666931665</v>
      </c>
      <c r="J363" s="35">
        <v>0</v>
      </c>
      <c r="K363" s="35">
        <v>0</v>
      </c>
      <c r="L363" s="36">
        <v>981</v>
      </c>
      <c r="M363" s="35">
        <v>1.9</v>
      </c>
      <c r="N363" s="21">
        <v>3.3</v>
      </c>
      <c r="O363" s="12">
        <v>0</v>
      </c>
      <c r="P363" s="35">
        <v>15</v>
      </c>
      <c r="Q363" s="35">
        <v>50</v>
      </c>
      <c r="R363" s="36">
        <v>30</v>
      </c>
      <c r="S363" s="35">
        <v>75</v>
      </c>
      <c r="T363" s="35">
        <v>4.55</v>
      </c>
      <c r="U363" s="21">
        <f t="shared" si="18"/>
        <v>0.24999999999999994</v>
      </c>
      <c r="V363" s="37">
        <v>1.1976046156504367</v>
      </c>
      <c r="W363" s="37">
        <v>2.1794343446608999</v>
      </c>
      <c r="X363" s="35" t="s">
        <v>1</v>
      </c>
      <c r="Y363" s="23" t="s">
        <v>6</v>
      </c>
      <c r="Z363" s="21" t="s">
        <v>6</v>
      </c>
      <c r="AA363" s="35" t="s">
        <v>1</v>
      </c>
      <c r="AB363" s="35" t="s">
        <v>1</v>
      </c>
      <c r="AC363" s="1" t="s">
        <v>78</v>
      </c>
    </row>
    <row r="364" spans="1:29">
      <c r="A364" s="35" t="s">
        <v>31</v>
      </c>
      <c r="B364" s="35" t="s">
        <v>3</v>
      </c>
      <c r="C364" s="39" t="s">
        <v>65</v>
      </c>
      <c r="D364" s="36">
        <v>189</v>
      </c>
      <c r="E364" s="12">
        <v>60.797694874127991</v>
      </c>
      <c r="F364" s="21">
        <f t="shared" si="19"/>
        <v>18.200000000000003</v>
      </c>
      <c r="G364" s="35" t="s">
        <v>79</v>
      </c>
      <c r="H364" s="35">
        <v>0</v>
      </c>
      <c r="I364" s="21">
        <v>0.25875144666931665</v>
      </c>
      <c r="J364" s="35">
        <v>0</v>
      </c>
      <c r="K364" s="35">
        <v>0</v>
      </c>
      <c r="L364" s="36">
        <v>981</v>
      </c>
      <c r="M364" s="35">
        <v>1.9</v>
      </c>
      <c r="N364" s="21">
        <v>3.3</v>
      </c>
      <c r="O364" s="12">
        <v>0</v>
      </c>
      <c r="P364" s="35">
        <v>0.04</v>
      </c>
      <c r="Q364" s="35">
        <v>50</v>
      </c>
      <c r="R364" s="36">
        <v>30</v>
      </c>
      <c r="S364" s="35">
        <v>25</v>
      </c>
      <c r="T364" s="35">
        <v>3.54</v>
      </c>
      <c r="U364" s="21">
        <f t="shared" si="18"/>
        <v>0.19450549450549448</v>
      </c>
      <c r="V364" s="37">
        <v>106.2</v>
      </c>
      <c r="W364" s="37">
        <v>191.6</v>
      </c>
      <c r="X364" s="35" t="s">
        <v>1</v>
      </c>
      <c r="Y364" s="23" t="s">
        <v>6</v>
      </c>
      <c r="Z364" s="21" t="s">
        <v>6</v>
      </c>
      <c r="AA364" s="35" t="s">
        <v>1</v>
      </c>
      <c r="AB364" s="35" t="s">
        <v>1</v>
      </c>
      <c r="AC364" s="1" t="s">
        <v>78</v>
      </c>
    </row>
    <row r="365" spans="1:29">
      <c r="A365" s="35" t="s">
        <v>31</v>
      </c>
      <c r="B365" s="35" t="s">
        <v>3</v>
      </c>
      <c r="C365" s="39" t="s">
        <v>65</v>
      </c>
      <c r="D365" s="36">
        <v>189</v>
      </c>
      <c r="E365" s="12">
        <v>56.933465085639</v>
      </c>
      <c r="F365" s="21">
        <f>T365/U365</f>
        <v>18.31818181818182</v>
      </c>
      <c r="G365" s="35" t="s">
        <v>80</v>
      </c>
      <c r="H365" s="35">
        <v>0</v>
      </c>
      <c r="I365" s="21">
        <v>0.19357369152283013</v>
      </c>
      <c r="J365" s="35">
        <v>0</v>
      </c>
      <c r="K365" s="35">
        <v>0</v>
      </c>
      <c r="L365" s="36">
        <v>981</v>
      </c>
      <c r="M365" s="35">
        <v>1.9</v>
      </c>
      <c r="N365" s="21">
        <v>3.3</v>
      </c>
      <c r="O365" s="12">
        <v>0</v>
      </c>
      <c r="P365" s="35">
        <v>100</v>
      </c>
      <c r="Q365" s="35">
        <v>50</v>
      </c>
      <c r="R365" s="36">
        <v>30</v>
      </c>
      <c r="S365" s="35">
        <v>25</v>
      </c>
      <c r="T365" s="35">
        <v>4.03</v>
      </c>
      <c r="U365" s="21">
        <v>0.22</v>
      </c>
      <c r="V365" s="37">
        <v>3.3583333333333333E-2</v>
      </c>
      <c r="W365" s="37">
        <v>6.4536300000000004</v>
      </c>
      <c r="X365" s="35" t="s">
        <v>1</v>
      </c>
      <c r="Y365" s="23" t="s">
        <v>6</v>
      </c>
      <c r="Z365" s="21" t="s">
        <v>6</v>
      </c>
      <c r="AA365" s="35" t="s">
        <v>1</v>
      </c>
      <c r="AB365" s="35" t="s">
        <v>1</v>
      </c>
      <c r="AC365" s="1" t="s">
        <v>78</v>
      </c>
    </row>
    <row r="366" spans="1:29">
      <c r="A366" s="35" t="s">
        <v>31</v>
      </c>
      <c r="B366" s="35" t="s">
        <v>3</v>
      </c>
      <c r="C366" s="39" t="s">
        <v>66</v>
      </c>
      <c r="D366" s="36">
        <v>189</v>
      </c>
      <c r="E366" s="12">
        <v>56.933465085639</v>
      </c>
      <c r="F366" s="21">
        <v>18.32</v>
      </c>
      <c r="G366" s="35" t="s">
        <v>80</v>
      </c>
      <c r="H366" s="35">
        <v>0</v>
      </c>
      <c r="I366" s="21">
        <v>0.19357369152283013</v>
      </c>
      <c r="J366" s="35">
        <v>0</v>
      </c>
      <c r="K366" s="35">
        <v>0</v>
      </c>
      <c r="L366" s="36">
        <v>981</v>
      </c>
      <c r="M366" s="35">
        <v>1.9</v>
      </c>
      <c r="N366" s="21">
        <v>3.3</v>
      </c>
      <c r="O366" s="12">
        <v>0</v>
      </c>
      <c r="P366" s="35">
        <v>15</v>
      </c>
      <c r="Q366" s="35">
        <v>50</v>
      </c>
      <c r="R366" s="36">
        <v>30</v>
      </c>
      <c r="S366" s="35">
        <v>75</v>
      </c>
      <c r="T366" s="35">
        <v>4.03</v>
      </c>
      <c r="U366" s="21">
        <f>T366/F366</f>
        <v>0.21997816593886463</v>
      </c>
      <c r="V366" s="37">
        <v>3.3583333333333333E-2</v>
      </c>
      <c r="W366" s="37">
        <v>1.5384528573852465</v>
      </c>
      <c r="X366" s="35" t="s">
        <v>1</v>
      </c>
      <c r="Y366" s="23" t="s">
        <v>6</v>
      </c>
      <c r="Z366" s="21" t="s">
        <v>6</v>
      </c>
      <c r="AA366" s="35" t="s">
        <v>1</v>
      </c>
      <c r="AB366" s="35" t="s">
        <v>1</v>
      </c>
      <c r="AC366" s="1" t="s">
        <v>78</v>
      </c>
    </row>
    <row r="367" spans="1:29" ht="12" customHeight="1">
      <c r="A367" s="35" t="s">
        <v>31</v>
      </c>
      <c r="B367" s="35" t="s">
        <v>3</v>
      </c>
      <c r="C367" s="39" t="s">
        <v>66</v>
      </c>
      <c r="D367" s="36">
        <v>189</v>
      </c>
      <c r="E367" s="12">
        <v>56.933465085639</v>
      </c>
      <c r="F367" s="21">
        <v>18.32</v>
      </c>
      <c r="G367" s="35" t="s">
        <v>80</v>
      </c>
      <c r="H367" s="35">
        <v>0</v>
      </c>
      <c r="I367" s="21">
        <v>0.19357369152283013</v>
      </c>
      <c r="J367" s="35">
        <v>0</v>
      </c>
      <c r="K367" s="35">
        <v>0</v>
      </c>
      <c r="L367" s="36">
        <v>981</v>
      </c>
      <c r="M367" s="35">
        <v>1.9</v>
      </c>
      <c r="N367" s="21">
        <v>3.3</v>
      </c>
      <c r="O367" s="12">
        <v>0</v>
      </c>
      <c r="P367" s="35">
        <v>0.04</v>
      </c>
      <c r="Q367" s="35">
        <v>50</v>
      </c>
      <c r="R367" s="36">
        <v>30</v>
      </c>
      <c r="S367" s="35">
        <v>25</v>
      </c>
      <c r="T367" s="35">
        <v>3.32</v>
      </c>
      <c r="U367" s="21">
        <f>T367/F367</f>
        <v>0.18122270742358076</v>
      </c>
      <c r="V367" s="37">
        <v>99.6</v>
      </c>
      <c r="W367" s="37">
        <v>178.28</v>
      </c>
      <c r="X367" s="35" t="s">
        <v>1</v>
      </c>
      <c r="Y367" s="23" t="s">
        <v>6</v>
      </c>
      <c r="Z367" s="21" t="s">
        <v>6</v>
      </c>
      <c r="AA367" s="35" t="s">
        <v>1</v>
      </c>
      <c r="AB367" s="35" t="s">
        <v>1</v>
      </c>
      <c r="AC367" s="1" t="s">
        <v>78</v>
      </c>
    </row>
    <row r="368" spans="1:29">
      <c r="A368" s="35" t="s">
        <v>31</v>
      </c>
      <c r="B368" s="35" t="s">
        <v>3</v>
      </c>
      <c r="C368" s="39" t="s">
        <v>66</v>
      </c>
      <c r="D368" s="36">
        <v>189</v>
      </c>
      <c r="E368" s="12">
        <v>50.686994165255037</v>
      </c>
      <c r="F368" s="21">
        <f>T368/U368</f>
        <v>17.157894736842103</v>
      </c>
      <c r="G368" s="35" t="s">
        <v>32</v>
      </c>
      <c r="H368" s="35">
        <v>0</v>
      </c>
      <c r="I368" s="21">
        <v>6.4852818597794848E-2</v>
      </c>
      <c r="J368" s="35">
        <v>0</v>
      </c>
      <c r="K368" s="35">
        <v>0</v>
      </c>
      <c r="L368" s="36">
        <v>981</v>
      </c>
      <c r="M368" s="35">
        <v>1.9</v>
      </c>
      <c r="N368" s="21">
        <v>3.3</v>
      </c>
      <c r="O368" s="12">
        <v>0</v>
      </c>
      <c r="P368" s="35">
        <v>100</v>
      </c>
      <c r="Q368" s="35">
        <v>50</v>
      </c>
      <c r="R368" s="36">
        <v>30</v>
      </c>
      <c r="S368" s="35">
        <v>25</v>
      </c>
      <c r="T368" s="35">
        <v>3.26</v>
      </c>
      <c r="U368" s="21">
        <v>0.19</v>
      </c>
      <c r="V368" s="37">
        <v>2.7166666666666665E-2</v>
      </c>
      <c r="W368" s="37">
        <v>3.4323433333333333</v>
      </c>
      <c r="X368" s="35" t="s">
        <v>1</v>
      </c>
      <c r="Y368" s="23" t="s">
        <v>6</v>
      </c>
      <c r="Z368" s="21" t="s">
        <v>6</v>
      </c>
      <c r="AA368" s="35" t="s">
        <v>1</v>
      </c>
      <c r="AB368" s="35" t="s">
        <v>1</v>
      </c>
      <c r="AC368" s="1" t="s">
        <v>78</v>
      </c>
    </row>
    <row r="369" spans="1:29">
      <c r="A369" s="35" t="s">
        <v>31</v>
      </c>
      <c r="B369" s="35" t="s">
        <v>3</v>
      </c>
      <c r="C369" s="39" t="s">
        <v>66</v>
      </c>
      <c r="D369" s="36">
        <v>189</v>
      </c>
      <c r="E369" s="12">
        <v>50.686994165255037</v>
      </c>
      <c r="F369" s="21">
        <v>17.16</v>
      </c>
      <c r="G369" s="35" t="s">
        <v>32</v>
      </c>
      <c r="H369" s="35">
        <v>0</v>
      </c>
      <c r="I369" s="21">
        <v>6.4852818597794848E-2</v>
      </c>
      <c r="J369" s="35">
        <v>0</v>
      </c>
      <c r="K369" s="35">
        <v>0</v>
      </c>
      <c r="L369" s="36">
        <v>981</v>
      </c>
      <c r="M369" s="35">
        <v>1.9</v>
      </c>
      <c r="N369" s="21">
        <v>3.3</v>
      </c>
      <c r="O369" s="12">
        <v>0</v>
      </c>
      <c r="P369" s="35">
        <v>15</v>
      </c>
      <c r="Q369" s="35">
        <v>50</v>
      </c>
      <c r="R369" s="36">
        <v>30</v>
      </c>
      <c r="S369" s="35">
        <v>75</v>
      </c>
      <c r="T369" s="35">
        <v>3.41</v>
      </c>
      <c r="U369" s="21">
        <f>T369/F369</f>
        <v>0.19871794871794873</v>
      </c>
      <c r="V369" s="37">
        <v>2.8416666666666666E-2</v>
      </c>
      <c r="W369" s="37">
        <v>1.8028327908558834</v>
      </c>
      <c r="X369" s="35" t="s">
        <v>1</v>
      </c>
      <c r="Y369" s="23" t="s">
        <v>6</v>
      </c>
      <c r="Z369" s="21" t="s">
        <v>6</v>
      </c>
      <c r="AA369" s="35" t="s">
        <v>1</v>
      </c>
      <c r="AB369" s="35" t="s">
        <v>1</v>
      </c>
      <c r="AC369" s="1" t="s">
        <v>78</v>
      </c>
    </row>
    <row r="370" spans="1:29">
      <c r="A370" s="35" t="s">
        <v>31</v>
      </c>
      <c r="B370" s="35" t="s">
        <v>3</v>
      </c>
      <c r="C370" s="39" t="s">
        <v>66</v>
      </c>
      <c r="D370" s="36">
        <v>189</v>
      </c>
      <c r="E370" s="12">
        <v>50.686994165255037</v>
      </c>
      <c r="F370" s="21">
        <v>17.16</v>
      </c>
      <c r="G370" s="35" t="s">
        <v>32</v>
      </c>
      <c r="H370" s="35">
        <v>0</v>
      </c>
      <c r="I370" s="21">
        <v>6.4852818597794848E-2</v>
      </c>
      <c r="J370" s="35">
        <v>0</v>
      </c>
      <c r="K370" s="35">
        <v>0</v>
      </c>
      <c r="L370" s="36">
        <v>981</v>
      </c>
      <c r="M370" s="35">
        <v>1.9</v>
      </c>
      <c r="N370" s="21">
        <v>3.3</v>
      </c>
      <c r="O370" s="12">
        <v>0</v>
      </c>
      <c r="P370" s="35">
        <v>0.04</v>
      </c>
      <c r="Q370" s="35">
        <v>50</v>
      </c>
      <c r="R370" s="36">
        <v>30</v>
      </c>
      <c r="S370" s="35">
        <v>25</v>
      </c>
      <c r="T370" s="35">
        <v>2.75</v>
      </c>
      <c r="U370" s="21">
        <f>T370/F370</f>
        <v>0.16025641025641024</v>
      </c>
      <c r="V370" s="37">
        <v>82.5</v>
      </c>
      <c r="W370" s="37">
        <v>148.5</v>
      </c>
      <c r="X370" s="35" t="s">
        <v>1</v>
      </c>
      <c r="Y370" s="23" t="s">
        <v>6</v>
      </c>
      <c r="Z370" s="21" t="s">
        <v>6</v>
      </c>
      <c r="AA370" s="35" t="s">
        <v>1</v>
      </c>
      <c r="AB370" s="35" t="s">
        <v>1</v>
      </c>
      <c r="AC370" s="1" t="s">
        <v>78</v>
      </c>
    </row>
    <row r="371" spans="1:29">
      <c r="A371" s="35" t="s">
        <v>31</v>
      </c>
      <c r="B371" s="35" t="s">
        <v>3</v>
      </c>
      <c r="C371" s="39" t="s">
        <v>66</v>
      </c>
      <c r="D371" s="36">
        <v>189</v>
      </c>
      <c r="E371" s="12">
        <v>47.6</v>
      </c>
      <c r="F371" s="21">
        <v>17.11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6">
        <v>981</v>
      </c>
      <c r="M371" s="35">
        <v>1.9</v>
      </c>
      <c r="N371" s="21">
        <v>3.3</v>
      </c>
      <c r="O371" s="12">
        <v>0</v>
      </c>
      <c r="P371" s="35">
        <v>100</v>
      </c>
      <c r="Q371" s="35">
        <v>50</v>
      </c>
      <c r="R371" s="36">
        <v>30</v>
      </c>
      <c r="S371" s="35">
        <v>25</v>
      </c>
      <c r="T371" s="35">
        <v>3.08</v>
      </c>
      <c r="U371" s="21">
        <f>T371/17.11</f>
        <v>0.18001168907071888</v>
      </c>
      <c r="V371" s="37">
        <v>2.5666666666666667E-2</v>
      </c>
      <c r="W371" s="37">
        <v>2.0297033333333334</v>
      </c>
      <c r="X371" s="35" t="s">
        <v>1</v>
      </c>
      <c r="Y371" s="23" t="s">
        <v>6</v>
      </c>
      <c r="Z371" s="21" t="s">
        <v>6</v>
      </c>
      <c r="AA371" s="35" t="s">
        <v>1</v>
      </c>
      <c r="AB371" s="35" t="s">
        <v>1</v>
      </c>
      <c r="AC371" s="1" t="s">
        <v>78</v>
      </c>
    </row>
    <row r="372" spans="1:29" ht="13.2" customHeight="1">
      <c r="A372" s="35" t="s">
        <v>31</v>
      </c>
      <c r="B372" s="35" t="s">
        <v>3</v>
      </c>
      <c r="C372" s="39" t="s">
        <v>66</v>
      </c>
      <c r="D372" s="36">
        <v>189</v>
      </c>
      <c r="E372" s="12">
        <v>47.6</v>
      </c>
      <c r="F372" s="21">
        <v>17.11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6">
        <v>981</v>
      </c>
      <c r="M372" s="35">
        <v>1.9</v>
      </c>
      <c r="N372" s="21">
        <v>3.3</v>
      </c>
      <c r="O372" s="12">
        <v>0</v>
      </c>
      <c r="P372" s="35">
        <v>15</v>
      </c>
      <c r="Q372" s="35">
        <v>50</v>
      </c>
      <c r="R372" s="36">
        <v>30</v>
      </c>
      <c r="S372" s="35">
        <v>75</v>
      </c>
      <c r="T372" s="21">
        <v>3.2</v>
      </c>
      <c r="U372" s="21">
        <f>T372/F372</f>
        <v>0.18702513150204561</v>
      </c>
      <c r="V372" s="37">
        <v>2.6666666666666668E-2</v>
      </c>
      <c r="W372" s="37">
        <v>1.6432805954954832</v>
      </c>
      <c r="X372" s="35" t="s">
        <v>1</v>
      </c>
      <c r="Y372" s="23" t="s">
        <v>6</v>
      </c>
      <c r="Z372" s="21" t="s">
        <v>6</v>
      </c>
      <c r="AA372" s="35" t="s">
        <v>1</v>
      </c>
      <c r="AB372" s="35" t="s">
        <v>1</v>
      </c>
      <c r="AC372" s="1" t="s">
        <v>78</v>
      </c>
    </row>
    <row r="373" spans="1:29">
      <c r="A373" s="35" t="s">
        <v>31</v>
      </c>
      <c r="B373" s="35" t="s">
        <v>3</v>
      </c>
      <c r="C373" s="39" t="s">
        <v>66</v>
      </c>
      <c r="D373" s="36">
        <v>189</v>
      </c>
      <c r="E373" s="12">
        <v>47.6</v>
      </c>
      <c r="F373" s="21">
        <v>17.11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6">
        <v>981</v>
      </c>
      <c r="M373" s="35">
        <v>1.9</v>
      </c>
      <c r="N373" s="21">
        <v>3.3</v>
      </c>
      <c r="O373" s="12">
        <v>0</v>
      </c>
      <c r="P373" s="35">
        <v>0.04</v>
      </c>
      <c r="Q373" s="35">
        <v>50</v>
      </c>
      <c r="R373" s="36">
        <v>30</v>
      </c>
      <c r="S373" s="35">
        <v>25</v>
      </c>
      <c r="T373" s="35">
        <v>2.48</v>
      </c>
      <c r="U373" s="21">
        <f>T373/F373</f>
        <v>0.14494447691408532</v>
      </c>
      <c r="V373" s="37">
        <v>74.400000000000006</v>
      </c>
      <c r="W373" s="37">
        <v>133.91999999999999</v>
      </c>
      <c r="X373" s="35" t="s">
        <v>1</v>
      </c>
      <c r="Y373" s="23" t="s">
        <v>6</v>
      </c>
      <c r="Z373" s="21" t="s">
        <v>6</v>
      </c>
      <c r="AA373" s="35" t="s">
        <v>1</v>
      </c>
      <c r="AB373" s="35" t="s">
        <v>1</v>
      </c>
      <c r="AC373" s="2" t="s">
        <v>78</v>
      </c>
    </row>
    <row r="374" spans="1:29" s="52" customFormat="1" ht="13.5" customHeight="1">
      <c r="A374" s="35" t="s">
        <v>91</v>
      </c>
      <c r="B374" s="35" t="s">
        <v>3</v>
      </c>
      <c r="C374" s="35" t="s">
        <v>65</v>
      </c>
      <c r="D374" s="36">
        <v>189</v>
      </c>
      <c r="E374" s="12">
        <v>35</v>
      </c>
      <c r="F374" s="21">
        <v>7.1714285714285699</v>
      </c>
      <c r="G374" s="35">
        <v>0</v>
      </c>
      <c r="H374" s="35">
        <v>0</v>
      </c>
      <c r="I374" s="41">
        <v>0</v>
      </c>
      <c r="J374" s="41">
        <v>0</v>
      </c>
      <c r="K374" s="41">
        <v>0</v>
      </c>
      <c r="L374" s="36">
        <v>479</v>
      </c>
      <c r="M374" s="35">
        <v>2</v>
      </c>
      <c r="N374" s="21">
        <v>22.5</v>
      </c>
      <c r="O374" s="12">
        <v>0</v>
      </c>
      <c r="P374" s="35">
        <v>100</v>
      </c>
      <c r="Q374" s="35">
        <v>50</v>
      </c>
      <c r="R374" s="36">
        <v>80</v>
      </c>
      <c r="S374" s="35">
        <v>40</v>
      </c>
      <c r="T374" s="35">
        <v>2.4</v>
      </c>
      <c r="U374" s="21">
        <v>0.33</v>
      </c>
      <c r="V374" s="37">
        <v>0.47</v>
      </c>
      <c r="W374" s="37">
        <v>2.11</v>
      </c>
      <c r="X374" s="35" t="s">
        <v>1</v>
      </c>
      <c r="Y374" s="23" t="s">
        <v>6</v>
      </c>
      <c r="Z374" s="21" t="s">
        <v>6</v>
      </c>
      <c r="AA374" s="35" t="s">
        <v>1</v>
      </c>
      <c r="AB374" s="35" t="s">
        <v>1</v>
      </c>
      <c r="AC374" s="1" t="s">
        <v>281</v>
      </c>
    </row>
    <row r="375" spans="1:29" s="52" customFormat="1" ht="13.8">
      <c r="A375" s="35" t="s">
        <v>91</v>
      </c>
      <c r="B375" s="35" t="s">
        <v>3</v>
      </c>
      <c r="C375" s="35" t="s">
        <v>65</v>
      </c>
      <c r="D375" s="36">
        <v>189</v>
      </c>
      <c r="E375" s="12">
        <v>35</v>
      </c>
      <c r="F375" s="21">
        <v>7.3428571428571434</v>
      </c>
      <c r="G375" s="35" t="s">
        <v>33</v>
      </c>
      <c r="H375" s="35">
        <v>0</v>
      </c>
      <c r="I375" s="12">
        <f>5%/30%</f>
        <v>0.16666666666666669</v>
      </c>
      <c r="J375" s="35">
        <v>0</v>
      </c>
      <c r="K375" s="41">
        <v>0</v>
      </c>
      <c r="L375" s="36">
        <v>479</v>
      </c>
      <c r="M375" s="35">
        <v>2</v>
      </c>
      <c r="N375" s="21">
        <v>22.5</v>
      </c>
      <c r="O375" s="12">
        <v>0</v>
      </c>
      <c r="P375" s="35">
        <v>100</v>
      </c>
      <c r="Q375" s="35">
        <v>50</v>
      </c>
      <c r="R375" s="36">
        <v>80</v>
      </c>
      <c r="S375" s="35">
        <v>40</v>
      </c>
      <c r="T375" s="35">
        <v>2.39</v>
      </c>
      <c r="U375" s="21">
        <v>0.33</v>
      </c>
      <c r="V375" s="37" t="s">
        <v>1</v>
      </c>
      <c r="W375" s="37" t="s">
        <v>1</v>
      </c>
      <c r="X375" s="35" t="s">
        <v>1</v>
      </c>
      <c r="Y375" s="23" t="s">
        <v>6</v>
      </c>
      <c r="Z375" s="21" t="s">
        <v>6</v>
      </c>
      <c r="AA375" s="35" t="s">
        <v>1</v>
      </c>
      <c r="AB375" s="35" t="s">
        <v>1</v>
      </c>
      <c r="AC375" s="1" t="s">
        <v>82</v>
      </c>
    </row>
    <row r="376" spans="1:29" s="52" customFormat="1" ht="13.8">
      <c r="A376" s="35" t="s">
        <v>91</v>
      </c>
      <c r="B376" s="35" t="s">
        <v>3</v>
      </c>
      <c r="C376" s="35" t="s">
        <v>65</v>
      </c>
      <c r="D376" s="36">
        <v>189</v>
      </c>
      <c r="E376" s="12">
        <v>35</v>
      </c>
      <c r="F376" s="21">
        <v>6.9928571428571402</v>
      </c>
      <c r="G376" s="35" t="s">
        <v>34</v>
      </c>
      <c r="H376" s="35">
        <v>0</v>
      </c>
      <c r="I376" s="12">
        <f t="shared" ref="I376:I382" si="20">5%/30%</f>
        <v>0.16666666666666669</v>
      </c>
      <c r="J376" s="35">
        <v>0</v>
      </c>
      <c r="K376" s="12">
        <f>(2*0.05*1000/642.5)/F376</f>
        <v>2.2257286280370273E-2</v>
      </c>
      <c r="L376" s="36">
        <v>479</v>
      </c>
      <c r="M376" s="35">
        <v>2</v>
      </c>
      <c r="N376" s="21">
        <v>22.5</v>
      </c>
      <c r="O376" s="12">
        <v>0</v>
      </c>
      <c r="P376" s="35">
        <v>100</v>
      </c>
      <c r="Q376" s="35">
        <v>50</v>
      </c>
      <c r="R376" s="36">
        <v>80</v>
      </c>
      <c r="S376" s="35">
        <v>40</v>
      </c>
      <c r="T376" s="35">
        <v>2.4</v>
      </c>
      <c r="U376" s="21">
        <v>0.34</v>
      </c>
      <c r="V376" s="37" t="s">
        <v>1</v>
      </c>
      <c r="W376" s="37" t="s">
        <v>1</v>
      </c>
      <c r="X376" s="35" t="s">
        <v>1</v>
      </c>
      <c r="Y376" s="23" t="s">
        <v>6</v>
      </c>
      <c r="Z376" s="21" t="s">
        <v>6</v>
      </c>
      <c r="AA376" s="35" t="s">
        <v>1</v>
      </c>
      <c r="AB376" s="35" t="s">
        <v>1</v>
      </c>
      <c r="AC376" s="1" t="s">
        <v>82</v>
      </c>
    </row>
    <row r="377" spans="1:29" s="52" customFormat="1" ht="13.8">
      <c r="A377" s="35" t="s">
        <v>91</v>
      </c>
      <c r="B377" s="35" t="s">
        <v>3</v>
      </c>
      <c r="C377" s="35" t="s">
        <v>65</v>
      </c>
      <c r="D377" s="36">
        <v>189</v>
      </c>
      <c r="E377" s="12">
        <v>35</v>
      </c>
      <c r="F377" s="21">
        <v>6.8785714285714281</v>
      </c>
      <c r="G377" s="35" t="s">
        <v>35</v>
      </c>
      <c r="H377" s="35">
        <v>0</v>
      </c>
      <c r="I377" s="12">
        <f t="shared" si="20"/>
        <v>0.16666666666666669</v>
      </c>
      <c r="J377" s="35">
        <v>0</v>
      </c>
      <c r="K377" s="41">
        <v>0</v>
      </c>
      <c r="L377" s="36">
        <v>479</v>
      </c>
      <c r="M377" s="35">
        <v>2</v>
      </c>
      <c r="N377" s="21">
        <v>22.5</v>
      </c>
      <c r="O377" s="12">
        <v>0</v>
      </c>
      <c r="P377" s="35">
        <v>100</v>
      </c>
      <c r="Q377" s="35">
        <v>50</v>
      </c>
      <c r="R377" s="36">
        <v>80</v>
      </c>
      <c r="S377" s="35">
        <v>40</v>
      </c>
      <c r="T377" s="35">
        <v>2.2000000000000002</v>
      </c>
      <c r="U377" s="21">
        <v>0.32</v>
      </c>
      <c r="V377" s="37" t="s">
        <v>1</v>
      </c>
      <c r="W377" s="37" t="s">
        <v>1</v>
      </c>
      <c r="X377" s="35" t="s">
        <v>1</v>
      </c>
      <c r="Y377" s="23" t="s">
        <v>6</v>
      </c>
      <c r="Z377" s="21" t="s">
        <v>6</v>
      </c>
      <c r="AA377" s="35" t="s">
        <v>1</v>
      </c>
      <c r="AB377" s="35" t="s">
        <v>1</v>
      </c>
      <c r="AC377" s="1" t="s">
        <v>82</v>
      </c>
    </row>
    <row r="378" spans="1:29" s="52" customFormat="1" ht="13.8">
      <c r="A378" s="35" t="s">
        <v>91</v>
      </c>
      <c r="B378" s="35" t="s">
        <v>3</v>
      </c>
      <c r="C378" s="35" t="s">
        <v>65</v>
      </c>
      <c r="D378" s="36">
        <v>189</v>
      </c>
      <c r="E378" s="12">
        <v>35</v>
      </c>
      <c r="F378" s="21">
        <v>7.5071428571428571</v>
      </c>
      <c r="G378" s="35" t="s">
        <v>36</v>
      </c>
      <c r="H378" s="35">
        <v>0</v>
      </c>
      <c r="I378" s="12">
        <f t="shared" si="20"/>
        <v>0.16666666666666669</v>
      </c>
      <c r="J378" s="35">
        <v>0</v>
      </c>
      <c r="K378" s="12">
        <f>(0.05*1*1000/220.35)/F378</f>
        <v>3.0226110739401915E-2</v>
      </c>
      <c r="L378" s="36">
        <v>479</v>
      </c>
      <c r="M378" s="35">
        <v>2</v>
      </c>
      <c r="N378" s="21">
        <v>22.5</v>
      </c>
      <c r="O378" s="12">
        <v>0</v>
      </c>
      <c r="P378" s="35">
        <v>100</v>
      </c>
      <c r="Q378" s="35">
        <v>50</v>
      </c>
      <c r="R378" s="36">
        <v>80</v>
      </c>
      <c r="S378" s="35">
        <v>40</v>
      </c>
      <c r="T378" s="35">
        <v>2.39</v>
      </c>
      <c r="U378" s="21">
        <v>0.32</v>
      </c>
      <c r="V378" s="37" t="s">
        <v>1</v>
      </c>
      <c r="W378" s="37" t="s">
        <v>1</v>
      </c>
      <c r="X378" s="35" t="s">
        <v>1</v>
      </c>
      <c r="Y378" s="23" t="s">
        <v>6</v>
      </c>
      <c r="Z378" s="21" t="s">
        <v>6</v>
      </c>
      <c r="AA378" s="35" t="s">
        <v>1</v>
      </c>
      <c r="AB378" s="35" t="s">
        <v>1</v>
      </c>
      <c r="AC378" s="1" t="s">
        <v>82</v>
      </c>
    </row>
    <row r="379" spans="1:29" s="52" customFormat="1" ht="13.8">
      <c r="A379" s="35" t="s">
        <v>91</v>
      </c>
      <c r="B379" s="35" t="s">
        <v>3</v>
      </c>
      <c r="C379" s="35" t="s">
        <v>65</v>
      </c>
      <c r="D379" s="36">
        <v>189</v>
      </c>
      <c r="E379" s="12">
        <v>35</v>
      </c>
      <c r="F379" s="21">
        <v>7.0142857142857142</v>
      </c>
      <c r="G379" s="35" t="s">
        <v>37</v>
      </c>
      <c r="H379" s="35">
        <v>0</v>
      </c>
      <c r="I379" s="12">
        <f t="shared" si="20"/>
        <v>0.16666666666666669</v>
      </c>
      <c r="J379" s="35">
        <v>0</v>
      </c>
      <c r="K379" s="12">
        <f>(4*0.05*1000/1177.6)/F379</f>
        <v>2.4213008058089083E-2</v>
      </c>
      <c r="L379" s="36">
        <v>479</v>
      </c>
      <c r="M379" s="35">
        <v>2</v>
      </c>
      <c r="N379" s="21">
        <v>22.5</v>
      </c>
      <c r="O379" s="12">
        <v>0</v>
      </c>
      <c r="P379" s="35">
        <v>100</v>
      </c>
      <c r="Q379" s="35">
        <v>50</v>
      </c>
      <c r="R379" s="36">
        <v>80</v>
      </c>
      <c r="S379" s="35">
        <v>40</v>
      </c>
      <c r="T379" s="35">
        <v>2.36</v>
      </c>
      <c r="U379" s="21">
        <v>0.34</v>
      </c>
      <c r="V379" s="37" t="s">
        <v>1</v>
      </c>
      <c r="W379" s="37" t="s">
        <v>1</v>
      </c>
      <c r="X379" s="35" t="s">
        <v>1</v>
      </c>
      <c r="Y379" s="23" t="s">
        <v>6</v>
      </c>
      <c r="Z379" s="21" t="s">
        <v>6</v>
      </c>
      <c r="AA379" s="35" t="s">
        <v>1</v>
      </c>
      <c r="AB379" s="35" t="s">
        <v>1</v>
      </c>
      <c r="AC379" s="1" t="s">
        <v>82</v>
      </c>
    </row>
    <row r="380" spans="1:29" s="52" customFormat="1" ht="13.8">
      <c r="A380" s="35" t="s">
        <v>91</v>
      </c>
      <c r="B380" s="35" t="s">
        <v>3</v>
      </c>
      <c r="C380" s="35" t="s">
        <v>65</v>
      </c>
      <c r="D380" s="36">
        <v>189</v>
      </c>
      <c r="E380" s="12">
        <v>35</v>
      </c>
      <c r="F380" s="21">
        <v>7.5500000000000007</v>
      </c>
      <c r="G380" s="35" t="s">
        <v>38</v>
      </c>
      <c r="H380" s="35">
        <v>0</v>
      </c>
      <c r="I380" s="12">
        <f>5%/30%</f>
        <v>0.16666666666666669</v>
      </c>
      <c r="J380" s="35">
        <v>0</v>
      </c>
      <c r="K380" s="12">
        <f>(0.05*1000*2/122.19)/F380</f>
        <v>0.10839703013816826</v>
      </c>
      <c r="L380" s="36">
        <v>479</v>
      </c>
      <c r="M380" s="35">
        <v>2</v>
      </c>
      <c r="N380" s="21">
        <v>22.5</v>
      </c>
      <c r="O380" s="12">
        <v>0</v>
      </c>
      <c r="P380" s="35">
        <v>100</v>
      </c>
      <c r="Q380" s="35">
        <v>50</v>
      </c>
      <c r="R380" s="36">
        <v>80</v>
      </c>
      <c r="S380" s="35">
        <v>40</v>
      </c>
      <c r="T380" s="35">
        <v>2.6</v>
      </c>
      <c r="U380" s="21">
        <v>0.35</v>
      </c>
      <c r="V380" s="37" t="s">
        <v>1</v>
      </c>
      <c r="W380" s="37" t="s">
        <v>1</v>
      </c>
      <c r="X380" s="35" t="s">
        <v>1</v>
      </c>
      <c r="Y380" s="23" t="s">
        <v>6</v>
      </c>
      <c r="Z380" s="21" t="s">
        <v>6</v>
      </c>
      <c r="AA380" s="35" t="s">
        <v>1</v>
      </c>
      <c r="AB380" s="35" t="s">
        <v>1</v>
      </c>
      <c r="AC380" s="1" t="s">
        <v>82</v>
      </c>
    </row>
    <row r="381" spans="1:29" s="52" customFormat="1" ht="13.8">
      <c r="A381" s="35" t="s">
        <v>91</v>
      </c>
      <c r="B381" s="35" t="s">
        <v>3</v>
      </c>
      <c r="C381" s="35" t="s">
        <v>65</v>
      </c>
      <c r="D381" s="36">
        <v>189</v>
      </c>
      <c r="E381" s="12">
        <v>35</v>
      </c>
      <c r="F381" s="21">
        <v>7.3214285714285712</v>
      </c>
      <c r="G381" s="35" t="s">
        <v>39</v>
      </c>
      <c r="H381" s="35">
        <v>0</v>
      </c>
      <c r="I381" s="12">
        <f t="shared" si="20"/>
        <v>0.16666666666666669</v>
      </c>
      <c r="J381" s="35">
        <v>0</v>
      </c>
      <c r="K381" s="12">
        <f>(0.05*2*1000/154.3)/F381</f>
        <v>8.8519355705546685E-2</v>
      </c>
      <c r="L381" s="36">
        <v>479</v>
      </c>
      <c r="M381" s="35">
        <v>2</v>
      </c>
      <c r="N381" s="21">
        <v>22.5</v>
      </c>
      <c r="O381" s="12">
        <v>0</v>
      </c>
      <c r="P381" s="35">
        <v>100</v>
      </c>
      <c r="Q381" s="35">
        <v>50</v>
      </c>
      <c r="R381" s="36">
        <v>80</v>
      </c>
      <c r="S381" s="35">
        <v>40</v>
      </c>
      <c r="T381" s="35">
        <v>2.48</v>
      </c>
      <c r="U381" s="21">
        <v>0.34</v>
      </c>
      <c r="V381" s="37">
        <v>0.47</v>
      </c>
      <c r="W381" s="37">
        <v>1.19</v>
      </c>
      <c r="X381" s="35" t="s">
        <v>1</v>
      </c>
      <c r="Y381" s="23" t="s">
        <v>6</v>
      </c>
      <c r="Z381" s="21" t="s">
        <v>6</v>
      </c>
      <c r="AA381" s="35" t="s">
        <v>1</v>
      </c>
      <c r="AB381" s="35" t="s">
        <v>1</v>
      </c>
      <c r="AC381" s="1" t="s">
        <v>82</v>
      </c>
    </row>
    <row r="382" spans="1:29" s="52" customFormat="1" ht="13.8">
      <c r="A382" s="35" t="s">
        <v>91</v>
      </c>
      <c r="B382" s="35" t="s">
        <v>3</v>
      </c>
      <c r="C382" s="35" t="s">
        <v>65</v>
      </c>
      <c r="D382" s="36">
        <v>189</v>
      </c>
      <c r="E382" s="12">
        <v>35</v>
      </c>
      <c r="F382" s="21">
        <v>7.0642857142857149</v>
      </c>
      <c r="G382" s="35" t="s">
        <v>40</v>
      </c>
      <c r="H382" s="35">
        <v>0</v>
      </c>
      <c r="I382" s="12">
        <f t="shared" si="20"/>
        <v>0.16666666666666669</v>
      </c>
      <c r="J382" s="35">
        <v>0</v>
      </c>
      <c r="K382" s="41">
        <v>0</v>
      </c>
      <c r="L382" s="36">
        <v>479</v>
      </c>
      <c r="M382" s="35">
        <v>2</v>
      </c>
      <c r="N382" s="21">
        <v>22.5</v>
      </c>
      <c r="O382" s="12">
        <v>0</v>
      </c>
      <c r="P382" s="35">
        <v>100</v>
      </c>
      <c r="Q382" s="35">
        <v>50</v>
      </c>
      <c r="R382" s="36">
        <v>80</v>
      </c>
      <c r="S382" s="35">
        <v>40</v>
      </c>
      <c r="T382" s="35">
        <v>2.23</v>
      </c>
      <c r="U382" s="21">
        <v>0.32</v>
      </c>
      <c r="V382" s="37" t="s">
        <v>1</v>
      </c>
      <c r="W382" s="37" t="s">
        <v>1</v>
      </c>
      <c r="X382" s="35" t="s">
        <v>1</v>
      </c>
      <c r="Y382" s="23" t="s">
        <v>6</v>
      </c>
      <c r="Z382" s="21" t="s">
        <v>6</v>
      </c>
      <c r="AA382" s="35" t="s">
        <v>1</v>
      </c>
      <c r="AB382" s="35" t="s">
        <v>1</v>
      </c>
      <c r="AC382" s="2" t="s">
        <v>82</v>
      </c>
    </row>
    <row r="383" spans="1:29" ht="12.45" customHeight="1">
      <c r="A383" s="35" t="s">
        <v>41</v>
      </c>
      <c r="B383" s="35" t="s">
        <v>3</v>
      </c>
      <c r="C383" s="35" t="s">
        <v>65</v>
      </c>
      <c r="D383" s="36">
        <v>189</v>
      </c>
      <c r="E383" s="12">
        <v>67.17</v>
      </c>
      <c r="F383" s="21">
        <v>12.25</v>
      </c>
      <c r="G383" s="35" t="s">
        <v>84</v>
      </c>
      <c r="H383" s="35" t="s">
        <v>32</v>
      </c>
      <c r="I383" s="21">
        <f>5.33%/46.38%</f>
        <v>0.11492022423458387</v>
      </c>
      <c r="J383" s="21">
        <f>15.46%/46.38%</f>
        <v>0.33333333333333331</v>
      </c>
      <c r="K383" s="35">
        <v>0</v>
      </c>
      <c r="L383" s="36">
        <v>576</v>
      </c>
      <c r="M383" s="35">
        <v>0.73</v>
      </c>
      <c r="N383" s="21">
        <v>3.2</v>
      </c>
      <c r="O383" s="12">
        <v>0</v>
      </c>
      <c r="P383" s="35">
        <v>100</v>
      </c>
      <c r="Q383" s="35">
        <v>50</v>
      </c>
      <c r="R383" s="35">
        <v>30</v>
      </c>
      <c r="S383" s="35">
        <v>25</v>
      </c>
      <c r="T383" s="35">
        <v>4.04</v>
      </c>
      <c r="U383" s="21">
        <v>0.33</v>
      </c>
      <c r="V383" s="37">
        <v>0.83500000000000008</v>
      </c>
      <c r="W383" s="37">
        <v>3.0249999999999999</v>
      </c>
      <c r="X383" s="35" t="s">
        <v>1</v>
      </c>
      <c r="Y383" s="23" t="s">
        <v>6</v>
      </c>
      <c r="Z383" s="21" t="s">
        <v>6</v>
      </c>
      <c r="AA383" s="35" t="s">
        <v>1</v>
      </c>
      <c r="AB383" s="37">
        <v>46.9</v>
      </c>
      <c r="AC383" s="1" t="s">
        <v>127</v>
      </c>
    </row>
    <row r="384" spans="1:29" ht="15" customHeight="1">
      <c r="A384" s="35" t="s">
        <v>41</v>
      </c>
      <c r="B384" s="35" t="s">
        <v>3</v>
      </c>
      <c r="C384" s="35" t="s">
        <v>65</v>
      </c>
      <c r="D384" s="36">
        <v>189</v>
      </c>
      <c r="E384" s="12">
        <v>67.17</v>
      </c>
      <c r="F384" s="21">
        <v>12.25</v>
      </c>
      <c r="G384" s="35" t="s">
        <v>84</v>
      </c>
      <c r="H384" s="35" t="s">
        <v>32</v>
      </c>
      <c r="I384" s="21">
        <f t="shared" ref="I384:I386" si="21">5.33%/46.38%</f>
        <v>0.11492022423458387</v>
      </c>
      <c r="J384" s="21">
        <f>15.46%/46.38%</f>
        <v>0.33333333333333331</v>
      </c>
      <c r="K384" s="35">
        <v>0</v>
      </c>
      <c r="L384" s="36">
        <v>576</v>
      </c>
      <c r="M384" s="35">
        <v>0.73</v>
      </c>
      <c r="N384" s="21">
        <v>3.2</v>
      </c>
      <c r="O384" s="12">
        <v>0</v>
      </c>
      <c r="P384" s="35">
        <v>100</v>
      </c>
      <c r="Q384" s="35">
        <v>50</v>
      </c>
      <c r="R384" s="35">
        <v>30</v>
      </c>
      <c r="S384" s="35">
        <v>50</v>
      </c>
      <c r="T384" s="35">
        <v>4.34</v>
      </c>
      <c r="U384" s="21">
        <v>0.35399999999999998</v>
      </c>
      <c r="V384" s="37">
        <v>0.77349999999999997</v>
      </c>
      <c r="W384" s="37">
        <v>1.1873333333333334</v>
      </c>
      <c r="X384" s="35" t="s">
        <v>1</v>
      </c>
      <c r="Y384" s="23" t="s">
        <v>6</v>
      </c>
      <c r="Z384" s="21" t="s">
        <v>6</v>
      </c>
      <c r="AA384" s="35" t="s">
        <v>1</v>
      </c>
      <c r="AB384" s="37" t="s">
        <v>1</v>
      </c>
      <c r="AC384" s="1" t="s">
        <v>127</v>
      </c>
    </row>
    <row r="385" spans="1:31" ht="15" customHeight="1">
      <c r="A385" s="35" t="s">
        <v>41</v>
      </c>
      <c r="B385" s="35" t="s">
        <v>3</v>
      </c>
      <c r="C385" s="35" t="s">
        <v>65</v>
      </c>
      <c r="D385" s="36">
        <v>189</v>
      </c>
      <c r="E385" s="12">
        <v>67.17</v>
      </c>
      <c r="F385" s="21">
        <v>12.25</v>
      </c>
      <c r="G385" s="35" t="s">
        <v>84</v>
      </c>
      <c r="H385" s="35" t="s">
        <v>32</v>
      </c>
      <c r="I385" s="21">
        <f t="shared" si="21"/>
        <v>0.11492022423458387</v>
      </c>
      <c r="J385" s="21">
        <f>15.46%/46.38%</f>
        <v>0.33333333333333331</v>
      </c>
      <c r="K385" s="35">
        <v>0</v>
      </c>
      <c r="L385" s="36">
        <v>576</v>
      </c>
      <c r="M385" s="35">
        <v>0.73</v>
      </c>
      <c r="N385" s="21">
        <v>3.2</v>
      </c>
      <c r="O385" s="12">
        <v>0</v>
      </c>
      <c r="P385" s="35">
        <v>100</v>
      </c>
      <c r="Q385" s="35">
        <v>50</v>
      </c>
      <c r="R385" s="35">
        <v>30</v>
      </c>
      <c r="S385" s="35">
        <v>75</v>
      </c>
      <c r="T385" s="35">
        <v>4.5599999999999996</v>
      </c>
      <c r="U385" s="21">
        <v>0.372</v>
      </c>
      <c r="V385" s="37">
        <v>0.9</v>
      </c>
      <c r="W385" s="37">
        <v>1.2965000000000002</v>
      </c>
      <c r="X385" s="35" t="s">
        <v>1</v>
      </c>
      <c r="Y385" s="23" t="s">
        <v>6</v>
      </c>
      <c r="Z385" s="21" t="s">
        <v>6</v>
      </c>
      <c r="AA385" s="35" t="s">
        <v>1</v>
      </c>
      <c r="AB385" s="37" t="s">
        <v>1</v>
      </c>
      <c r="AC385" s="1" t="s">
        <v>127</v>
      </c>
    </row>
    <row r="386" spans="1:31" ht="13.2" customHeight="1">
      <c r="A386" s="35" t="s">
        <v>129</v>
      </c>
      <c r="B386" s="35" t="s">
        <v>29</v>
      </c>
      <c r="C386" s="35" t="s">
        <v>65</v>
      </c>
      <c r="D386" s="36">
        <v>189</v>
      </c>
      <c r="E386" s="12">
        <v>67.17</v>
      </c>
      <c r="F386" s="21">
        <v>12.25</v>
      </c>
      <c r="G386" s="35" t="s">
        <v>128</v>
      </c>
      <c r="H386" s="35" t="s">
        <v>81</v>
      </c>
      <c r="I386" s="21">
        <f t="shared" si="21"/>
        <v>0.11492022423458387</v>
      </c>
      <c r="J386" s="21">
        <f>15.46%/46.38%</f>
        <v>0.33333333333333331</v>
      </c>
      <c r="K386" s="35">
        <v>0</v>
      </c>
      <c r="L386" s="36">
        <v>576</v>
      </c>
      <c r="M386" s="35">
        <v>0.73</v>
      </c>
      <c r="N386" s="21">
        <v>3.2</v>
      </c>
      <c r="O386" s="12">
        <v>0</v>
      </c>
      <c r="P386" s="35">
        <v>15</v>
      </c>
      <c r="Q386" s="35">
        <v>50</v>
      </c>
      <c r="R386" s="35">
        <v>30</v>
      </c>
      <c r="S386" s="35">
        <v>75</v>
      </c>
      <c r="T386" s="35">
        <v>3.58</v>
      </c>
      <c r="U386" s="21">
        <f>T386/F386</f>
        <v>0.29224489795918368</v>
      </c>
      <c r="V386" s="37">
        <v>1.2053333333333331</v>
      </c>
      <c r="W386" s="37">
        <v>2.2123333333333335</v>
      </c>
      <c r="X386" s="35">
        <v>100</v>
      </c>
      <c r="Y386" s="23" t="s">
        <v>6</v>
      </c>
      <c r="Z386" s="21">
        <v>1.71</v>
      </c>
      <c r="AA386" s="35">
        <v>10</v>
      </c>
      <c r="AB386" s="37" t="s">
        <v>1</v>
      </c>
      <c r="AC386" s="1" t="s">
        <v>83</v>
      </c>
    </row>
    <row r="387" spans="1:31" ht="15.45" customHeight="1">
      <c r="A387" s="35" t="s">
        <v>41</v>
      </c>
      <c r="B387" s="35" t="s">
        <v>3</v>
      </c>
      <c r="C387" s="35" t="s">
        <v>65</v>
      </c>
      <c r="D387" s="36">
        <v>189</v>
      </c>
      <c r="E387" s="12">
        <v>54.360000000000007</v>
      </c>
      <c r="F387" s="21">
        <v>12.41</v>
      </c>
      <c r="G387" s="35">
        <v>0</v>
      </c>
      <c r="H387" s="35">
        <v>0</v>
      </c>
      <c r="I387" s="36">
        <f>7.41%/E387</f>
        <v>1.3631346578366443E-3</v>
      </c>
      <c r="J387" s="35">
        <v>0</v>
      </c>
      <c r="K387" s="35">
        <v>0</v>
      </c>
      <c r="L387" s="36">
        <v>576</v>
      </c>
      <c r="M387" s="35">
        <v>0.73</v>
      </c>
      <c r="N387" s="21">
        <v>3.2</v>
      </c>
      <c r="O387" s="12">
        <v>0</v>
      </c>
      <c r="P387" s="35">
        <v>100</v>
      </c>
      <c r="Q387" s="35">
        <v>50</v>
      </c>
      <c r="R387" s="35">
        <v>30</v>
      </c>
      <c r="S387" s="35">
        <v>25</v>
      </c>
      <c r="T387" s="35">
        <v>2.78</v>
      </c>
      <c r="U387" s="21">
        <v>0.224</v>
      </c>
      <c r="V387" s="37">
        <v>38.4</v>
      </c>
      <c r="W387" s="37">
        <v>7.2993333333333332</v>
      </c>
      <c r="X387" s="35" t="s">
        <v>1</v>
      </c>
      <c r="Y387" s="23" t="s">
        <v>6</v>
      </c>
      <c r="Z387" s="21" t="s">
        <v>6</v>
      </c>
      <c r="AA387" s="35" t="s">
        <v>1</v>
      </c>
      <c r="AB387" s="37" t="s">
        <v>1</v>
      </c>
      <c r="AC387" s="1" t="s">
        <v>83</v>
      </c>
    </row>
    <row r="388" spans="1:31" ht="13.2" customHeight="1">
      <c r="A388" s="35" t="s">
        <v>41</v>
      </c>
      <c r="B388" s="35" t="s">
        <v>3</v>
      </c>
      <c r="C388" s="35" t="s">
        <v>65</v>
      </c>
      <c r="D388" s="36">
        <v>189</v>
      </c>
      <c r="E388" s="12">
        <v>54.360000000000007</v>
      </c>
      <c r="F388" s="21">
        <v>12.41</v>
      </c>
      <c r="G388" s="35">
        <v>0</v>
      </c>
      <c r="H388" s="35">
        <v>0</v>
      </c>
      <c r="I388" s="36">
        <f>7.41%/E388</f>
        <v>1.3631346578366443E-3</v>
      </c>
      <c r="J388" s="35">
        <v>0</v>
      </c>
      <c r="K388" s="35">
        <v>0</v>
      </c>
      <c r="L388" s="36">
        <v>576</v>
      </c>
      <c r="M388" s="35">
        <v>0.73</v>
      </c>
      <c r="N388" s="21">
        <v>3.2</v>
      </c>
      <c r="O388" s="12">
        <v>0</v>
      </c>
      <c r="P388" s="35">
        <v>100</v>
      </c>
      <c r="Q388" s="35">
        <v>50</v>
      </c>
      <c r="R388" s="35">
        <v>30</v>
      </c>
      <c r="S388" s="35">
        <v>50</v>
      </c>
      <c r="T388" s="35">
        <v>3.24</v>
      </c>
      <c r="U388" s="21">
        <v>0.26100000000000001</v>
      </c>
      <c r="V388" s="37">
        <v>37.25</v>
      </c>
      <c r="W388" s="37">
        <v>1.536</v>
      </c>
      <c r="X388" s="35" t="s">
        <v>1</v>
      </c>
      <c r="Y388" s="23" t="s">
        <v>6</v>
      </c>
      <c r="Z388" s="21" t="s">
        <v>6</v>
      </c>
      <c r="AA388" s="35" t="s">
        <v>1</v>
      </c>
      <c r="AB388" s="37" t="s">
        <v>1</v>
      </c>
      <c r="AC388" s="1" t="s">
        <v>83</v>
      </c>
    </row>
    <row r="389" spans="1:31" ht="15.45" customHeight="1">
      <c r="A389" s="35" t="s">
        <v>41</v>
      </c>
      <c r="B389" s="35" t="s">
        <v>3</v>
      </c>
      <c r="C389" s="35" t="s">
        <v>65</v>
      </c>
      <c r="D389" s="36">
        <v>189</v>
      </c>
      <c r="E389" s="12">
        <v>54.360000000000007</v>
      </c>
      <c r="F389" s="21">
        <v>12.41</v>
      </c>
      <c r="G389" s="35">
        <v>0</v>
      </c>
      <c r="H389" s="35">
        <v>0</v>
      </c>
      <c r="I389" s="36">
        <f>7.41%/E389</f>
        <v>1.3631346578366443E-3</v>
      </c>
      <c r="J389" s="35">
        <v>0</v>
      </c>
      <c r="K389" s="35">
        <v>0</v>
      </c>
      <c r="L389" s="36">
        <v>576</v>
      </c>
      <c r="M389" s="35">
        <v>0.73</v>
      </c>
      <c r="N389" s="21">
        <v>3.2</v>
      </c>
      <c r="O389" s="12">
        <v>0</v>
      </c>
      <c r="P389" s="35">
        <v>100</v>
      </c>
      <c r="Q389" s="35">
        <v>50</v>
      </c>
      <c r="R389" s="35">
        <v>30</v>
      </c>
      <c r="S389" s="35">
        <v>75</v>
      </c>
      <c r="T389" s="35">
        <v>3.37</v>
      </c>
      <c r="U389" s="21">
        <v>0.27200000000000002</v>
      </c>
      <c r="V389" s="37">
        <v>46.49</v>
      </c>
      <c r="W389" s="37">
        <v>1.1103333333333334</v>
      </c>
      <c r="X389" s="35" t="s">
        <v>1</v>
      </c>
      <c r="Y389" s="23" t="s">
        <v>6</v>
      </c>
      <c r="Z389" s="21" t="s">
        <v>6</v>
      </c>
      <c r="AA389" s="35" t="s">
        <v>1</v>
      </c>
      <c r="AB389" s="37" t="s">
        <v>1</v>
      </c>
      <c r="AC389" s="1" t="s">
        <v>83</v>
      </c>
    </row>
    <row r="390" spans="1:31" ht="14.55" customHeight="1">
      <c r="A390" s="35" t="s">
        <v>129</v>
      </c>
      <c r="B390" s="35" t="s">
        <v>29</v>
      </c>
      <c r="C390" s="35" t="s">
        <v>65</v>
      </c>
      <c r="D390" s="36">
        <v>189</v>
      </c>
      <c r="E390" s="12">
        <v>54.360000000000007</v>
      </c>
      <c r="F390" s="21">
        <v>12.41</v>
      </c>
      <c r="G390" s="35">
        <v>0</v>
      </c>
      <c r="H390" s="35">
        <v>0</v>
      </c>
      <c r="I390" s="36">
        <f>7.41%/E390</f>
        <v>1.3631346578366443E-3</v>
      </c>
      <c r="J390" s="35">
        <v>0</v>
      </c>
      <c r="K390" s="35">
        <v>0</v>
      </c>
      <c r="L390" s="36">
        <v>576</v>
      </c>
      <c r="M390" s="35">
        <v>0.73</v>
      </c>
      <c r="N390" s="21">
        <v>3.2</v>
      </c>
      <c r="O390" s="12">
        <v>0</v>
      </c>
      <c r="P390" s="35">
        <v>15</v>
      </c>
      <c r="Q390" s="35">
        <v>50</v>
      </c>
      <c r="R390" s="35">
        <v>30</v>
      </c>
      <c r="S390" s="35">
        <v>75</v>
      </c>
      <c r="T390" s="35">
        <v>2.6</v>
      </c>
      <c r="U390" s="21">
        <f>T390/F390</f>
        <v>0.20950846091861403</v>
      </c>
      <c r="V390" s="37">
        <v>57.84</v>
      </c>
      <c r="W390" s="37">
        <v>1.556</v>
      </c>
      <c r="X390" s="35">
        <v>100</v>
      </c>
      <c r="Y390" s="23" t="s">
        <v>6</v>
      </c>
      <c r="Z390" s="21">
        <v>2.0099999999999998</v>
      </c>
      <c r="AA390" s="35">
        <v>10</v>
      </c>
      <c r="AB390" s="37" t="s">
        <v>1</v>
      </c>
      <c r="AC390" s="1" t="s">
        <v>83</v>
      </c>
    </row>
    <row r="391" spans="1:31" ht="15" customHeight="1">
      <c r="A391" s="35" t="s">
        <v>41</v>
      </c>
      <c r="B391" s="35" t="s">
        <v>3</v>
      </c>
      <c r="C391" s="35" t="s">
        <v>65</v>
      </c>
      <c r="D391" s="36">
        <v>189</v>
      </c>
      <c r="E391" s="12">
        <v>44.28</v>
      </c>
      <c r="F391" s="48">
        <v>12.41</v>
      </c>
      <c r="G391" s="35">
        <v>0</v>
      </c>
      <c r="H391" s="36">
        <v>0</v>
      </c>
      <c r="I391" s="36">
        <v>0</v>
      </c>
      <c r="J391" s="36">
        <v>0</v>
      </c>
      <c r="K391" s="35">
        <v>0</v>
      </c>
      <c r="L391" s="36">
        <v>576</v>
      </c>
      <c r="M391" s="35">
        <v>0.73</v>
      </c>
      <c r="N391" s="21">
        <v>3.2</v>
      </c>
      <c r="O391" s="12">
        <v>0</v>
      </c>
      <c r="P391" s="35">
        <v>100</v>
      </c>
      <c r="Q391" s="35">
        <v>50</v>
      </c>
      <c r="R391" s="35">
        <v>30</v>
      </c>
      <c r="S391" s="35">
        <v>25</v>
      </c>
      <c r="T391" s="35">
        <v>2.46</v>
      </c>
      <c r="U391" s="21">
        <v>0.19800000000000001</v>
      </c>
      <c r="V391" s="37">
        <v>37.090000000000003</v>
      </c>
      <c r="W391" s="37">
        <v>7.0824999999999996</v>
      </c>
      <c r="X391" s="35" t="s">
        <v>1</v>
      </c>
      <c r="Y391" s="23" t="s">
        <v>6</v>
      </c>
      <c r="Z391" s="21" t="s">
        <v>6</v>
      </c>
      <c r="AA391" s="35" t="s">
        <v>1</v>
      </c>
      <c r="AB391" s="37" t="s">
        <v>1</v>
      </c>
      <c r="AC391" s="1" t="s">
        <v>83</v>
      </c>
    </row>
    <row r="392" spans="1:31" ht="13.8">
      <c r="A392" s="48" t="s">
        <v>129</v>
      </c>
      <c r="B392" s="48" t="s">
        <v>29</v>
      </c>
      <c r="C392" s="35" t="s">
        <v>65</v>
      </c>
      <c r="D392" s="48">
        <v>189</v>
      </c>
      <c r="E392" s="13">
        <v>54.360000000000007</v>
      </c>
      <c r="F392" s="48">
        <v>12.41</v>
      </c>
      <c r="G392" s="48" t="s">
        <v>128</v>
      </c>
      <c r="H392" s="35">
        <v>0</v>
      </c>
      <c r="I392" s="26">
        <f>7.41%/45.64%</f>
        <v>0.16235758106923751</v>
      </c>
      <c r="J392" s="36">
        <v>0</v>
      </c>
      <c r="K392" s="35">
        <v>0</v>
      </c>
      <c r="L392" s="36">
        <v>576</v>
      </c>
      <c r="M392" s="48">
        <v>0.73</v>
      </c>
      <c r="N392" s="48">
        <v>3.2</v>
      </c>
      <c r="O392" s="12">
        <v>0</v>
      </c>
      <c r="P392" s="35">
        <v>100</v>
      </c>
      <c r="Q392" s="35">
        <v>50</v>
      </c>
      <c r="R392" s="35">
        <v>30</v>
      </c>
      <c r="S392" s="48">
        <v>25</v>
      </c>
      <c r="T392" s="48">
        <v>2.78</v>
      </c>
      <c r="U392" s="26">
        <v>0.224</v>
      </c>
      <c r="V392" s="37">
        <v>0.64</v>
      </c>
      <c r="W392" s="51">
        <v>7.2993333333333332</v>
      </c>
      <c r="X392" s="35" t="s">
        <v>1</v>
      </c>
      <c r="Y392" s="23" t="s">
        <v>6</v>
      </c>
      <c r="Z392" s="26" t="s">
        <v>6</v>
      </c>
      <c r="AA392" s="48" t="s">
        <v>6</v>
      </c>
      <c r="AB392" s="37">
        <v>45.49</v>
      </c>
      <c r="AC392" s="1" t="s">
        <v>83</v>
      </c>
      <c r="AD392" s="53"/>
      <c r="AE392" s="53"/>
    </row>
    <row r="393" spans="1:31" ht="13.8">
      <c r="A393" s="48" t="s">
        <v>129</v>
      </c>
      <c r="B393" s="48" t="s">
        <v>29</v>
      </c>
      <c r="C393" s="35" t="s">
        <v>65</v>
      </c>
      <c r="D393" s="48">
        <v>189</v>
      </c>
      <c r="E393" s="13">
        <v>54.360000000000007</v>
      </c>
      <c r="F393" s="48">
        <v>12.41</v>
      </c>
      <c r="G393" s="48" t="s">
        <v>128</v>
      </c>
      <c r="H393" s="35">
        <v>0</v>
      </c>
      <c r="I393" s="26">
        <f t="shared" ref="I393:I395" si="22">7.41%/45.64%</f>
        <v>0.16235758106923751</v>
      </c>
      <c r="J393" s="36">
        <v>0</v>
      </c>
      <c r="K393" s="35">
        <v>0</v>
      </c>
      <c r="L393" s="36">
        <v>576</v>
      </c>
      <c r="M393" s="48">
        <v>0.73</v>
      </c>
      <c r="N393" s="48">
        <v>3.2</v>
      </c>
      <c r="O393" s="12">
        <v>0</v>
      </c>
      <c r="P393" s="35">
        <v>100</v>
      </c>
      <c r="Q393" s="35">
        <v>50</v>
      </c>
      <c r="R393" s="35">
        <v>30</v>
      </c>
      <c r="S393" s="48">
        <v>50</v>
      </c>
      <c r="T393" s="48">
        <v>3.24</v>
      </c>
      <c r="U393" s="26">
        <v>0.26100000000000001</v>
      </c>
      <c r="V393" s="37">
        <v>0.62083333333333335</v>
      </c>
      <c r="W393" s="51">
        <v>1.536</v>
      </c>
      <c r="X393" s="35" t="s">
        <v>1</v>
      </c>
      <c r="Y393" s="23" t="s">
        <v>6</v>
      </c>
      <c r="Z393" s="26" t="s">
        <v>6</v>
      </c>
      <c r="AA393" s="48" t="s">
        <v>6</v>
      </c>
      <c r="AB393" s="37" t="s">
        <v>1</v>
      </c>
      <c r="AC393" s="1" t="s">
        <v>83</v>
      </c>
      <c r="AD393" s="53"/>
      <c r="AE393" s="53"/>
    </row>
    <row r="394" spans="1:31" ht="13.8">
      <c r="A394" s="48" t="s">
        <v>129</v>
      </c>
      <c r="B394" s="48" t="s">
        <v>29</v>
      </c>
      <c r="C394" s="35" t="s">
        <v>65</v>
      </c>
      <c r="D394" s="48">
        <v>189</v>
      </c>
      <c r="E394" s="13">
        <v>54.360000000000007</v>
      </c>
      <c r="F394" s="48">
        <v>12.41</v>
      </c>
      <c r="G394" s="48" t="s">
        <v>128</v>
      </c>
      <c r="H394" s="35">
        <v>0</v>
      </c>
      <c r="I394" s="26">
        <f t="shared" si="22"/>
        <v>0.16235758106923751</v>
      </c>
      <c r="J394" s="36">
        <v>0</v>
      </c>
      <c r="K394" s="35">
        <v>0</v>
      </c>
      <c r="L394" s="36">
        <v>576</v>
      </c>
      <c r="M394" s="48">
        <v>0.73</v>
      </c>
      <c r="N394" s="48">
        <v>3.2</v>
      </c>
      <c r="O394" s="12">
        <v>0</v>
      </c>
      <c r="P394" s="35">
        <v>100</v>
      </c>
      <c r="Q394" s="35">
        <v>50</v>
      </c>
      <c r="R394" s="35">
        <v>30</v>
      </c>
      <c r="S394" s="48">
        <v>75</v>
      </c>
      <c r="T394" s="48">
        <v>3.37</v>
      </c>
      <c r="U394" s="26">
        <v>0.27200000000000002</v>
      </c>
      <c r="V394" s="51">
        <v>0.77483333333333337</v>
      </c>
      <c r="W394" s="51">
        <v>1.1103333333333334</v>
      </c>
      <c r="X394" s="35" t="s">
        <v>1</v>
      </c>
      <c r="Y394" s="23" t="s">
        <v>6</v>
      </c>
      <c r="Z394" s="26" t="s">
        <v>6</v>
      </c>
      <c r="AA394" s="48" t="s">
        <v>6</v>
      </c>
      <c r="AB394" s="37" t="s">
        <v>1</v>
      </c>
      <c r="AC394" s="1" t="s">
        <v>83</v>
      </c>
      <c r="AD394" s="53"/>
      <c r="AE394" s="53"/>
    </row>
    <row r="395" spans="1:31" ht="13.8">
      <c r="A395" s="48" t="s">
        <v>129</v>
      </c>
      <c r="B395" s="48" t="s">
        <v>29</v>
      </c>
      <c r="C395" s="35" t="s">
        <v>65</v>
      </c>
      <c r="D395" s="48">
        <v>189</v>
      </c>
      <c r="E395" s="13">
        <v>54.360000000000007</v>
      </c>
      <c r="F395" s="48">
        <v>12.41</v>
      </c>
      <c r="G395" s="48" t="s">
        <v>128</v>
      </c>
      <c r="H395" s="35">
        <v>0</v>
      </c>
      <c r="I395" s="26">
        <f t="shared" si="22"/>
        <v>0.16235758106923751</v>
      </c>
      <c r="J395" s="36">
        <v>0</v>
      </c>
      <c r="K395" s="35">
        <v>0</v>
      </c>
      <c r="L395" s="36">
        <v>576</v>
      </c>
      <c r="M395" s="48">
        <v>0.73</v>
      </c>
      <c r="N395" s="48">
        <v>3.2</v>
      </c>
      <c r="O395" s="12">
        <v>0</v>
      </c>
      <c r="P395" s="35">
        <v>15</v>
      </c>
      <c r="Q395" s="35">
        <v>50</v>
      </c>
      <c r="R395" s="35">
        <v>30</v>
      </c>
      <c r="S395" s="48">
        <v>75</v>
      </c>
      <c r="T395" s="48">
        <v>2.6</v>
      </c>
      <c r="U395" s="26">
        <v>0.20949999999999999</v>
      </c>
      <c r="V395" s="51">
        <v>0.96400000000000008</v>
      </c>
      <c r="W395" s="51">
        <v>1.556</v>
      </c>
      <c r="X395" s="35">
        <v>100</v>
      </c>
      <c r="Y395" s="23" t="s">
        <v>6</v>
      </c>
      <c r="Z395" s="26">
        <v>2.0099999999999998</v>
      </c>
      <c r="AA395" s="48">
        <v>10</v>
      </c>
      <c r="AB395" s="37" t="s">
        <v>1</v>
      </c>
      <c r="AC395" s="1" t="s">
        <v>83</v>
      </c>
      <c r="AD395" s="53"/>
      <c r="AE395" s="53"/>
    </row>
    <row r="396" spans="1:31">
      <c r="A396" s="35" t="s">
        <v>129</v>
      </c>
      <c r="B396" s="35" t="s">
        <v>29</v>
      </c>
      <c r="C396" s="35" t="s">
        <v>65</v>
      </c>
      <c r="D396" s="36">
        <v>189</v>
      </c>
      <c r="E396" s="12">
        <v>44.28</v>
      </c>
      <c r="F396" s="21">
        <v>12.41</v>
      </c>
      <c r="G396" s="35">
        <v>0</v>
      </c>
      <c r="H396" s="36">
        <v>0</v>
      </c>
      <c r="I396" s="36">
        <v>0</v>
      </c>
      <c r="J396" s="36">
        <v>0</v>
      </c>
      <c r="K396" s="35">
        <v>0</v>
      </c>
      <c r="L396" s="36">
        <v>576</v>
      </c>
      <c r="M396" s="35">
        <v>0.73</v>
      </c>
      <c r="N396" s="21">
        <v>3.2</v>
      </c>
      <c r="O396" s="12">
        <v>0</v>
      </c>
      <c r="P396" s="35">
        <v>100</v>
      </c>
      <c r="Q396" s="35">
        <v>50</v>
      </c>
      <c r="R396" s="35">
        <v>30</v>
      </c>
      <c r="S396" s="35">
        <v>25</v>
      </c>
      <c r="T396" s="35">
        <v>2.46</v>
      </c>
      <c r="U396" s="26">
        <v>0.19800000000000001</v>
      </c>
      <c r="V396" s="51">
        <v>0.61816666666666675</v>
      </c>
      <c r="W396" s="51">
        <v>7.0824999999999996</v>
      </c>
      <c r="X396" s="35" t="s">
        <v>6</v>
      </c>
      <c r="Y396" s="23" t="s">
        <v>6</v>
      </c>
      <c r="Z396" s="21" t="s">
        <v>6</v>
      </c>
      <c r="AA396" s="35" t="s">
        <v>6</v>
      </c>
      <c r="AB396" s="37">
        <v>41.95</v>
      </c>
      <c r="AC396" s="1" t="s">
        <v>83</v>
      </c>
    </row>
    <row r="397" spans="1:31" ht="13.2" customHeight="1">
      <c r="A397" s="35" t="s">
        <v>41</v>
      </c>
      <c r="B397" s="35" t="s">
        <v>3</v>
      </c>
      <c r="C397" s="35" t="s">
        <v>65</v>
      </c>
      <c r="D397" s="36">
        <v>189</v>
      </c>
      <c r="E397" s="12">
        <v>44.28</v>
      </c>
      <c r="F397" s="21">
        <v>12.41</v>
      </c>
      <c r="G397" s="35">
        <v>0</v>
      </c>
      <c r="H397" s="36">
        <v>0</v>
      </c>
      <c r="I397" s="36">
        <v>0</v>
      </c>
      <c r="J397" s="36">
        <v>0</v>
      </c>
      <c r="K397" s="35">
        <v>0</v>
      </c>
      <c r="L397" s="36">
        <v>576</v>
      </c>
      <c r="M397" s="35">
        <v>0.73</v>
      </c>
      <c r="N397" s="21">
        <v>3.2</v>
      </c>
      <c r="O397" s="12">
        <v>0</v>
      </c>
      <c r="P397" s="35">
        <v>100</v>
      </c>
      <c r="Q397" s="35">
        <v>50</v>
      </c>
      <c r="R397" s="35">
        <v>30</v>
      </c>
      <c r="S397" s="35">
        <v>50</v>
      </c>
      <c r="T397" s="35">
        <v>2.78</v>
      </c>
      <c r="U397" s="21">
        <v>0.224</v>
      </c>
      <c r="V397" s="37">
        <v>0.57733333333333337</v>
      </c>
      <c r="W397" s="37">
        <v>1.5576666666666665</v>
      </c>
      <c r="X397" s="35" t="s">
        <v>1</v>
      </c>
      <c r="Y397" s="23" t="s">
        <v>6</v>
      </c>
      <c r="Z397" s="21" t="s">
        <v>6</v>
      </c>
      <c r="AA397" s="35" t="s">
        <v>1</v>
      </c>
      <c r="AB397" s="35" t="s">
        <v>1</v>
      </c>
      <c r="AC397" s="1" t="s">
        <v>83</v>
      </c>
    </row>
    <row r="398" spans="1:31">
      <c r="A398" s="35" t="s">
        <v>41</v>
      </c>
      <c r="B398" s="35" t="s">
        <v>3</v>
      </c>
      <c r="C398" s="35" t="s">
        <v>65</v>
      </c>
      <c r="D398" s="36">
        <v>189</v>
      </c>
      <c r="E398" s="12">
        <v>44.28</v>
      </c>
      <c r="F398" s="21">
        <v>12.41</v>
      </c>
      <c r="G398" s="35">
        <v>0</v>
      </c>
      <c r="H398" s="36">
        <v>0</v>
      </c>
      <c r="I398" s="36">
        <v>0</v>
      </c>
      <c r="J398" s="36">
        <v>0</v>
      </c>
      <c r="K398" s="35">
        <v>0</v>
      </c>
      <c r="L398" s="36">
        <v>576</v>
      </c>
      <c r="M398" s="35">
        <v>0.73</v>
      </c>
      <c r="N398" s="21">
        <v>3.2</v>
      </c>
      <c r="O398" s="12">
        <v>0</v>
      </c>
      <c r="P398" s="35">
        <v>100</v>
      </c>
      <c r="Q398" s="35">
        <v>50</v>
      </c>
      <c r="R398" s="35">
        <v>30</v>
      </c>
      <c r="S398" s="35">
        <v>75</v>
      </c>
      <c r="T398" s="35">
        <v>2.9</v>
      </c>
      <c r="U398" s="21">
        <v>0.23400000000000001</v>
      </c>
      <c r="V398" s="37">
        <v>0.73366666666666669</v>
      </c>
      <c r="W398" s="37">
        <v>1.1789999999999998</v>
      </c>
      <c r="X398" s="35" t="s">
        <v>1</v>
      </c>
      <c r="Y398" s="23" t="s">
        <v>6</v>
      </c>
      <c r="Z398" s="21" t="s">
        <v>6</v>
      </c>
      <c r="AA398" s="35" t="s">
        <v>1</v>
      </c>
      <c r="AB398" s="35" t="s">
        <v>1</v>
      </c>
      <c r="AC398" s="1" t="s">
        <v>83</v>
      </c>
    </row>
    <row r="399" spans="1:31">
      <c r="A399" s="35" t="s">
        <v>129</v>
      </c>
      <c r="B399" s="35" t="s">
        <v>29</v>
      </c>
      <c r="C399" s="35" t="s">
        <v>65</v>
      </c>
      <c r="D399" s="36">
        <v>189</v>
      </c>
      <c r="E399" s="12">
        <v>44.28</v>
      </c>
      <c r="F399" s="21">
        <v>12.41</v>
      </c>
      <c r="G399" s="35">
        <v>0</v>
      </c>
      <c r="H399" s="36">
        <v>0</v>
      </c>
      <c r="I399" s="36">
        <v>0</v>
      </c>
      <c r="J399" s="36">
        <v>0</v>
      </c>
      <c r="K399" s="35">
        <v>0</v>
      </c>
      <c r="L399" s="36">
        <v>576</v>
      </c>
      <c r="M399" s="35">
        <v>0.73</v>
      </c>
      <c r="N399" s="21">
        <v>3.2</v>
      </c>
      <c r="O399" s="12">
        <v>0</v>
      </c>
      <c r="P399" s="35">
        <v>15</v>
      </c>
      <c r="Q399" s="35">
        <v>50</v>
      </c>
      <c r="R399" s="35">
        <v>30</v>
      </c>
      <c r="S399" s="35">
        <v>75</v>
      </c>
      <c r="T399" s="35">
        <v>2.46</v>
      </c>
      <c r="U399" s="21">
        <f>T399/F399</f>
        <v>0.19822723609991941</v>
      </c>
      <c r="V399" s="37">
        <v>0.70283333333333331</v>
      </c>
      <c r="W399" s="37">
        <v>1.1205000000000001</v>
      </c>
      <c r="X399" s="35">
        <v>100</v>
      </c>
      <c r="Y399" s="23" t="s">
        <v>6</v>
      </c>
      <c r="Z399" s="21">
        <v>12.770000000000001</v>
      </c>
      <c r="AA399" s="35">
        <v>10</v>
      </c>
      <c r="AB399" s="35" t="s">
        <v>1</v>
      </c>
      <c r="AC399" s="1" t="s">
        <v>83</v>
      </c>
    </row>
    <row r="400" spans="1:31" ht="14.55" customHeight="1">
      <c r="A400" s="35" t="s">
        <v>41</v>
      </c>
      <c r="B400" s="35" t="s">
        <v>3</v>
      </c>
      <c r="C400" s="35" t="s">
        <v>65</v>
      </c>
      <c r="D400" s="36">
        <v>189</v>
      </c>
      <c r="E400" s="12">
        <v>68.459999999999994</v>
      </c>
      <c r="F400" s="21">
        <f t="shared" ref="F400:F407" si="23">T400/U400</f>
        <v>12.339743589743589</v>
      </c>
      <c r="G400" s="35" t="s">
        <v>84</v>
      </c>
      <c r="H400" s="35" t="s">
        <v>32</v>
      </c>
      <c r="I400" s="21">
        <f>1.28%/46.72%</f>
        <v>2.7397260273972605E-2</v>
      </c>
      <c r="J400" s="21">
        <f>20.46%/46.72%</f>
        <v>0.43792808219178081</v>
      </c>
      <c r="K400" s="35">
        <v>0</v>
      </c>
      <c r="L400" s="36">
        <v>576</v>
      </c>
      <c r="M400" s="35">
        <v>0.73</v>
      </c>
      <c r="N400" s="21">
        <v>3.2</v>
      </c>
      <c r="O400" s="12">
        <v>0</v>
      </c>
      <c r="P400" s="35">
        <v>100</v>
      </c>
      <c r="Q400" s="35">
        <v>50</v>
      </c>
      <c r="R400" s="35">
        <v>30</v>
      </c>
      <c r="S400" s="35">
        <v>25</v>
      </c>
      <c r="T400" s="35">
        <v>3.85</v>
      </c>
      <c r="U400" s="21">
        <v>0.312</v>
      </c>
      <c r="V400" s="37">
        <v>0.6954999999999999</v>
      </c>
      <c r="W400" s="37">
        <v>12.540333333333333</v>
      </c>
      <c r="X400" s="35" t="s">
        <v>1</v>
      </c>
      <c r="Y400" s="23" t="s">
        <v>6</v>
      </c>
      <c r="Z400" s="21" t="s">
        <v>6</v>
      </c>
      <c r="AA400" s="35" t="s">
        <v>1</v>
      </c>
      <c r="AB400" s="35" t="s">
        <v>1</v>
      </c>
      <c r="AC400" s="1" t="s">
        <v>83</v>
      </c>
    </row>
    <row r="401" spans="1:29">
      <c r="A401" s="35" t="s">
        <v>41</v>
      </c>
      <c r="B401" s="35" t="s">
        <v>3</v>
      </c>
      <c r="C401" s="35" t="s">
        <v>65</v>
      </c>
      <c r="D401" s="36">
        <v>189</v>
      </c>
      <c r="E401" s="12">
        <v>66.47999999999999</v>
      </c>
      <c r="F401" s="21">
        <f t="shared" si="23"/>
        <v>12.079510703363914</v>
      </c>
      <c r="G401" s="35" t="s">
        <v>84</v>
      </c>
      <c r="H401" s="35" t="s">
        <v>32</v>
      </c>
      <c r="I401" s="21">
        <f>3.75%/45.67%</f>
        <v>8.2110794832493977E-2</v>
      </c>
      <c r="J401" s="21">
        <f>17.06%/45.67%</f>
        <v>0.37354937595795923</v>
      </c>
      <c r="K401" s="35">
        <v>0</v>
      </c>
      <c r="L401" s="36">
        <v>576</v>
      </c>
      <c r="M401" s="35">
        <v>0.73</v>
      </c>
      <c r="N401" s="21">
        <v>3.2</v>
      </c>
      <c r="O401" s="12">
        <v>0</v>
      </c>
      <c r="P401" s="35">
        <v>100</v>
      </c>
      <c r="Q401" s="35">
        <v>50</v>
      </c>
      <c r="R401" s="35">
        <v>30</v>
      </c>
      <c r="S401" s="35">
        <v>25</v>
      </c>
      <c r="T401" s="35">
        <v>3.95</v>
      </c>
      <c r="U401" s="21">
        <v>0.32700000000000001</v>
      </c>
      <c r="V401" s="37">
        <v>0.6954999999999999</v>
      </c>
      <c r="W401" s="37">
        <v>1.6619999999999999</v>
      </c>
      <c r="X401" s="35" t="s">
        <v>1</v>
      </c>
      <c r="Y401" s="23" t="s">
        <v>6</v>
      </c>
      <c r="Z401" s="21" t="s">
        <v>6</v>
      </c>
      <c r="AA401" s="35" t="s">
        <v>1</v>
      </c>
      <c r="AB401" s="35" t="s">
        <v>1</v>
      </c>
      <c r="AC401" s="1" t="s">
        <v>83</v>
      </c>
    </row>
    <row r="402" spans="1:29">
      <c r="A402" s="35" t="s">
        <v>41</v>
      </c>
      <c r="B402" s="35" t="s">
        <v>3</v>
      </c>
      <c r="C402" s="35" t="s">
        <v>65</v>
      </c>
      <c r="D402" s="36">
        <v>189</v>
      </c>
      <c r="E402" s="12">
        <v>67.19</v>
      </c>
      <c r="F402" s="21">
        <f t="shared" si="23"/>
        <v>12.507936507936508</v>
      </c>
      <c r="G402" s="35" t="s">
        <v>84</v>
      </c>
      <c r="H402" s="35" t="s">
        <v>32</v>
      </c>
      <c r="I402" s="21">
        <f>11.97%/47.26%</f>
        <v>0.25327972915785019</v>
      </c>
      <c r="J402" s="21">
        <f>7.96%/47.26%</f>
        <v>0.1684299619128227</v>
      </c>
      <c r="K402" s="35">
        <v>0</v>
      </c>
      <c r="L402" s="36">
        <v>576</v>
      </c>
      <c r="M402" s="35">
        <v>0.73</v>
      </c>
      <c r="N402" s="21">
        <v>3.2</v>
      </c>
      <c r="O402" s="12">
        <v>0</v>
      </c>
      <c r="P402" s="35">
        <v>100</v>
      </c>
      <c r="Q402" s="35">
        <v>50</v>
      </c>
      <c r="R402" s="35">
        <v>30</v>
      </c>
      <c r="S402" s="35">
        <v>25</v>
      </c>
      <c r="T402" s="35">
        <v>3.94</v>
      </c>
      <c r="U402" s="21">
        <v>0.315</v>
      </c>
      <c r="V402" s="37">
        <v>0.6954999999999999</v>
      </c>
      <c r="W402" s="37">
        <v>3.6051666666666669</v>
      </c>
      <c r="X402" s="35" t="s">
        <v>1</v>
      </c>
      <c r="Y402" s="23" t="s">
        <v>6</v>
      </c>
      <c r="Z402" s="21" t="s">
        <v>6</v>
      </c>
      <c r="AA402" s="35" t="s">
        <v>1</v>
      </c>
      <c r="AB402" s="35" t="s">
        <v>1</v>
      </c>
      <c r="AC402" s="1" t="s">
        <v>83</v>
      </c>
    </row>
    <row r="403" spans="1:29">
      <c r="A403" s="35" t="s">
        <v>41</v>
      </c>
      <c r="B403" s="35" t="s">
        <v>3</v>
      </c>
      <c r="C403" s="35" t="s">
        <v>65</v>
      </c>
      <c r="D403" s="36">
        <v>189</v>
      </c>
      <c r="E403" s="12">
        <v>68.710000000000008</v>
      </c>
      <c r="F403" s="21">
        <f t="shared" si="23"/>
        <v>12.295081967213115</v>
      </c>
      <c r="G403" s="35" t="s">
        <v>84</v>
      </c>
      <c r="H403" s="35" t="s">
        <v>32</v>
      </c>
      <c r="I403" s="21">
        <f>19.09%/46.52%</f>
        <v>0.4103611349957007</v>
      </c>
      <c r="J403" s="21">
        <f>3.1%/46.52%</f>
        <v>6.6638005159071353E-2</v>
      </c>
      <c r="K403" s="35">
        <v>0</v>
      </c>
      <c r="L403" s="36">
        <v>576</v>
      </c>
      <c r="M403" s="35">
        <v>0.73</v>
      </c>
      <c r="N403" s="21">
        <v>3.2</v>
      </c>
      <c r="O403" s="12">
        <v>0</v>
      </c>
      <c r="P403" s="35">
        <v>100</v>
      </c>
      <c r="Q403" s="35">
        <v>50</v>
      </c>
      <c r="R403" s="35">
        <v>30</v>
      </c>
      <c r="S403" s="35">
        <v>25</v>
      </c>
      <c r="T403" s="35">
        <v>3.75</v>
      </c>
      <c r="U403" s="21">
        <v>0.30499999999999999</v>
      </c>
      <c r="V403" s="37">
        <v>0.6954999999999999</v>
      </c>
      <c r="W403" s="37">
        <v>3.3001666666666667</v>
      </c>
      <c r="X403" s="35" t="s">
        <v>1</v>
      </c>
      <c r="Y403" s="23" t="s">
        <v>6</v>
      </c>
      <c r="Z403" s="21" t="s">
        <v>6</v>
      </c>
      <c r="AA403" s="35" t="s">
        <v>1</v>
      </c>
      <c r="AB403" s="35" t="s">
        <v>1</v>
      </c>
      <c r="AC403" s="1" t="s">
        <v>83</v>
      </c>
    </row>
    <row r="404" spans="1:29">
      <c r="A404" s="35" t="s">
        <v>41</v>
      </c>
      <c r="B404" s="35" t="s">
        <v>3</v>
      </c>
      <c r="C404" s="35" t="s">
        <v>65</v>
      </c>
      <c r="D404" s="36">
        <v>189</v>
      </c>
      <c r="E404" s="12">
        <v>50.760000000000005</v>
      </c>
      <c r="F404" s="21">
        <f t="shared" si="23"/>
        <v>12.9</v>
      </c>
      <c r="G404" s="35" t="s">
        <v>84</v>
      </c>
      <c r="H404" s="35">
        <v>0</v>
      </c>
      <c r="I404" s="21">
        <f>2.02%/49.24%</f>
        <v>4.1023558082859464E-2</v>
      </c>
      <c r="J404" s="36">
        <v>0</v>
      </c>
      <c r="K404" s="35">
        <v>0</v>
      </c>
      <c r="L404" s="36">
        <v>576</v>
      </c>
      <c r="M404" s="35">
        <v>0.73</v>
      </c>
      <c r="N404" s="21">
        <v>3.2</v>
      </c>
      <c r="O404" s="12">
        <v>0</v>
      </c>
      <c r="P404" s="35">
        <v>100</v>
      </c>
      <c r="Q404" s="35">
        <v>50</v>
      </c>
      <c r="R404" s="35">
        <v>30</v>
      </c>
      <c r="S404" s="35">
        <v>25</v>
      </c>
      <c r="T404" s="35">
        <v>2.58</v>
      </c>
      <c r="U404" s="21">
        <v>0.2</v>
      </c>
      <c r="V404" s="37">
        <v>0.69833333333333336</v>
      </c>
      <c r="W404" s="37">
        <v>0.78116666666666668</v>
      </c>
      <c r="X404" s="35" t="s">
        <v>1</v>
      </c>
      <c r="Y404" s="23" t="s">
        <v>6</v>
      </c>
      <c r="Z404" s="21" t="s">
        <v>6</v>
      </c>
      <c r="AA404" s="35" t="s">
        <v>1</v>
      </c>
      <c r="AB404" s="35" t="s">
        <v>1</v>
      </c>
      <c r="AC404" s="1" t="s">
        <v>83</v>
      </c>
    </row>
    <row r="405" spans="1:29">
      <c r="A405" s="35" t="s">
        <v>41</v>
      </c>
      <c r="B405" s="35" t="s">
        <v>3</v>
      </c>
      <c r="C405" s="35" t="s">
        <v>65</v>
      </c>
      <c r="D405" s="36">
        <v>189</v>
      </c>
      <c r="E405" s="12">
        <v>51.28</v>
      </c>
      <c r="F405" s="21">
        <f t="shared" si="23"/>
        <v>12.136363636363637</v>
      </c>
      <c r="G405" s="35" t="s">
        <v>84</v>
      </c>
      <c r="H405" s="35">
        <v>0</v>
      </c>
      <c r="I405" s="21">
        <f>5.46%/48.72%</f>
        <v>0.1120689655172414</v>
      </c>
      <c r="J405" s="36">
        <v>0</v>
      </c>
      <c r="K405" s="35">
        <v>0</v>
      </c>
      <c r="L405" s="36">
        <v>576</v>
      </c>
      <c r="M405" s="35">
        <v>0.73</v>
      </c>
      <c r="N405" s="21">
        <v>3.2</v>
      </c>
      <c r="O405" s="12">
        <v>0</v>
      </c>
      <c r="P405" s="35">
        <v>100</v>
      </c>
      <c r="Q405" s="35">
        <v>50</v>
      </c>
      <c r="R405" s="35">
        <v>30</v>
      </c>
      <c r="S405" s="35">
        <v>25</v>
      </c>
      <c r="T405" s="35">
        <v>2.67</v>
      </c>
      <c r="U405" s="21">
        <v>0.22</v>
      </c>
      <c r="V405" s="37">
        <v>0.69833333333333336</v>
      </c>
      <c r="W405" s="37">
        <v>0.78116666666666668</v>
      </c>
      <c r="X405" s="35" t="s">
        <v>1</v>
      </c>
      <c r="Y405" s="23" t="s">
        <v>6</v>
      </c>
      <c r="Z405" s="21" t="s">
        <v>6</v>
      </c>
      <c r="AA405" s="35" t="s">
        <v>1</v>
      </c>
      <c r="AB405" s="35" t="s">
        <v>1</v>
      </c>
      <c r="AC405" s="1" t="s">
        <v>83</v>
      </c>
    </row>
    <row r="406" spans="1:29">
      <c r="A406" s="35" t="s">
        <v>41</v>
      </c>
      <c r="B406" s="35" t="s">
        <v>3</v>
      </c>
      <c r="C406" s="35" t="s">
        <v>65</v>
      </c>
      <c r="D406" s="36">
        <v>189</v>
      </c>
      <c r="E406" s="12">
        <v>60.589999999999996</v>
      </c>
      <c r="F406" s="21">
        <f t="shared" si="23"/>
        <v>11.674008810572687</v>
      </c>
      <c r="G406" s="35" t="s">
        <v>84</v>
      </c>
      <c r="H406" s="35">
        <v>0</v>
      </c>
      <c r="I406" s="21">
        <f>14.38%/39.41%</f>
        <v>0.36488200964222284</v>
      </c>
      <c r="J406" s="36">
        <v>0</v>
      </c>
      <c r="K406" s="35">
        <v>0</v>
      </c>
      <c r="L406" s="36">
        <v>576</v>
      </c>
      <c r="M406" s="35">
        <v>0.73</v>
      </c>
      <c r="N406" s="21">
        <v>3.2</v>
      </c>
      <c r="O406" s="12">
        <v>0</v>
      </c>
      <c r="P406" s="35">
        <v>100</v>
      </c>
      <c r="Q406" s="35">
        <v>50</v>
      </c>
      <c r="R406" s="35">
        <v>30</v>
      </c>
      <c r="S406" s="35">
        <v>25</v>
      </c>
      <c r="T406" s="35">
        <v>2.65</v>
      </c>
      <c r="U406" s="21">
        <v>0.22700000000000001</v>
      </c>
      <c r="V406" s="37">
        <v>0.69833333333333336</v>
      </c>
      <c r="W406" s="37">
        <v>0.78116666666666668</v>
      </c>
      <c r="X406" s="35" t="s">
        <v>1</v>
      </c>
      <c r="Y406" s="23" t="s">
        <v>6</v>
      </c>
      <c r="Z406" s="21" t="s">
        <v>6</v>
      </c>
      <c r="AA406" s="35" t="s">
        <v>1</v>
      </c>
      <c r="AB406" s="35" t="s">
        <v>1</v>
      </c>
      <c r="AC406" s="1" t="s">
        <v>83</v>
      </c>
    </row>
    <row r="407" spans="1:29">
      <c r="A407" s="35" t="s">
        <v>41</v>
      </c>
      <c r="B407" s="35" t="s">
        <v>3</v>
      </c>
      <c r="C407" s="35" t="s">
        <v>65</v>
      </c>
      <c r="D407" s="36">
        <v>189</v>
      </c>
      <c r="E407" s="12">
        <v>67.55</v>
      </c>
      <c r="F407" s="21">
        <f t="shared" si="23"/>
        <v>12.638888888888889</v>
      </c>
      <c r="G407" s="35" t="s">
        <v>84</v>
      </c>
      <c r="H407" s="35">
        <v>0</v>
      </c>
      <c r="I407" s="21">
        <f>19.85%/47.7%</f>
        <v>0.4161425576519916</v>
      </c>
      <c r="J407" s="36">
        <v>0</v>
      </c>
      <c r="K407" s="35">
        <v>0</v>
      </c>
      <c r="L407" s="36">
        <v>576</v>
      </c>
      <c r="M407" s="35">
        <v>0.73</v>
      </c>
      <c r="N407" s="21">
        <v>3.2</v>
      </c>
      <c r="O407" s="12">
        <v>0</v>
      </c>
      <c r="P407" s="35">
        <v>100</v>
      </c>
      <c r="Q407" s="35">
        <v>50</v>
      </c>
      <c r="R407" s="35">
        <v>30</v>
      </c>
      <c r="S407" s="35">
        <v>25</v>
      </c>
      <c r="T407" s="35">
        <v>2.73</v>
      </c>
      <c r="U407" s="21">
        <v>0.216</v>
      </c>
      <c r="V407" s="37">
        <v>0.69833333333333336</v>
      </c>
      <c r="W407" s="37">
        <v>0.82866666666666666</v>
      </c>
      <c r="X407" s="35" t="s">
        <v>1</v>
      </c>
      <c r="Y407" s="23" t="s">
        <v>6</v>
      </c>
      <c r="Z407" s="21" t="s">
        <v>6</v>
      </c>
      <c r="AA407" s="35" t="s">
        <v>1</v>
      </c>
      <c r="AB407" s="35" t="s">
        <v>1</v>
      </c>
      <c r="AC407" s="2" t="s">
        <v>83</v>
      </c>
    </row>
    <row r="408" spans="1:29">
      <c r="A408" s="35" t="s">
        <v>198</v>
      </c>
      <c r="B408" s="35" t="s">
        <v>180</v>
      </c>
      <c r="C408" s="35" t="s">
        <v>60</v>
      </c>
      <c r="D408" s="36">
        <v>600</v>
      </c>
      <c r="E408" s="12">
        <v>45.1</v>
      </c>
      <c r="F408" s="21">
        <v>10.5</v>
      </c>
      <c r="G408" s="35">
        <v>0</v>
      </c>
      <c r="H408" s="35">
        <v>0</v>
      </c>
      <c r="I408" s="36">
        <v>0</v>
      </c>
      <c r="J408" s="35">
        <v>0</v>
      </c>
      <c r="K408" s="35">
        <v>0</v>
      </c>
      <c r="L408" s="36">
        <v>300</v>
      </c>
      <c r="M408" s="35">
        <v>1.3</v>
      </c>
      <c r="N408" s="21">
        <v>17</v>
      </c>
      <c r="O408" s="12">
        <v>0</v>
      </c>
      <c r="P408" s="35">
        <v>0.04</v>
      </c>
      <c r="Q408" s="35">
        <v>100</v>
      </c>
      <c r="R408" s="35">
        <v>1440</v>
      </c>
      <c r="S408" s="35">
        <v>25</v>
      </c>
      <c r="T408" s="35">
        <v>2.36</v>
      </c>
      <c r="U408" s="21">
        <v>0.22</v>
      </c>
      <c r="V408" s="37" t="s">
        <v>1</v>
      </c>
      <c r="W408" s="37" t="s">
        <v>1</v>
      </c>
      <c r="X408" s="35">
        <v>100</v>
      </c>
      <c r="Y408" s="23">
        <v>2.8536977491961357</v>
      </c>
      <c r="Z408" s="21">
        <v>55.500000000000007</v>
      </c>
      <c r="AA408" s="35">
        <v>4</v>
      </c>
      <c r="AB408" s="35" t="s">
        <v>1</v>
      </c>
      <c r="AC408" s="2" t="s">
        <v>87</v>
      </c>
    </row>
    <row r="409" spans="1:29">
      <c r="A409" s="35" t="s">
        <v>198</v>
      </c>
      <c r="B409" s="35" t="s">
        <v>180</v>
      </c>
      <c r="C409" s="35" t="s">
        <v>60</v>
      </c>
      <c r="D409" s="36">
        <v>600</v>
      </c>
      <c r="E409" s="12">
        <v>48.760000000000005</v>
      </c>
      <c r="F409" s="21">
        <v>10.7</v>
      </c>
      <c r="G409" s="35" t="s">
        <v>85</v>
      </c>
      <c r="H409" s="35">
        <v>0</v>
      </c>
      <c r="I409" s="21">
        <f>0.06/1</f>
        <v>0.06</v>
      </c>
      <c r="J409" s="35">
        <v>0</v>
      </c>
      <c r="K409" s="35">
        <v>0</v>
      </c>
      <c r="L409" s="36">
        <v>300</v>
      </c>
      <c r="M409" s="35">
        <v>1.3</v>
      </c>
      <c r="N409" s="21">
        <v>17</v>
      </c>
      <c r="O409" s="12">
        <v>0</v>
      </c>
      <c r="P409" s="35">
        <v>0.04</v>
      </c>
      <c r="Q409" s="35">
        <v>100</v>
      </c>
      <c r="R409" s="35">
        <v>1440</v>
      </c>
      <c r="S409" s="35">
        <v>25</v>
      </c>
      <c r="T409" s="35">
        <v>2.2599999999999998</v>
      </c>
      <c r="U409" s="21">
        <v>0.21</v>
      </c>
      <c r="V409" s="37" t="s">
        <v>6</v>
      </c>
      <c r="W409" s="37" t="s">
        <v>6</v>
      </c>
      <c r="X409" s="35">
        <v>100</v>
      </c>
      <c r="Y409" s="23">
        <v>0.85320923017257655</v>
      </c>
      <c r="Z409" s="21">
        <v>9.1</v>
      </c>
      <c r="AA409" s="35">
        <v>4</v>
      </c>
      <c r="AB409" s="35" t="s">
        <v>1</v>
      </c>
      <c r="AC409" s="3" t="s">
        <v>87</v>
      </c>
    </row>
    <row r="410" spans="1:29">
      <c r="A410" s="35" t="s">
        <v>198</v>
      </c>
      <c r="B410" s="35" t="s">
        <v>180</v>
      </c>
      <c r="C410" s="35" t="s">
        <v>60</v>
      </c>
      <c r="D410" s="36">
        <v>600</v>
      </c>
      <c r="E410" s="12">
        <v>47.7</v>
      </c>
      <c r="F410" s="21">
        <v>10.5</v>
      </c>
      <c r="G410" s="35" t="s">
        <v>86</v>
      </c>
      <c r="H410" s="35">
        <v>0</v>
      </c>
      <c r="I410" s="21">
        <f>0.06/1</f>
        <v>0.06</v>
      </c>
      <c r="J410" s="35">
        <v>0</v>
      </c>
      <c r="K410" s="35">
        <v>0</v>
      </c>
      <c r="L410" s="36">
        <v>300</v>
      </c>
      <c r="M410" s="35">
        <v>1.3</v>
      </c>
      <c r="N410" s="21">
        <v>17</v>
      </c>
      <c r="O410" s="12">
        <v>0</v>
      </c>
      <c r="P410" s="35">
        <v>0.04</v>
      </c>
      <c r="Q410" s="35">
        <v>100</v>
      </c>
      <c r="R410" s="35">
        <v>1440</v>
      </c>
      <c r="S410" s="35">
        <v>25</v>
      </c>
      <c r="T410" s="35">
        <v>2.19</v>
      </c>
      <c r="U410" s="21">
        <v>0.21</v>
      </c>
      <c r="V410" s="37" t="s">
        <v>6</v>
      </c>
      <c r="W410" s="37" t="s">
        <v>6</v>
      </c>
      <c r="X410" s="35">
        <v>100</v>
      </c>
      <c r="Y410" s="23">
        <v>1.1213955144179468</v>
      </c>
      <c r="Z410" s="21">
        <v>1.37</v>
      </c>
      <c r="AA410" s="35">
        <v>4</v>
      </c>
      <c r="AB410" s="35" t="s">
        <v>1</v>
      </c>
      <c r="AC410" s="3" t="s">
        <v>87</v>
      </c>
    </row>
    <row r="411" spans="1:29">
      <c r="A411" s="35" t="s">
        <v>99</v>
      </c>
      <c r="B411" s="35" t="s">
        <v>260</v>
      </c>
      <c r="C411" s="49" t="s">
        <v>111</v>
      </c>
      <c r="D411" s="36">
        <v>331</v>
      </c>
      <c r="E411" s="12">
        <v>48.97</v>
      </c>
      <c r="F411" s="21">
        <f>T411/U411</f>
        <v>10.714285714285714</v>
      </c>
      <c r="G411" s="35">
        <v>0</v>
      </c>
      <c r="H411" s="35">
        <v>0</v>
      </c>
      <c r="I411" s="35">
        <v>0</v>
      </c>
      <c r="J411" s="35">
        <v>0</v>
      </c>
      <c r="K411" s="35">
        <v>0</v>
      </c>
      <c r="L411" s="36">
        <v>1027.2</v>
      </c>
      <c r="M411" s="35">
        <v>0.73</v>
      </c>
      <c r="N411" s="21">
        <v>2.85</v>
      </c>
      <c r="O411" s="12">
        <v>0</v>
      </c>
      <c r="P411" s="35">
        <v>100</v>
      </c>
      <c r="Q411" s="35">
        <v>80</v>
      </c>
      <c r="R411" s="35">
        <v>60</v>
      </c>
      <c r="S411" s="35">
        <v>25</v>
      </c>
      <c r="T411" s="35">
        <v>1.5</v>
      </c>
      <c r="U411" s="21">
        <v>0.14000000000000001</v>
      </c>
      <c r="V411" s="37">
        <v>1.98</v>
      </c>
      <c r="W411" s="37">
        <v>5.0199999999999996</v>
      </c>
      <c r="X411" s="35" t="s">
        <v>1</v>
      </c>
      <c r="Y411" s="23" t="s">
        <v>6</v>
      </c>
      <c r="Z411" s="21" t="s">
        <v>6</v>
      </c>
      <c r="AA411" s="35" t="s">
        <v>1</v>
      </c>
      <c r="AB411" s="35" t="s">
        <v>1</v>
      </c>
      <c r="AC411" s="27" t="s">
        <v>88</v>
      </c>
    </row>
    <row r="412" spans="1:29">
      <c r="A412" s="35" t="s">
        <v>186</v>
      </c>
      <c r="B412" s="35" t="s">
        <v>260</v>
      </c>
      <c r="C412" s="49" t="s">
        <v>111</v>
      </c>
      <c r="D412" s="36">
        <v>331</v>
      </c>
      <c r="E412" s="12">
        <v>47.589999999999996</v>
      </c>
      <c r="F412" s="21">
        <f>E412*7*10/D412</f>
        <v>10.064350453172207</v>
      </c>
      <c r="G412" s="35">
        <v>0</v>
      </c>
      <c r="H412" s="35">
        <v>0</v>
      </c>
      <c r="I412" s="35">
        <v>0</v>
      </c>
      <c r="J412" s="35">
        <v>0</v>
      </c>
      <c r="K412" s="35">
        <v>0</v>
      </c>
      <c r="L412" s="36">
        <v>863.8</v>
      </c>
      <c r="M412" s="35">
        <v>0.48</v>
      </c>
      <c r="N412" s="21">
        <v>2.2400000000000002</v>
      </c>
      <c r="O412" s="12">
        <v>0</v>
      </c>
      <c r="P412" s="35">
        <v>100</v>
      </c>
      <c r="Q412" s="35">
        <v>80</v>
      </c>
      <c r="R412" s="35">
        <v>60</v>
      </c>
      <c r="S412" s="35">
        <v>25</v>
      </c>
      <c r="T412" s="35">
        <v>1.37</v>
      </c>
      <c r="U412" s="21">
        <v>0.11</v>
      </c>
      <c r="V412" s="37">
        <v>1.8</v>
      </c>
      <c r="W412" s="37">
        <v>4.95</v>
      </c>
      <c r="X412" s="35" t="s">
        <v>1</v>
      </c>
      <c r="Y412" s="23" t="s">
        <v>6</v>
      </c>
      <c r="Z412" s="21" t="s">
        <v>6</v>
      </c>
      <c r="AA412" s="35" t="s">
        <v>1</v>
      </c>
      <c r="AB412" s="35" t="s">
        <v>1</v>
      </c>
      <c r="AC412" s="2" t="s">
        <v>190</v>
      </c>
    </row>
    <row r="413" spans="1:29">
      <c r="A413" s="35" t="s">
        <v>99</v>
      </c>
      <c r="B413" s="35" t="s">
        <v>260</v>
      </c>
      <c r="C413" s="49" t="s">
        <v>111</v>
      </c>
      <c r="D413" s="36">
        <v>331</v>
      </c>
      <c r="E413" s="12">
        <v>48.43</v>
      </c>
      <c r="F413" s="21">
        <f>E413*7*10/D413</f>
        <v>10.241993957703928</v>
      </c>
      <c r="G413" s="35">
        <v>0</v>
      </c>
      <c r="H413" s="35">
        <v>0</v>
      </c>
      <c r="I413" s="35">
        <v>0</v>
      </c>
      <c r="J413" s="35">
        <v>0</v>
      </c>
      <c r="K413" s="35">
        <v>0</v>
      </c>
      <c r="L413" s="36">
        <v>1052.5999999999999</v>
      </c>
      <c r="M413" s="35">
        <v>0.69</v>
      </c>
      <c r="N413" s="21">
        <v>2.62</v>
      </c>
      <c r="O413" s="12">
        <v>0</v>
      </c>
      <c r="P413" s="35">
        <v>100</v>
      </c>
      <c r="Q413" s="35">
        <v>80</v>
      </c>
      <c r="R413" s="35">
        <v>60</v>
      </c>
      <c r="S413" s="35">
        <v>25</v>
      </c>
      <c r="T413" s="35">
        <v>2.0499999999999998</v>
      </c>
      <c r="U413" s="21">
        <v>0.16</v>
      </c>
      <c r="V413" s="37">
        <v>0.60099999999999998</v>
      </c>
      <c r="W413" s="37">
        <v>1.73</v>
      </c>
      <c r="X413" s="35" t="s">
        <v>1</v>
      </c>
      <c r="Y413" s="23" t="s">
        <v>6</v>
      </c>
      <c r="Z413" s="21" t="s">
        <v>6</v>
      </c>
      <c r="AA413" s="35" t="s">
        <v>1</v>
      </c>
      <c r="AB413" s="35" t="s">
        <v>1</v>
      </c>
      <c r="AC413" s="27" t="s">
        <v>88</v>
      </c>
    </row>
    <row r="414" spans="1:29">
      <c r="A414" s="35" t="s">
        <v>91</v>
      </c>
      <c r="B414" s="35" t="s">
        <v>260</v>
      </c>
      <c r="C414" s="49" t="s">
        <v>111</v>
      </c>
      <c r="D414" s="36">
        <v>331</v>
      </c>
      <c r="E414" s="12">
        <v>48.92</v>
      </c>
      <c r="F414" s="21">
        <v>10.342857142857143</v>
      </c>
      <c r="G414" s="35">
        <v>0</v>
      </c>
      <c r="H414" s="35">
        <v>0</v>
      </c>
      <c r="I414" s="35">
        <v>0</v>
      </c>
      <c r="J414" s="35">
        <v>0</v>
      </c>
      <c r="K414" s="35">
        <v>0</v>
      </c>
      <c r="L414" s="36">
        <v>451.5</v>
      </c>
      <c r="M414" s="35">
        <v>0.54</v>
      </c>
      <c r="N414" s="21">
        <v>4.75</v>
      </c>
      <c r="O414" s="12">
        <v>0</v>
      </c>
      <c r="P414" s="35">
        <v>100</v>
      </c>
      <c r="Q414" s="35">
        <v>80</v>
      </c>
      <c r="R414" s="35">
        <v>60</v>
      </c>
      <c r="S414" s="35">
        <v>25</v>
      </c>
      <c r="T414" s="35">
        <v>2.87</v>
      </c>
      <c r="U414" s="21">
        <v>0.22</v>
      </c>
      <c r="V414" s="37">
        <v>0.86</v>
      </c>
      <c r="W414" s="37">
        <v>3.45</v>
      </c>
      <c r="X414" s="35">
        <v>100</v>
      </c>
      <c r="Y414" s="23" t="s">
        <v>6</v>
      </c>
      <c r="Z414" s="21">
        <v>1</v>
      </c>
      <c r="AA414" s="35">
        <v>12</v>
      </c>
      <c r="AB414" s="35" t="s">
        <v>1</v>
      </c>
      <c r="AC414" s="27" t="s">
        <v>88</v>
      </c>
    </row>
    <row r="415" spans="1:29">
      <c r="A415" s="35" t="s">
        <v>91</v>
      </c>
      <c r="B415" s="35" t="s">
        <v>55</v>
      </c>
      <c r="C415" s="49" t="s">
        <v>89</v>
      </c>
      <c r="D415" s="36">
        <v>105.14</v>
      </c>
      <c r="E415" s="12">
        <v>51.629999999999995</v>
      </c>
      <c r="F415" s="21">
        <v>4.9142857142857137</v>
      </c>
      <c r="G415" s="35">
        <v>0</v>
      </c>
      <c r="H415" s="35">
        <v>0</v>
      </c>
      <c r="I415" s="35">
        <v>0</v>
      </c>
      <c r="J415" s="35">
        <v>0</v>
      </c>
      <c r="K415" s="35">
        <v>0</v>
      </c>
      <c r="L415" s="36">
        <v>451.5</v>
      </c>
      <c r="M415" s="35">
        <v>0.54</v>
      </c>
      <c r="N415" s="21">
        <v>4.75</v>
      </c>
      <c r="O415" s="12">
        <v>0</v>
      </c>
      <c r="P415" s="35">
        <v>100</v>
      </c>
      <c r="Q415" s="35">
        <v>80</v>
      </c>
      <c r="R415" s="36">
        <v>60</v>
      </c>
      <c r="S415" s="35">
        <v>25</v>
      </c>
      <c r="T415" s="35">
        <v>2.48</v>
      </c>
      <c r="U415" s="21">
        <v>0.5</v>
      </c>
      <c r="V415" s="37">
        <v>0.73</v>
      </c>
      <c r="W415" s="37">
        <v>2.67</v>
      </c>
      <c r="X415" s="35" t="s">
        <v>1</v>
      </c>
      <c r="Y415" s="23" t="s">
        <v>6</v>
      </c>
      <c r="Z415" s="21" t="s">
        <v>6</v>
      </c>
      <c r="AA415" s="35" t="s">
        <v>1</v>
      </c>
      <c r="AB415" s="35" t="s">
        <v>1</v>
      </c>
      <c r="AC415" s="27" t="s">
        <v>88</v>
      </c>
    </row>
    <row r="416" spans="1:29">
      <c r="A416" s="35" t="s">
        <v>91</v>
      </c>
      <c r="B416" s="35" t="s">
        <v>3</v>
      </c>
      <c r="C416" s="35" t="s">
        <v>65</v>
      </c>
      <c r="D416" s="36">
        <v>189</v>
      </c>
      <c r="E416" s="12">
        <v>49.68</v>
      </c>
      <c r="F416" s="21">
        <v>13.142857142857142</v>
      </c>
      <c r="G416" s="35">
        <v>0</v>
      </c>
      <c r="H416" s="35">
        <v>0</v>
      </c>
      <c r="I416" s="35">
        <v>0</v>
      </c>
      <c r="J416" s="35">
        <v>0</v>
      </c>
      <c r="K416" s="35">
        <v>0</v>
      </c>
      <c r="L416" s="36">
        <v>451.5</v>
      </c>
      <c r="M416" s="35">
        <v>0.54</v>
      </c>
      <c r="N416" s="21">
        <v>4.75</v>
      </c>
      <c r="O416" s="12">
        <v>0</v>
      </c>
      <c r="P416" s="35">
        <v>100</v>
      </c>
      <c r="Q416" s="35">
        <v>80</v>
      </c>
      <c r="R416" s="36">
        <v>60</v>
      </c>
      <c r="S416" s="35">
        <v>25</v>
      </c>
      <c r="T416" s="35">
        <v>4.4000000000000004</v>
      </c>
      <c r="U416" s="21">
        <v>0.33</v>
      </c>
      <c r="V416" s="37">
        <v>1.17</v>
      </c>
      <c r="W416" s="37">
        <v>2.09</v>
      </c>
      <c r="X416" s="35">
        <v>100</v>
      </c>
      <c r="Y416" s="23" t="s">
        <v>6</v>
      </c>
      <c r="Z416" s="21">
        <v>48.3</v>
      </c>
      <c r="AA416" s="35">
        <v>5</v>
      </c>
      <c r="AB416" s="35" t="s">
        <v>1</v>
      </c>
      <c r="AC416" s="27" t="s">
        <v>88</v>
      </c>
    </row>
    <row r="417" spans="1:29">
      <c r="A417" s="35" t="s">
        <v>91</v>
      </c>
      <c r="B417" s="35" t="s">
        <v>260</v>
      </c>
      <c r="C417" s="49" t="s">
        <v>111</v>
      </c>
      <c r="D417" s="36">
        <v>331</v>
      </c>
      <c r="E417" s="12">
        <v>48.92</v>
      </c>
      <c r="F417" s="21">
        <v>10.342857142857143</v>
      </c>
      <c r="G417" s="35">
        <v>0</v>
      </c>
      <c r="H417" s="35">
        <v>0</v>
      </c>
      <c r="I417" s="35">
        <v>0</v>
      </c>
      <c r="J417" s="35">
        <v>0</v>
      </c>
      <c r="K417" s="35">
        <v>0</v>
      </c>
      <c r="L417" s="36">
        <v>451.5</v>
      </c>
      <c r="M417" s="35">
        <v>0.54</v>
      </c>
      <c r="N417" s="21">
        <v>4.75</v>
      </c>
      <c r="O417" s="12">
        <v>0</v>
      </c>
      <c r="P417" s="35">
        <v>100</v>
      </c>
      <c r="Q417" s="35">
        <v>80</v>
      </c>
      <c r="R417" s="36">
        <v>60</v>
      </c>
      <c r="S417" s="35">
        <v>25</v>
      </c>
      <c r="T417" s="21">
        <f t="shared" ref="T417:T423" si="24">S417/44</f>
        <v>0.56818181818181823</v>
      </c>
      <c r="U417" s="21">
        <f t="shared" ref="U417:U426" si="25">T417/F417</f>
        <v>5.4934706177800101E-2</v>
      </c>
      <c r="V417" s="37">
        <v>0.71</v>
      </c>
      <c r="W417" s="37">
        <v>3.47</v>
      </c>
      <c r="X417" s="35" t="s">
        <v>1</v>
      </c>
      <c r="Y417" s="23" t="s">
        <v>6</v>
      </c>
      <c r="Z417" s="21" t="s">
        <v>6</v>
      </c>
      <c r="AA417" s="35" t="s">
        <v>1</v>
      </c>
      <c r="AB417" s="35" t="s">
        <v>1</v>
      </c>
      <c r="AC417" s="27" t="s">
        <v>88</v>
      </c>
    </row>
    <row r="418" spans="1:29">
      <c r="A418" s="35" t="s">
        <v>91</v>
      </c>
      <c r="B418" s="35" t="s">
        <v>260</v>
      </c>
      <c r="C418" s="49" t="s">
        <v>111</v>
      </c>
      <c r="D418" s="36">
        <v>331</v>
      </c>
      <c r="E418" s="12">
        <v>48.92</v>
      </c>
      <c r="F418" s="21">
        <v>10.342857142857143</v>
      </c>
      <c r="G418" s="35">
        <v>0</v>
      </c>
      <c r="H418" s="35">
        <v>0</v>
      </c>
      <c r="I418" s="35">
        <v>0</v>
      </c>
      <c r="J418" s="35">
        <v>0</v>
      </c>
      <c r="K418" s="35">
        <v>0</v>
      </c>
      <c r="L418" s="36">
        <v>451.5</v>
      </c>
      <c r="M418" s="35">
        <v>0.54</v>
      </c>
      <c r="N418" s="21">
        <v>4.75</v>
      </c>
      <c r="O418" s="12">
        <v>0</v>
      </c>
      <c r="P418" s="35">
        <v>100</v>
      </c>
      <c r="Q418" s="35">
        <v>80</v>
      </c>
      <c r="R418" s="36">
        <v>60</v>
      </c>
      <c r="S418" s="35">
        <v>35</v>
      </c>
      <c r="T418" s="21">
        <f t="shared" si="24"/>
        <v>0.79545454545454541</v>
      </c>
      <c r="U418" s="21">
        <f t="shared" si="25"/>
        <v>7.6908588648920126E-2</v>
      </c>
      <c r="V418" s="37" t="s">
        <v>1</v>
      </c>
      <c r="W418" s="37" t="s">
        <v>1</v>
      </c>
      <c r="X418" s="35" t="s">
        <v>1</v>
      </c>
      <c r="Y418" s="23" t="s">
        <v>6</v>
      </c>
      <c r="Z418" s="21" t="s">
        <v>6</v>
      </c>
      <c r="AA418" s="35" t="s">
        <v>1</v>
      </c>
      <c r="AB418" s="35" t="s">
        <v>1</v>
      </c>
      <c r="AC418" s="27" t="s">
        <v>88</v>
      </c>
    </row>
    <row r="419" spans="1:29">
      <c r="A419" s="35" t="s">
        <v>91</v>
      </c>
      <c r="B419" s="35" t="s">
        <v>260</v>
      </c>
      <c r="C419" s="49" t="s">
        <v>111</v>
      </c>
      <c r="D419" s="36">
        <v>331</v>
      </c>
      <c r="E419" s="12">
        <v>48.92</v>
      </c>
      <c r="F419" s="21">
        <v>10.342857142857101</v>
      </c>
      <c r="G419" s="35">
        <v>0</v>
      </c>
      <c r="H419" s="35">
        <v>0</v>
      </c>
      <c r="I419" s="35">
        <v>0</v>
      </c>
      <c r="J419" s="35">
        <v>0</v>
      </c>
      <c r="K419" s="35">
        <v>0</v>
      </c>
      <c r="L419" s="36">
        <v>451.5</v>
      </c>
      <c r="M419" s="35">
        <v>0.54</v>
      </c>
      <c r="N419" s="21">
        <v>4.75</v>
      </c>
      <c r="O419" s="12">
        <v>0</v>
      </c>
      <c r="P419" s="35">
        <v>100</v>
      </c>
      <c r="Q419" s="35">
        <v>80</v>
      </c>
      <c r="R419" s="36">
        <v>60</v>
      </c>
      <c r="S419" s="35">
        <v>45</v>
      </c>
      <c r="T419" s="21">
        <f t="shared" si="24"/>
        <v>1.0227272727272727</v>
      </c>
      <c r="U419" s="21">
        <f t="shared" si="25"/>
        <v>9.8882471120040574E-2</v>
      </c>
      <c r="V419" s="37" t="s">
        <v>1</v>
      </c>
      <c r="W419" s="37" t="s">
        <v>1</v>
      </c>
      <c r="X419" s="35" t="s">
        <v>1</v>
      </c>
      <c r="Y419" s="23" t="s">
        <v>6</v>
      </c>
      <c r="Z419" s="21" t="s">
        <v>6</v>
      </c>
      <c r="AA419" s="35" t="s">
        <v>1</v>
      </c>
      <c r="AB419" s="35" t="s">
        <v>1</v>
      </c>
      <c r="AC419" s="27" t="s">
        <v>88</v>
      </c>
    </row>
    <row r="420" spans="1:29">
      <c r="A420" s="35" t="s">
        <v>91</v>
      </c>
      <c r="B420" s="35" t="s">
        <v>260</v>
      </c>
      <c r="C420" s="49" t="s">
        <v>111</v>
      </c>
      <c r="D420" s="36">
        <v>331</v>
      </c>
      <c r="E420" s="12">
        <v>48.92</v>
      </c>
      <c r="F420" s="21">
        <v>10.342857142857143</v>
      </c>
      <c r="G420" s="35">
        <v>0</v>
      </c>
      <c r="H420" s="35">
        <v>0</v>
      </c>
      <c r="I420" s="35">
        <v>0</v>
      </c>
      <c r="J420" s="35">
        <v>0</v>
      </c>
      <c r="K420" s="35">
        <v>0</v>
      </c>
      <c r="L420" s="36">
        <v>451.5</v>
      </c>
      <c r="M420" s="35">
        <v>0.54</v>
      </c>
      <c r="N420" s="21">
        <v>4.75</v>
      </c>
      <c r="O420" s="12">
        <v>0</v>
      </c>
      <c r="P420" s="35">
        <v>100</v>
      </c>
      <c r="Q420" s="35">
        <v>80</v>
      </c>
      <c r="R420" s="36">
        <v>60</v>
      </c>
      <c r="S420" s="35">
        <v>55</v>
      </c>
      <c r="T420" s="21">
        <f t="shared" si="24"/>
        <v>1.25</v>
      </c>
      <c r="U420" s="21">
        <f t="shared" si="25"/>
        <v>0.12085635359116022</v>
      </c>
      <c r="V420" s="37" t="s">
        <v>1</v>
      </c>
      <c r="W420" s="37" t="s">
        <v>1</v>
      </c>
      <c r="X420" s="35" t="s">
        <v>1</v>
      </c>
      <c r="Y420" s="23" t="s">
        <v>6</v>
      </c>
      <c r="Z420" s="21" t="s">
        <v>6</v>
      </c>
      <c r="AA420" s="35" t="s">
        <v>1</v>
      </c>
      <c r="AB420" s="35" t="s">
        <v>1</v>
      </c>
      <c r="AC420" s="27" t="s">
        <v>88</v>
      </c>
    </row>
    <row r="421" spans="1:29">
      <c r="A421" s="35" t="s">
        <v>91</v>
      </c>
      <c r="B421" s="35" t="s">
        <v>260</v>
      </c>
      <c r="C421" s="49" t="s">
        <v>111</v>
      </c>
      <c r="D421" s="36">
        <v>331</v>
      </c>
      <c r="E421" s="12">
        <v>48.92</v>
      </c>
      <c r="F421" s="21">
        <v>10.342857142857143</v>
      </c>
      <c r="G421" s="35">
        <v>0</v>
      </c>
      <c r="H421" s="35">
        <v>0</v>
      </c>
      <c r="I421" s="35">
        <v>0</v>
      </c>
      <c r="J421" s="35">
        <v>0</v>
      </c>
      <c r="K421" s="35">
        <v>0</v>
      </c>
      <c r="L421" s="36">
        <v>451.5</v>
      </c>
      <c r="M421" s="35">
        <v>0.54</v>
      </c>
      <c r="N421" s="21">
        <v>4.75</v>
      </c>
      <c r="O421" s="12">
        <v>0</v>
      </c>
      <c r="P421" s="35">
        <v>100</v>
      </c>
      <c r="Q421" s="35">
        <v>80</v>
      </c>
      <c r="R421" s="36">
        <v>60</v>
      </c>
      <c r="S421" s="35">
        <v>65</v>
      </c>
      <c r="T421" s="21">
        <f t="shared" si="24"/>
        <v>1.4772727272727273</v>
      </c>
      <c r="U421" s="21">
        <f t="shared" si="25"/>
        <v>0.14283023606228026</v>
      </c>
      <c r="V421" s="37" t="s">
        <v>1</v>
      </c>
      <c r="W421" s="37" t="s">
        <v>1</v>
      </c>
      <c r="X421" s="35" t="s">
        <v>1</v>
      </c>
      <c r="Y421" s="23" t="s">
        <v>6</v>
      </c>
      <c r="Z421" s="21" t="s">
        <v>6</v>
      </c>
      <c r="AA421" s="35" t="s">
        <v>1</v>
      </c>
      <c r="AB421" s="35" t="s">
        <v>1</v>
      </c>
      <c r="AC421" s="27" t="s">
        <v>88</v>
      </c>
    </row>
    <row r="422" spans="1:29">
      <c r="A422" s="35" t="s">
        <v>91</v>
      </c>
      <c r="B422" s="35" t="s">
        <v>260</v>
      </c>
      <c r="C422" s="49" t="s">
        <v>111</v>
      </c>
      <c r="D422" s="36">
        <v>331</v>
      </c>
      <c r="E422" s="12">
        <v>48.92</v>
      </c>
      <c r="F422" s="21">
        <v>10.342857142857143</v>
      </c>
      <c r="G422" s="35">
        <v>0</v>
      </c>
      <c r="H422" s="35">
        <v>0</v>
      </c>
      <c r="I422" s="35">
        <v>0</v>
      </c>
      <c r="J422" s="35">
        <v>0</v>
      </c>
      <c r="K422" s="35">
        <v>0</v>
      </c>
      <c r="L422" s="36">
        <v>451.5</v>
      </c>
      <c r="M422" s="35">
        <v>0.54</v>
      </c>
      <c r="N422" s="21">
        <v>4.75</v>
      </c>
      <c r="O422" s="12">
        <v>0</v>
      </c>
      <c r="P422" s="35">
        <v>100</v>
      </c>
      <c r="Q422" s="35">
        <v>80</v>
      </c>
      <c r="R422" s="36">
        <v>60</v>
      </c>
      <c r="S422" s="35">
        <v>75</v>
      </c>
      <c r="T422" s="21">
        <f t="shared" si="24"/>
        <v>1.7045454545454546</v>
      </c>
      <c r="U422" s="21">
        <f t="shared" si="25"/>
        <v>0.1648041185334003</v>
      </c>
      <c r="V422" s="37" t="s">
        <v>1</v>
      </c>
      <c r="W422" s="37" t="s">
        <v>1</v>
      </c>
      <c r="X422" s="35" t="s">
        <v>1</v>
      </c>
      <c r="Y422" s="23" t="s">
        <v>6</v>
      </c>
      <c r="Z422" s="21" t="s">
        <v>6</v>
      </c>
      <c r="AA422" s="35" t="s">
        <v>1</v>
      </c>
      <c r="AB422" s="35" t="s">
        <v>1</v>
      </c>
      <c r="AC422" s="27" t="s">
        <v>88</v>
      </c>
    </row>
    <row r="423" spans="1:29">
      <c r="A423" s="35" t="s">
        <v>91</v>
      </c>
      <c r="B423" s="35" t="s">
        <v>260</v>
      </c>
      <c r="C423" s="49" t="s">
        <v>111</v>
      </c>
      <c r="D423" s="36">
        <v>331</v>
      </c>
      <c r="E423" s="12">
        <v>48.92</v>
      </c>
      <c r="F423" s="21">
        <v>10.342857142857143</v>
      </c>
      <c r="G423" s="35">
        <v>0</v>
      </c>
      <c r="H423" s="35">
        <v>0</v>
      </c>
      <c r="I423" s="35">
        <v>0</v>
      </c>
      <c r="J423" s="35">
        <v>0</v>
      </c>
      <c r="K423" s="35">
        <v>0</v>
      </c>
      <c r="L423" s="36">
        <v>451.5</v>
      </c>
      <c r="M423" s="35">
        <v>0.54</v>
      </c>
      <c r="N423" s="21">
        <v>4.75</v>
      </c>
      <c r="O423" s="12">
        <v>0</v>
      </c>
      <c r="P423" s="35">
        <v>100</v>
      </c>
      <c r="Q423" s="35">
        <v>80</v>
      </c>
      <c r="R423" s="36">
        <v>60</v>
      </c>
      <c r="S423" s="35">
        <v>85</v>
      </c>
      <c r="T423" s="21">
        <f t="shared" si="24"/>
        <v>1.9318181818181819</v>
      </c>
      <c r="U423" s="21">
        <f t="shared" si="25"/>
        <v>0.18677800100452033</v>
      </c>
      <c r="V423" s="37" t="s">
        <v>1</v>
      </c>
      <c r="W423" s="37" t="s">
        <v>1</v>
      </c>
      <c r="X423" s="35" t="s">
        <v>1</v>
      </c>
      <c r="Y423" s="23" t="s">
        <v>6</v>
      </c>
      <c r="Z423" s="21" t="s">
        <v>6</v>
      </c>
      <c r="AA423" s="35" t="s">
        <v>1</v>
      </c>
      <c r="AB423" s="35" t="s">
        <v>1</v>
      </c>
      <c r="AC423" s="27" t="s">
        <v>88</v>
      </c>
    </row>
    <row r="424" spans="1:29">
      <c r="A424" s="35" t="s">
        <v>91</v>
      </c>
      <c r="B424" s="35" t="s">
        <v>260</v>
      </c>
      <c r="C424" s="49" t="s">
        <v>111</v>
      </c>
      <c r="D424" s="36">
        <v>331</v>
      </c>
      <c r="E424" s="12">
        <v>40</v>
      </c>
      <c r="F424" s="21">
        <f>E424*7*10/D424</f>
        <v>8.4592145015105746</v>
      </c>
      <c r="G424" s="35">
        <v>0</v>
      </c>
      <c r="H424" s="35">
        <v>0</v>
      </c>
      <c r="I424" s="35">
        <v>0</v>
      </c>
      <c r="J424" s="35">
        <v>0</v>
      </c>
      <c r="K424" s="35">
        <v>0</v>
      </c>
      <c r="L424" s="36">
        <v>451.5</v>
      </c>
      <c r="M424" s="35">
        <v>0.54</v>
      </c>
      <c r="N424" s="21">
        <v>4.75</v>
      </c>
      <c r="O424" s="12">
        <v>0</v>
      </c>
      <c r="P424" s="35">
        <v>100</v>
      </c>
      <c r="Q424" s="35">
        <v>80</v>
      </c>
      <c r="R424" s="36">
        <v>60</v>
      </c>
      <c r="S424" s="35">
        <v>25</v>
      </c>
      <c r="T424" s="35">
        <v>2.41</v>
      </c>
      <c r="U424" s="21">
        <f t="shared" si="25"/>
        <v>0.28489642857142855</v>
      </c>
      <c r="V424" s="37">
        <v>1.29</v>
      </c>
      <c r="W424" s="37">
        <v>4.5229999999999997</v>
      </c>
      <c r="X424" s="35" t="s">
        <v>1</v>
      </c>
      <c r="Y424" s="23" t="s">
        <v>6</v>
      </c>
      <c r="Z424" s="21" t="s">
        <v>6</v>
      </c>
      <c r="AA424" s="35" t="s">
        <v>1</v>
      </c>
      <c r="AB424" s="35" t="s">
        <v>1</v>
      </c>
      <c r="AC424" s="27" t="s">
        <v>88</v>
      </c>
    </row>
    <row r="425" spans="1:29" ht="13.2" customHeight="1">
      <c r="A425" s="35" t="s">
        <v>91</v>
      </c>
      <c r="B425" s="35" t="s">
        <v>260</v>
      </c>
      <c r="C425" s="49" t="s">
        <v>111</v>
      </c>
      <c r="D425" s="36">
        <v>331</v>
      </c>
      <c r="E425" s="12">
        <v>60</v>
      </c>
      <c r="F425" s="21">
        <f>E425*7*10/D425</f>
        <v>12.688821752265861</v>
      </c>
      <c r="G425" s="35">
        <v>0</v>
      </c>
      <c r="H425" s="35">
        <v>0</v>
      </c>
      <c r="I425" s="35">
        <v>0</v>
      </c>
      <c r="J425" s="35">
        <v>0</v>
      </c>
      <c r="K425" s="35">
        <v>0</v>
      </c>
      <c r="L425" s="36">
        <v>451.5</v>
      </c>
      <c r="M425" s="35">
        <v>0.54</v>
      </c>
      <c r="N425" s="21">
        <v>4.75</v>
      </c>
      <c r="O425" s="12">
        <v>0</v>
      </c>
      <c r="P425" s="35">
        <v>100</v>
      </c>
      <c r="Q425" s="35">
        <v>80</v>
      </c>
      <c r="R425" s="36">
        <v>60</v>
      </c>
      <c r="S425" s="35">
        <v>25</v>
      </c>
      <c r="T425" s="35">
        <v>3.62</v>
      </c>
      <c r="U425" s="21">
        <f t="shared" si="25"/>
        <v>0.28529047619047621</v>
      </c>
      <c r="V425" s="37">
        <v>1.8</v>
      </c>
      <c r="W425" s="37">
        <v>6.84</v>
      </c>
      <c r="X425" s="35" t="s">
        <v>1</v>
      </c>
      <c r="Y425" s="23" t="s">
        <v>6</v>
      </c>
      <c r="Z425" s="21" t="s">
        <v>6</v>
      </c>
      <c r="AA425" s="35" t="s">
        <v>1</v>
      </c>
      <c r="AB425" s="35" t="s">
        <v>1</v>
      </c>
      <c r="AC425" s="27" t="s">
        <v>88</v>
      </c>
    </row>
    <row r="426" spans="1:29" ht="15" customHeight="1">
      <c r="A426" s="35" t="s">
        <v>91</v>
      </c>
      <c r="B426" s="35" t="s">
        <v>260</v>
      </c>
      <c r="C426" s="49" t="s">
        <v>111</v>
      </c>
      <c r="D426" s="36">
        <v>331</v>
      </c>
      <c r="E426" s="12">
        <v>70</v>
      </c>
      <c r="F426" s="21">
        <f>E426*7*10/D426</f>
        <v>14.803625377643504</v>
      </c>
      <c r="G426" s="35">
        <v>0</v>
      </c>
      <c r="H426" s="35">
        <v>0</v>
      </c>
      <c r="I426" s="35">
        <v>0</v>
      </c>
      <c r="J426" s="35">
        <v>0</v>
      </c>
      <c r="K426" s="35">
        <v>0</v>
      </c>
      <c r="L426" s="36">
        <v>451.5</v>
      </c>
      <c r="M426" s="35">
        <v>0.54</v>
      </c>
      <c r="N426" s="21">
        <v>4.75</v>
      </c>
      <c r="O426" s="12">
        <v>0</v>
      </c>
      <c r="P426" s="35">
        <v>100</v>
      </c>
      <c r="Q426" s="35">
        <v>80</v>
      </c>
      <c r="R426" s="36">
        <v>60</v>
      </c>
      <c r="S426" s="35">
        <v>25</v>
      </c>
      <c r="T426" s="35">
        <v>2.73</v>
      </c>
      <c r="U426" s="21">
        <f t="shared" si="25"/>
        <v>0.18441428571428573</v>
      </c>
      <c r="V426" s="37">
        <v>1.29</v>
      </c>
      <c r="W426" s="37">
        <v>4.29</v>
      </c>
      <c r="X426" s="35" t="s">
        <v>1</v>
      </c>
      <c r="Y426" s="23" t="s">
        <v>6</v>
      </c>
      <c r="Z426" s="21" t="s">
        <v>6</v>
      </c>
      <c r="AA426" s="35" t="s">
        <v>1</v>
      </c>
      <c r="AB426" s="35" t="s">
        <v>1</v>
      </c>
      <c r="AC426" s="27" t="s">
        <v>88</v>
      </c>
    </row>
    <row r="427" spans="1:29">
      <c r="A427" s="35" t="s">
        <v>91</v>
      </c>
      <c r="B427" s="35" t="s">
        <v>92</v>
      </c>
      <c r="C427" s="49" t="s">
        <v>96</v>
      </c>
      <c r="D427" s="36">
        <v>2200</v>
      </c>
      <c r="E427" s="12">
        <v>26</v>
      </c>
      <c r="F427" s="21">
        <f>T427/U427</f>
        <v>4.5517241379310347</v>
      </c>
      <c r="G427" s="35">
        <v>0</v>
      </c>
      <c r="H427" s="35">
        <v>0</v>
      </c>
      <c r="I427" s="35">
        <v>0</v>
      </c>
      <c r="J427" s="35">
        <v>0</v>
      </c>
      <c r="K427" s="35">
        <v>0</v>
      </c>
      <c r="L427" s="36">
        <v>608</v>
      </c>
      <c r="M427" s="35">
        <v>2.0299999999999998</v>
      </c>
      <c r="N427" s="21">
        <v>28.4</v>
      </c>
      <c r="O427" s="12">
        <v>0</v>
      </c>
      <c r="P427" s="35">
        <v>10</v>
      </c>
      <c r="Q427" s="35">
        <v>90</v>
      </c>
      <c r="R427" s="35">
        <v>180</v>
      </c>
      <c r="S427" s="35">
        <v>25</v>
      </c>
      <c r="T427" s="35">
        <v>1.32</v>
      </c>
      <c r="U427" s="21">
        <v>0.28999999999999998</v>
      </c>
      <c r="V427" s="37" t="s">
        <v>1</v>
      </c>
      <c r="W427" s="37" t="s">
        <v>1</v>
      </c>
      <c r="X427" s="35" t="s">
        <v>6</v>
      </c>
      <c r="Y427" s="23" t="s">
        <v>6</v>
      </c>
      <c r="Z427" s="21" t="s">
        <v>6</v>
      </c>
      <c r="AA427" s="35" t="s">
        <v>6</v>
      </c>
      <c r="AB427" s="35" t="s">
        <v>1</v>
      </c>
      <c r="AC427" s="27" t="s">
        <v>95</v>
      </c>
    </row>
    <row r="428" spans="1:29">
      <c r="A428" s="35" t="s">
        <v>91</v>
      </c>
      <c r="B428" s="35" t="s">
        <v>92</v>
      </c>
      <c r="C428" s="49" t="s">
        <v>96</v>
      </c>
      <c r="D428" s="36">
        <v>2200</v>
      </c>
      <c r="E428" s="12">
        <v>32</v>
      </c>
      <c r="F428" s="21">
        <f>T428/U428</f>
        <v>5.6666666666666661</v>
      </c>
      <c r="G428" s="35">
        <v>0</v>
      </c>
      <c r="H428" s="35">
        <v>0</v>
      </c>
      <c r="I428" s="35">
        <v>0</v>
      </c>
      <c r="J428" s="35">
        <v>0</v>
      </c>
      <c r="K428" s="35">
        <v>0</v>
      </c>
      <c r="L428" s="36">
        <v>608</v>
      </c>
      <c r="M428" s="35">
        <v>2.0299999999999998</v>
      </c>
      <c r="N428" s="21">
        <v>28.4</v>
      </c>
      <c r="O428" s="12">
        <v>0</v>
      </c>
      <c r="P428" s="35">
        <v>10</v>
      </c>
      <c r="Q428" s="35">
        <v>90</v>
      </c>
      <c r="R428" s="35">
        <v>180</v>
      </c>
      <c r="S428" s="35">
        <v>25</v>
      </c>
      <c r="T428" s="35">
        <v>1.53</v>
      </c>
      <c r="U428" s="21">
        <v>0.27</v>
      </c>
      <c r="V428" s="37" t="s">
        <v>6</v>
      </c>
      <c r="W428" s="37" t="s">
        <v>6</v>
      </c>
      <c r="X428" s="35" t="s">
        <v>6</v>
      </c>
      <c r="Y428" s="23" t="s">
        <v>6</v>
      </c>
      <c r="Z428" s="21" t="s">
        <v>6</v>
      </c>
      <c r="AA428" s="35" t="s">
        <v>6</v>
      </c>
      <c r="AB428" s="35" t="s">
        <v>1</v>
      </c>
      <c r="AC428" s="1" t="s">
        <v>248</v>
      </c>
    </row>
    <row r="429" spans="1:29">
      <c r="A429" s="35" t="s">
        <v>91</v>
      </c>
      <c r="B429" s="35" t="s">
        <v>92</v>
      </c>
      <c r="C429" s="49" t="s">
        <v>96</v>
      </c>
      <c r="D429" s="36">
        <v>2200</v>
      </c>
      <c r="E429" s="12">
        <v>35</v>
      </c>
      <c r="F429" s="21">
        <f>T429/U429</f>
        <v>6.1739130434782599</v>
      </c>
      <c r="G429" s="35">
        <v>0</v>
      </c>
      <c r="H429" s="35">
        <v>0</v>
      </c>
      <c r="I429" s="35">
        <v>0</v>
      </c>
      <c r="J429" s="35">
        <v>0</v>
      </c>
      <c r="K429" s="35">
        <v>0</v>
      </c>
      <c r="L429" s="36">
        <v>608</v>
      </c>
      <c r="M429" s="35">
        <v>2.0299999999999998</v>
      </c>
      <c r="N429" s="21">
        <v>28.4</v>
      </c>
      <c r="O429" s="12">
        <v>0</v>
      </c>
      <c r="P429" s="35">
        <v>10</v>
      </c>
      <c r="Q429" s="35">
        <v>90</v>
      </c>
      <c r="R429" s="35">
        <v>180</v>
      </c>
      <c r="S429" s="35">
        <v>25</v>
      </c>
      <c r="T429" s="35">
        <v>1.42</v>
      </c>
      <c r="U429" s="21">
        <v>0.23</v>
      </c>
      <c r="V429" s="37" t="s">
        <v>6</v>
      </c>
      <c r="W429" s="37" t="s">
        <v>6</v>
      </c>
      <c r="X429" s="35" t="s">
        <v>6</v>
      </c>
      <c r="Y429" s="23" t="s">
        <v>6</v>
      </c>
      <c r="Z429" s="21" t="s">
        <v>6</v>
      </c>
      <c r="AA429" s="35" t="s">
        <v>6</v>
      </c>
      <c r="AB429" s="35" t="s">
        <v>1</v>
      </c>
      <c r="AC429" s="27" t="s">
        <v>95</v>
      </c>
    </row>
    <row r="430" spans="1:29">
      <c r="A430" s="35" t="s">
        <v>91</v>
      </c>
      <c r="B430" s="35" t="s">
        <v>92</v>
      </c>
      <c r="C430" s="49" t="s">
        <v>96</v>
      </c>
      <c r="D430" s="36">
        <v>2200</v>
      </c>
      <c r="E430" s="12">
        <v>35</v>
      </c>
      <c r="F430" s="21">
        <v>6.1739130434782599</v>
      </c>
      <c r="G430" s="35">
        <v>0</v>
      </c>
      <c r="H430" s="35">
        <v>0</v>
      </c>
      <c r="I430" s="35">
        <v>0</v>
      </c>
      <c r="J430" s="35">
        <v>0</v>
      </c>
      <c r="K430" s="35">
        <v>0</v>
      </c>
      <c r="L430" s="36">
        <v>608</v>
      </c>
      <c r="M430" s="35">
        <v>2.0299999999999998</v>
      </c>
      <c r="N430" s="21">
        <v>28.4</v>
      </c>
      <c r="O430" s="12">
        <v>0</v>
      </c>
      <c r="P430" s="35">
        <v>10</v>
      </c>
      <c r="Q430" s="35">
        <v>90</v>
      </c>
      <c r="R430" s="35">
        <v>180</v>
      </c>
      <c r="S430" s="35">
        <v>50</v>
      </c>
      <c r="T430" s="21">
        <v>1.2611464968152799</v>
      </c>
      <c r="U430" s="21">
        <f t="shared" ref="U430:U436" si="26">T430/F430</f>
        <v>0.20427020723064396</v>
      </c>
      <c r="V430" s="37" t="s">
        <v>6</v>
      </c>
      <c r="W430" s="37" t="s">
        <v>6</v>
      </c>
      <c r="X430" s="35" t="s">
        <v>6</v>
      </c>
      <c r="Y430" s="23" t="s">
        <v>6</v>
      </c>
      <c r="Z430" s="21" t="s">
        <v>6</v>
      </c>
      <c r="AA430" s="35" t="s">
        <v>6</v>
      </c>
      <c r="AB430" s="35" t="s">
        <v>1</v>
      </c>
      <c r="AC430" s="27" t="s">
        <v>95</v>
      </c>
    </row>
    <row r="431" spans="1:29">
      <c r="A431" s="35" t="s">
        <v>91</v>
      </c>
      <c r="B431" s="35" t="s">
        <v>92</v>
      </c>
      <c r="C431" s="49" t="s">
        <v>266</v>
      </c>
      <c r="D431" s="36">
        <v>2201</v>
      </c>
      <c r="E431" s="12">
        <v>135</v>
      </c>
      <c r="F431" s="21">
        <v>7.1739130434782599</v>
      </c>
      <c r="G431" s="35">
        <v>0</v>
      </c>
      <c r="H431" s="35">
        <v>0</v>
      </c>
      <c r="I431" s="35">
        <v>0</v>
      </c>
      <c r="J431" s="35">
        <v>0</v>
      </c>
      <c r="K431" s="35">
        <v>0</v>
      </c>
      <c r="L431" s="36">
        <v>608</v>
      </c>
      <c r="M431" s="35">
        <v>2.0299999999999998</v>
      </c>
      <c r="N431" s="21">
        <v>28.4</v>
      </c>
      <c r="O431" s="12">
        <v>0</v>
      </c>
      <c r="P431" s="35">
        <v>10</v>
      </c>
      <c r="Q431" s="35">
        <v>90</v>
      </c>
      <c r="R431" s="35">
        <v>180</v>
      </c>
      <c r="S431" s="35">
        <v>75</v>
      </c>
      <c r="T431" s="21">
        <v>1.21</v>
      </c>
      <c r="U431" s="21">
        <f t="shared" si="26"/>
        <v>0.16866666666666669</v>
      </c>
      <c r="V431" s="37" t="s">
        <v>6</v>
      </c>
      <c r="W431" s="37" t="s">
        <v>6</v>
      </c>
      <c r="X431" s="35" t="s">
        <v>6</v>
      </c>
      <c r="Y431" s="23" t="s">
        <v>6</v>
      </c>
      <c r="Z431" s="21" t="s">
        <v>6</v>
      </c>
      <c r="AA431" s="35" t="s">
        <v>6</v>
      </c>
      <c r="AB431" s="35" t="s">
        <v>1</v>
      </c>
      <c r="AC431" s="27" t="s">
        <v>95</v>
      </c>
    </row>
    <row r="432" spans="1:29">
      <c r="A432" s="35" t="s">
        <v>91</v>
      </c>
      <c r="B432" s="35" t="s">
        <v>92</v>
      </c>
      <c r="C432" s="49" t="s">
        <v>96</v>
      </c>
      <c r="D432" s="36">
        <v>2200</v>
      </c>
      <c r="E432" s="12">
        <v>35</v>
      </c>
      <c r="F432" s="21">
        <v>6.1739130434782599</v>
      </c>
      <c r="G432" s="35">
        <v>0</v>
      </c>
      <c r="H432" s="35">
        <v>0</v>
      </c>
      <c r="I432" s="35">
        <v>0</v>
      </c>
      <c r="J432" s="35">
        <v>0</v>
      </c>
      <c r="K432" s="35">
        <v>0</v>
      </c>
      <c r="L432" s="36">
        <v>608</v>
      </c>
      <c r="M432" s="35">
        <v>2.0299999999999998</v>
      </c>
      <c r="N432" s="21">
        <v>28.4</v>
      </c>
      <c r="O432" s="12">
        <v>0</v>
      </c>
      <c r="P432" s="35">
        <v>10</v>
      </c>
      <c r="Q432" s="35">
        <v>90</v>
      </c>
      <c r="R432" s="35">
        <v>180</v>
      </c>
      <c r="S432" s="35">
        <v>100</v>
      </c>
      <c r="T432" s="21">
        <v>1.20063694267515</v>
      </c>
      <c r="U432" s="21">
        <f t="shared" si="26"/>
        <v>0.19446936395442574</v>
      </c>
      <c r="V432" s="37" t="s">
        <v>6</v>
      </c>
      <c r="W432" s="37" t="s">
        <v>6</v>
      </c>
      <c r="X432" s="35">
        <v>120</v>
      </c>
      <c r="Y432" s="23" t="s">
        <v>6</v>
      </c>
      <c r="Z432" s="21">
        <v>17</v>
      </c>
      <c r="AA432" s="35">
        <v>5</v>
      </c>
      <c r="AB432" s="35" t="s">
        <v>1</v>
      </c>
      <c r="AC432" s="1" t="s">
        <v>248</v>
      </c>
    </row>
    <row r="433" spans="1:29">
      <c r="A433" s="35" t="s">
        <v>91</v>
      </c>
      <c r="B433" s="35" t="s">
        <v>92</v>
      </c>
      <c r="C433" s="49" t="s">
        <v>96</v>
      </c>
      <c r="D433" s="36">
        <v>2200</v>
      </c>
      <c r="E433" s="12">
        <v>35</v>
      </c>
      <c r="F433" s="21">
        <v>6.1739130434782599</v>
      </c>
      <c r="G433" s="35">
        <v>0</v>
      </c>
      <c r="H433" s="35">
        <v>0</v>
      </c>
      <c r="I433" s="35">
        <v>0</v>
      </c>
      <c r="J433" s="35">
        <v>0</v>
      </c>
      <c r="K433" s="35">
        <v>0</v>
      </c>
      <c r="L433" s="36">
        <v>608</v>
      </c>
      <c r="M433" s="35">
        <v>2.0299999999999998</v>
      </c>
      <c r="N433" s="21">
        <v>28.4</v>
      </c>
      <c r="O433" s="12">
        <v>0</v>
      </c>
      <c r="P433" s="35">
        <v>10</v>
      </c>
      <c r="Q433" s="35">
        <v>90</v>
      </c>
      <c r="R433" s="35">
        <v>180</v>
      </c>
      <c r="S433" s="35">
        <v>120</v>
      </c>
      <c r="T433" s="21">
        <v>0.99044585987261102</v>
      </c>
      <c r="U433" s="21">
        <f t="shared" si="26"/>
        <v>0.16042432941598631</v>
      </c>
      <c r="V433" s="37" t="s">
        <v>6</v>
      </c>
      <c r="W433" s="37" t="s">
        <v>6</v>
      </c>
      <c r="X433" s="35" t="s">
        <v>6</v>
      </c>
      <c r="Y433" s="23" t="s">
        <v>6</v>
      </c>
      <c r="Z433" s="21" t="s">
        <v>6</v>
      </c>
      <c r="AA433" s="35" t="s">
        <v>6</v>
      </c>
      <c r="AB433" s="35" t="s">
        <v>1</v>
      </c>
      <c r="AC433" s="27" t="s">
        <v>95</v>
      </c>
    </row>
    <row r="434" spans="1:29">
      <c r="A434" s="35" t="s">
        <v>91</v>
      </c>
      <c r="B434" s="35" t="s">
        <v>92</v>
      </c>
      <c r="C434" s="49" t="s">
        <v>96</v>
      </c>
      <c r="D434" s="36">
        <v>2200</v>
      </c>
      <c r="E434" s="12">
        <v>35</v>
      </c>
      <c r="F434" s="21">
        <v>6.1739130434782599</v>
      </c>
      <c r="G434" s="35">
        <v>0</v>
      </c>
      <c r="H434" s="35">
        <v>0</v>
      </c>
      <c r="I434" s="35">
        <v>0</v>
      </c>
      <c r="J434" s="35">
        <v>0</v>
      </c>
      <c r="K434" s="35">
        <v>0</v>
      </c>
      <c r="L434" s="36">
        <v>608</v>
      </c>
      <c r="M434" s="35">
        <v>2.0299999999999998</v>
      </c>
      <c r="N434" s="21">
        <v>28.4</v>
      </c>
      <c r="O434" s="12">
        <v>0</v>
      </c>
      <c r="P434" s="35">
        <v>10</v>
      </c>
      <c r="Q434" s="35">
        <v>90</v>
      </c>
      <c r="R434" s="35">
        <v>180</v>
      </c>
      <c r="S434" s="35">
        <v>30</v>
      </c>
      <c r="T434" s="21">
        <v>1.3</v>
      </c>
      <c r="U434" s="21">
        <f t="shared" si="26"/>
        <v>0.21056338028169019</v>
      </c>
      <c r="V434" s="37" t="s">
        <v>6</v>
      </c>
      <c r="W434" s="37" t="s">
        <v>6</v>
      </c>
      <c r="X434" s="35">
        <v>120</v>
      </c>
      <c r="Y434" s="23" t="s">
        <v>6</v>
      </c>
      <c r="Z434" s="21">
        <v>5</v>
      </c>
      <c r="AA434" s="35">
        <v>5</v>
      </c>
      <c r="AB434" s="35" t="s">
        <v>1</v>
      </c>
      <c r="AC434" s="27" t="s">
        <v>95</v>
      </c>
    </row>
    <row r="435" spans="1:29">
      <c r="A435" s="35" t="s">
        <v>91</v>
      </c>
      <c r="B435" s="35" t="s">
        <v>92</v>
      </c>
      <c r="C435" s="49" t="s">
        <v>96</v>
      </c>
      <c r="D435" s="36">
        <v>2200</v>
      </c>
      <c r="E435" s="12">
        <v>35</v>
      </c>
      <c r="F435" s="21">
        <v>6.1739130434782599</v>
      </c>
      <c r="G435" s="35">
        <v>0</v>
      </c>
      <c r="H435" s="35">
        <v>0</v>
      </c>
      <c r="I435" s="35">
        <v>0</v>
      </c>
      <c r="J435" s="35">
        <v>0</v>
      </c>
      <c r="K435" s="35">
        <v>0</v>
      </c>
      <c r="L435" s="36">
        <v>608</v>
      </c>
      <c r="M435" s="35">
        <v>2.0299999999999998</v>
      </c>
      <c r="N435" s="21">
        <v>28.4</v>
      </c>
      <c r="O435" s="12">
        <v>0</v>
      </c>
      <c r="P435" s="35">
        <v>10</v>
      </c>
      <c r="Q435" s="35">
        <v>90</v>
      </c>
      <c r="R435" s="35">
        <v>180</v>
      </c>
      <c r="S435" s="35">
        <v>140</v>
      </c>
      <c r="T435" s="21">
        <v>0.78025477707006297</v>
      </c>
      <c r="U435" s="21">
        <f t="shared" si="26"/>
        <v>0.12637929487754543</v>
      </c>
      <c r="V435" s="37" t="s">
        <v>6</v>
      </c>
      <c r="W435" s="37" t="s">
        <v>6</v>
      </c>
      <c r="X435" s="35" t="s">
        <v>6</v>
      </c>
      <c r="Y435" s="23" t="s">
        <v>6</v>
      </c>
      <c r="Z435" s="21" t="s">
        <v>6</v>
      </c>
      <c r="AA435" s="35" t="s">
        <v>6</v>
      </c>
      <c r="AB435" s="35" t="s">
        <v>1</v>
      </c>
      <c r="AC435" s="27" t="s">
        <v>95</v>
      </c>
    </row>
    <row r="436" spans="1:29">
      <c r="A436" s="35" t="s">
        <v>91</v>
      </c>
      <c r="B436" s="35" t="s">
        <v>92</v>
      </c>
      <c r="C436" s="49" t="s">
        <v>96</v>
      </c>
      <c r="D436" s="36">
        <v>2200</v>
      </c>
      <c r="E436" s="12">
        <v>35</v>
      </c>
      <c r="F436" s="21">
        <v>6.1739130434782599</v>
      </c>
      <c r="G436" s="35">
        <v>0</v>
      </c>
      <c r="H436" s="35">
        <v>0</v>
      </c>
      <c r="I436" s="35">
        <v>0</v>
      </c>
      <c r="J436" s="35">
        <v>0</v>
      </c>
      <c r="K436" s="35">
        <v>0</v>
      </c>
      <c r="L436" s="36">
        <v>608</v>
      </c>
      <c r="M436" s="35">
        <v>2.0299999999999998</v>
      </c>
      <c r="N436" s="21">
        <v>28.4</v>
      </c>
      <c r="O436" s="12">
        <v>0</v>
      </c>
      <c r="P436" s="35">
        <v>10</v>
      </c>
      <c r="Q436" s="35">
        <v>90</v>
      </c>
      <c r="R436" s="35">
        <v>180</v>
      </c>
      <c r="S436" s="35">
        <v>25</v>
      </c>
      <c r="T436" s="21">
        <v>0.52707006369426701</v>
      </c>
      <c r="U436" s="21">
        <f t="shared" si="26"/>
        <v>8.537050327442354E-2</v>
      </c>
      <c r="V436" s="37" t="s">
        <v>6</v>
      </c>
      <c r="W436" s="37" t="s">
        <v>6</v>
      </c>
      <c r="X436" s="35" t="s">
        <v>6</v>
      </c>
      <c r="Y436" s="23" t="s">
        <v>6</v>
      </c>
      <c r="Z436" s="21" t="s">
        <v>6</v>
      </c>
      <c r="AA436" s="35" t="s">
        <v>6</v>
      </c>
      <c r="AB436" s="35" t="s">
        <v>1</v>
      </c>
      <c r="AC436" s="27" t="s">
        <v>95</v>
      </c>
    </row>
    <row r="437" spans="1:29">
      <c r="A437" s="35" t="s">
        <v>91</v>
      </c>
      <c r="B437" s="35" t="s">
        <v>92</v>
      </c>
      <c r="C437" s="49" t="s">
        <v>96</v>
      </c>
      <c r="D437" s="36">
        <v>2200</v>
      </c>
      <c r="E437" s="12">
        <v>47</v>
      </c>
      <c r="F437" s="21">
        <f>T437/U437</f>
        <v>8.4375</v>
      </c>
      <c r="G437" s="35">
        <v>0</v>
      </c>
      <c r="H437" s="35">
        <v>0</v>
      </c>
      <c r="I437" s="35">
        <v>0</v>
      </c>
      <c r="J437" s="35">
        <v>0</v>
      </c>
      <c r="K437" s="35">
        <v>0</v>
      </c>
      <c r="L437" s="36">
        <v>608</v>
      </c>
      <c r="M437" s="35">
        <v>2.0299999999999998</v>
      </c>
      <c r="N437" s="21">
        <v>28.4</v>
      </c>
      <c r="O437" s="12">
        <v>0</v>
      </c>
      <c r="P437" s="35">
        <v>10</v>
      </c>
      <c r="Q437" s="35">
        <v>90</v>
      </c>
      <c r="R437" s="35">
        <v>180</v>
      </c>
      <c r="S437" s="35">
        <v>25</v>
      </c>
      <c r="T437" s="35">
        <v>1.35</v>
      </c>
      <c r="U437" s="21">
        <v>0.16</v>
      </c>
      <c r="V437" s="37" t="s">
        <v>6</v>
      </c>
      <c r="W437" s="37" t="s">
        <v>6</v>
      </c>
      <c r="X437" s="35" t="s">
        <v>6</v>
      </c>
      <c r="Y437" s="23" t="s">
        <v>6</v>
      </c>
      <c r="Z437" s="21" t="s">
        <v>6</v>
      </c>
      <c r="AA437" s="35" t="s">
        <v>6</v>
      </c>
      <c r="AB437" s="35" t="s">
        <v>1</v>
      </c>
      <c r="AC437" s="27" t="s">
        <v>95</v>
      </c>
    </row>
    <row r="438" spans="1:29">
      <c r="A438" s="35" t="s">
        <v>91</v>
      </c>
      <c r="B438" s="35" t="s">
        <v>94</v>
      </c>
      <c r="C438" s="49" t="s">
        <v>98</v>
      </c>
      <c r="D438" s="36">
        <v>2372</v>
      </c>
      <c r="E438" s="12">
        <v>22</v>
      </c>
      <c r="F438" s="21">
        <f>T438/U438</f>
        <v>3.5624999999999996</v>
      </c>
      <c r="G438" s="35">
        <v>0</v>
      </c>
      <c r="H438" s="35">
        <v>0</v>
      </c>
      <c r="I438" s="35">
        <v>0</v>
      </c>
      <c r="J438" s="35">
        <v>0</v>
      </c>
      <c r="K438" s="35">
        <v>0</v>
      </c>
      <c r="L438" s="36">
        <v>608</v>
      </c>
      <c r="M438" s="35">
        <v>2.0299999999999998</v>
      </c>
      <c r="N438" s="21">
        <v>28.4</v>
      </c>
      <c r="O438" s="12">
        <v>0</v>
      </c>
      <c r="P438" s="35">
        <v>10</v>
      </c>
      <c r="Q438" s="35">
        <v>90</v>
      </c>
      <c r="R438" s="35">
        <v>180</v>
      </c>
      <c r="S438" s="35">
        <v>25</v>
      </c>
      <c r="T438" s="35">
        <v>1.1399999999999999</v>
      </c>
      <c r="U438" s="21">
        <v>0.32</v>
      </c>
      <c r="V438" s="37" t="s">
        <v>6</v>
      </c>
      <c r="W438" s="37" t="s">
        <v>6</v>
      </c>
      <c r="X438" s="35" t="s">
        <v>6</v>
      </c>
      <c r="Y438" s="23" t="s">
        <v>6</v>
      </c>
      <c r="Z438" s="21" t="s">
        <v>6</v>
      </c>
      <c r="AA438" s="35" t="s">
        <v>6</v>
      </c>
      <c r="AB438" s="35" t="s">
        <v>1</v>
      </c>
      <c r="AC438" s="27" t="s">
        <v>95</v>
      </c>
    </row>
    <row r="439" spans="1:29">
      <c r="A439" s="35" t="s">
        <v>90</v>
      </c>
      <c r="B439" s="35" t="s">
        <v>94</v>
      </c>
      <c r="C439" s="49" t="s">
        <v>98</v>
      </c>
      <c r="D439" s="36">
        <v>2372</v>
      </c>
      <c r="E439" s="12">
        <v>28.000000000000004</v>
      </c>
      <c r="F439" s="21">
        <f>T439/U439</f>
        <v>4.6538461538461533</v>
      </c>
      <c r="G439" s="35">
        <v>0</v>
      </c>
      <c r="H439" s="35">
        <v>0</v>
      </c>
      <c r="I439" s="35">
        <v>0</v>
      </c>
      <c r="J439" s="35">
        <v>0</v>
      </c>
      <c r="K439" s="35">
        <v>0</v>
      </c>
      <c r="L439" s="36">
        <v>608</v>
      </c>
      <c r="M439" s="35">
        <v>2.0299999999999998</v>
      </c>
      <c r="N439" s="21">
        <v>28.4</v>
      </c>
      <c r="O439" s="12">
        <v>0</v>
      </c>
      <c r="P439" s="35">
        <v>10</v>
      </c>
      <c r="Q439" s="35">
        <v>90</v>
      </c>
      <c r="R439" s="35">
        <v>180</v>
      </c>
      <c r="S439" s="35">
        <v>25</v>
      </c>
      <c r="T439" s="35">
        <v>1.21</v>
      </c>
      <c r="U439" s="21">
        <v>0.26</v>
      </c>
      <c r="V439" s="37" t="s">
        <v>6</v>
      </c>
      <c r="W439" s="37" t="s">
        <v>6</v>
      </c>
      <c r="X439" s="35" t="s">
        <v>6</v>
      </c>
      <c r="Y439" s="23" t="s">
        <v>6</v>
      </c>
      <c r="Z439" s="21" t="s">
        <v>6</v>
      </c>
      <c r="AA439" s="35" t="s">
        <v>6</v>
      </c>
      <c r="AB439" s="35" t="s">
        <v>1</v>
      </c>
      <c r="AC439" s="27" t="s">
        <v>95</v>
      </c>
    </row>
    <row r="440" spans="1:29">
      <c r="A440" s="35" t="s">
        <v>90</v>
      </c>
      <c r="B440" s="35" t="s">
        <v>94</v>
      </c>
      <c r="C440" s="49" t="s">
        <v>98</v>
      </c>
      <c r="D440" s="36">
        <v>2372</v>
      </c>
      <c r="E440" s="12">
        <v>35</v>
      </c>
      <c r="F440" s="21">
        <f>T440/U440</f>
        <v>5.75</v>
      </c>
      <c r="G440" s="35">
        <v>0</v>
      </c>
      <c r="H440" s="35">
        <v>0</v>
      </c>
      <c r="I440" s="35">
        <v>0</v>
      </c>
      <c r="J440" s="35">
        <v>0</v>
      </c>
      <c r="K440" s="35">
        <v>0</v>
      </c>
      <c r="L440" s="36">
        <v>608</v>
      </c>
      <c r="M440" s="35">
        <v>2.0299999999999998</v>
      </c>
      <c r="N440" s="21">
        <v>28.4</v>
      </c>
      <c r="O440" s="12">
        <v>0</v>
      </c>
      <c r="P440" s="35">
        <v>10</v>
      </c>
      <c r="Q440" s="35">
        <v>90</v>
      </c>
      <c r="R440" s="35">
        <v>180</v>
      </c>
      <c r="S440" s="35">
        <v>25</v>
      </c>
      <c r="T440" s="35">
        <v>1.38</v>
      </c>
      <c r="U440" s="21">
        <v>0.24</v>
      </c>
      <c r="V440" s="37" t="s">
        <v>6</v>
      </c>
      <c r="W440" s="37" t="s">
        <v>6</v>
      </c>
      <c r="X440" s="35" t="s">
        <v>6</v>
      </c>
      <c r="Y440" s="23" t="s">
        <v>6</v>
      </c>
      <c r="Z440" s="21" t="s">
        <v>6</v>
      </c>
      <c r="AA440" s="35" t="s">
        <v>6</v>
      </c>
      <c r="AB440" s="35" t="s">
        <v>1</v>
      </c>
      <c r="AC440" s="27" t="s">
        <v>95</v>
      </c>
    </row>
    <row r="441" spans="1:29">
      <c r="A441" s="35" t="s">
        <v>90</v>
      </c>
      <c r="B441" s="35" t="s">
        <v>94</v>
      </c>
      <c r="C441" s="49" t="s">
        <v>97</v>
      </c>
      <c r="D441" s="36">
        <v>2372</v>
      </c>
      <c r="E441" s="12">
        <v>35</v>
      </c>
      <c r="F441" s="21">
        <v>5.75</v>
      </c>
      <c r="G441" s="35">
        <v>0</v>
      </c>
      <c r="H441" s="35">
        <v>0</v>
      </c>
      <c r="I441" s="35">
        <v>0</v>
      </c>
      <c r="J441" s="35">
        <v>0</v>
      </c>
      <c r="K441" s="35">
        <v>0</v>
      </c>
      <c r="L441" s="36">
        <v>608</v>
      </c>
      <c r="M441" s="35">
        <v>2.0299999999999998</v>
      </c>
      <c r="N441" s="21">
        <v>28.4</v>
      </c>
      <c r="O441" s="12">
        <v>0</v>
      </c>
      <c r="P441" s="35">
        <v>10</v>
      </c>
      <c r="Q441" s="35">
        <v>90</v>
      </c>
      <c r="R441" s="35">
        <v>180</v>
      </c>
      <c r="S441" s="35">
        <v>50</v>
      </c>
      <c r="T441" s="35">
        <v>1.25</v>
      </c>
      <c r="U441" s="21">
        <f t="shared" ref="U441:U447" si="27">T441/F441</f>
        <v>0.21739130434782608</v>
      </c>
      <c r="V441" s="37" t="s">
        <v>6</v>
      </c>
      <c r="W441" s="37" t="s">
        <v>6</v>
      </c>
      <c r="X441" s="35" t="s">
        <v>6</v>
      </c>
      <c r="Y441" s="23" t="s">
        <v>6</v>
      </c>
      <c r="Z441" s="21" t="s">
        <v>6</v>
      </c>
      <c r="AA441" s="35" t="s">
        <v>6</v>
      </c>
      <c r="AB441" s="35" t="s">
        <v>1</v>
      </c>
      <c r="AC441" s="27" t="s">
        <v>95</v>
      </c>
    </row>
    <row r="442" spans="1:29">
      <c r="A442" s="35" t="s">
        <v>90</v>
      </c>
      <c r="B442" s="35" t="s">
        <v>94</v>
      </c>
      <c r="C442" s="49" t="s">
        <v>265</v>
      </c>
      <c r="D442" s="36">
        <v>2373</v>
      </c>
      <c r="E442" s="12">
        <v>135</v>
      </c>
      <c r="F442" s="21">
        <v>6.75</v>
      </c>
      <c r="G442" s="35">
        <v>0</v>
      </c>
      <c r="H442" s="35">
        <v>0</v>
      </c>
      <c r="I442" s="35">
        <v>0</v>
      </c>
      <c r="J442" s="35">
        <v>0</v>
      </c>
      <c r="K442" s="35">
        <v>0</v>
      </c>
      <c r="L442" s="36">
        <v>608</v>
      </c>
      <c r="M442" s="35">
        <v>2.0299999999999998</v>
      </c>
      <c r="N442" s="21">
        <v>28.4</v>
      </c>
      <c r="O442" s="12">
        <v>0</v>
      </c>
      <c r="P442" s="35">
        <v>10</v>
      </c>
      <c r="Q442" s="35">
        <v>90</v>
      </c>
      <c r="R442" s="35">
        <v>180</v>
      </c>
      <c r="S442" s="35">
        <v>75</v>
      </c>
      <c r="T442" s="35">
        <v>1.1499999999999999</v>
      </c>
      <c r="U442" s="21">
        <f t="shared" si="27"/>
        <v>0.17037037037037037</v>
      </c>
      <c r="V442" s="37" t="s">
        <v>6</v>
      </c>
      <c r="W442" s="37" t="s">
        <v>6</v>
      </c>
      <c r="X442" s="37" t="s">
        <v>6</v>
      </c>
      <c r="Y442" s="23" t="s">
        <v>6</v>
      </c>
      <c r="Z442" s="21" t="s">
        <v>6</v>
      </c>
      <c r="AA442" s="37" t="s">
        <v>6</v>
      </c>
      <c r="AB442" s="35" t="s">
        <v>1</v>
      </c>
      <c r="AC442" s="27" t="s">
        <v>95</v>
      </c>
    </row>
    <row r="443" spans="1:29">
      <c r="A443" s="35" t="s">
        <v>90</v>
      </c>
      <c r="B443" s="35" t="s">
        <v>94</v>
      </c>
      <c r="C443" s="49" t="s">
        <v>97</v>
      </c>
      <c r="D443" s="36">
        <v>2372</v>
      </c>
      <c r="E443" s="12">
        <v>35</v>
      </c>
      <c r="F443" s="21">
        <v>5.75</v>
      </c>
      <c r="G443" s="35">
        <v>0</v>
      </c>
      <c r="H443" s="35">
        <v>0</v>
      </c>
      <c r="I443" s="35">
        <v>0</v>
      </c>
      <c r="J443" s="35">
        <v>0</v>
      </c>
      <c r="K443" s="35">
        <v>0</v>
      </c>
      <c r="L443" s="36">
        <v>608</v>
      </c>
      <c r="M443" s="35">
        <v>2.0299999999999998</v>
      </c>
      <c r="N443" s="21">
        <v>28.4</v>
      </c>
      <c r="O443" s="12">
        <v>0</v>
      </c>
      <c r="P443" s="35">
        <v>10</v>
      </c>
      <c r="Q443" s="35">
        <v>90</v>
      </c>
      <c r="R443" s="35">
        <v>180</v>
      </c>
      <c r="S443" s="35">
        <v>100</v>
      </c>
      <c r="T443" s="21">
        <v>1.14171974522292</v>
      </c>
      <c r="U443" s="21">
        <f t="shared" si="27"/>
        <v>0.19855995569094259</v>
      </c>
      <c r="V443" s="37" t="s">
        <v>6</v>
      </c>
      <c r="W443" s="37" t="s">
        <v>6</v>
      </c>
      <c r="X443" s="35" t="s">
        <v>6</v>
      </c>
      <c r="Y443" s="23" t="s">
        <v>6</v>
      </c>
      <c r="Z443" s="21" t="s">
        <v>6</v>
      </c>
      <c r="AA443" s="35" t="s">
        <v>6</v>
      </c>
      <c r="AB443" s="35" t="s">
        <v>1</v>
      </c>
      <c r="AC443" s="27" t="s">
        <v>95</v>
      </c>
    </row>
    <row r="444" spans="1:29">
      <c r="A444" s="35" t="s">
        <v>90</v>
      </c>
      <c r="B444" s="35" t="s">
        <v>94</v>
      </c>
      <c r="C444" s="49" t="s">
        <v>97</v>
      </c>
      <c r="D444" s="36">
        <v>2372</v>
      </c>
      <c r="E444" s="12">
        <v>35</v>
      </c>
      <c r="F444" s="21">
        <v>5.75</v>
      </c>
      <c r="G444" s="35">
        <v>0</v>
      </c>
      <c r="H444" s="35">
        <v>0</v>
      </c>
      <c r="I444" s="35">
        <v>0</v>
      </c>
      <c r="J444" s="35">
        <v>0</v>
      </c>
      <c r="K444" s="35">
        <v>0</v>
      </c>
      <c r="L444" s="36">
        <v>608</v>
      </c>
      <c r="M444" s="35">
        <v>2.0299999999999998</v>
      </c>
      <c r="N444" s="21">
        <v>28.4</v>
      </c>
      <c r="O444" s="12">
        <v>0</v>
      </c>
      <c r="P444" s="35">
        <v>10</v>
      </c>
      <c r="Q444" s="35">
        <v>90</v>
      </c>
      <c r="R444" s="35">
        <v>180</v>
      </c>
      <c r="S444" s="35">
        <v>120</v>
      </c>
      <c r="T444" s="21">
        <v>1.14012738853503</v>
      </c>
      <c r="U444" s="21">
        <f t="shared" si="27"/>
        <v>0.19828302409304871</v>
      </c>
      <c r="V444" s="37" t="s">
        <v>6</v>
      </c>
      <c r="W444" s="37" t="s">
        <v>6</v>
      </c>
      <c r="X444" s="35">
        <v>120</v>
      </c>
      <c r="Y444" s="23" t="s">
        <v>6</v>
      </c>
      <c r="Z444" s="21">
        <v>32</v>
      </c>
      <c r="AA444" s="35">
        <v>5</v>
      </c>
      <c r="AB444" s="35" t="s">
        <v>1</v>
      </c>
      <c r="AC444" s="27" t="s">
        <v>95</v>
      </c>
    </row>
    <row r="445" spans="1:29">
      <c r="A445" s="35" t="s">
        <v>90</v>
      </c>
      <c r="B445" s="35" t="s">
        <v>93</v>
      </c>
      <c r="C445" s="49" t="s">
        <v>97</v>
      </c>
      <c r="D445" s="36">
        <v>2372</v>
      </c>
      <c r="E445" s="12">
        <v>35</v>
      </c>
      <c r="F445" s="21">
        <v>5.75</v>
      </c>
      <c r="G445" s="35">
        <v>0</v>
      </c>
      <c r="H445" s="35">
        <v>0</v>
      </c>
      <c r="I445" s="35">
        <v>0</v>
      </c>
      <c r="J445" s="35">
        <v>0</v>
      </c>
      <c r="K445" s="35">
        <v>0</v>
      </c>
      <c r="L445" s="36">
        <v>608</v>
      </c>
      <c r="M445" s="35">
        <v>2.0299999999999998</v>
      </c>
      <c r="N445" s="21">
        <v>28.4</v>
      </c>
      <c r="O445" s="12">
        <v>0</v>
      </c>
      <c r="P445" s="35">
        <v>10</v>
      </c>
      <c r="Q445" s="35">
        <v>90</v>
      </c>
      <c r="R445" s="35">
        <v>180</v>
      </c>
      <c r="S445" s="35">
        <v>30</v>
      </c>
      <c r="T445" s="21">
        <v>4.1666666666666664E-2</v>
      </c>
      <c r="U445" s="21">
        <f t="shared" si="27"/>
        <v>7.2463768115942021E-3</v>
      </c>
      <c r="V445" s="37" t="s">
        <v>6</v>
      </c>
      <c r="W445" s="37" t="s">
        <v>6</v>
      </c>
      <c r="X445" s="35">
        <v>120</v>
      </c>
      <c r="Y445" s="23" t="s">
        <v>6</v>
      </c>
      <c r="Z445" s="21">
        <v>17</v>
      </c>
      <c r="AA445" s="35">
        <v>5</v>
      </c>
      <c r="AB445" s="35" t="s">
        <v>1</v>
      </c>
      <c r="AC445" s="27" t="s">
        <v>95</v>
      </c>
    </row>
    <row r="446" spans="1:29">
      <c r="A446" s="35" t="s">
        <v>90</v>
      </c>
      <c r="B446" s="35" t="s">
        <v>94</v>
      </c>
      <c r="C446" s="49" t="s">
        <v>97</v>
      </c>
      <c r="D446" s="36">
        <v>2372</v>
      </c>
      <c r="E446" s="12">
        <v>35</v>
      </c>
      <c r="F446" s="21">
        <v>5.75</v>
      </c>
      <c r="G446" s="35">
        <v>0</v>
      </c>
      <c r="H446" s="35">
        <v>0</v>
      </c>
      <c r="I446" s="35">
        <v>0</v>
      </c>
      <c r="J446" s="35">
        <v>0</v>
      </c>
      <c r="K446" s="35">
        <v>0</v>
      </c>
      <c r="L446" s="36">
        <v>608</v>
      </c>
      <c r="M446" s="35">
        <v>2.0299999999999998</v>
      </c>
      <c r="N446" s="21">
        <v>28.4</v>
      </c>
      <c r="O446" s="12">
        <v>0</v>
      </c>
      <c r="P446" s="35">
        <v>10</v>
      </c>
      <c r="Q446" s="35">
        <v>90</v>
      </c>
      <c r="R446" s="35">
        <v>180</v>
      </c>
      <c r="S446" s="35">
        <v>140</v>
      </c>
      <c r="T446" s="21">
        <v>1.00955414012738</v>
      </c>
      <c r="U446" s="21">
        <f t="shared" si="27"/>
        <v>0.17557463306563131</v>
      </c>
      <c r="V446" s="37" t="s">
        <v>6</v>
      </c>
      <c r="W446" s="37" t="s">
        <v>6</v>
      </c>
      <c r="X446" s="35" t="s">
        <v>6</v>
      </c>
      <c r="Y446" s="23" t="s">
        <v>6</v>
      </c>
      <c r="Z446" s="21" t="s">
        <v>6</v>
      </c>
      <c r="AA446" s="35" t="s">
        <v>6</v>
      </c>
      <c r="AB446" s="35" t="s">
        <v>1</v>
      </c>
      <c r="AC446" s="27" t="s">
        <v>95</v>
      </c>
    </row>
    <row r="447" spans="1:29">
      <c r="A447" s="35" t="s">
        <v>90</v>
      </c>
      <c r="B447" s="35" t="s">
        <v>94</v>
      </c>
      <c r="C447" s="49" t="s">
        <v>97</v>
      </c>
      <c r="D447" s="36">
        <v>2372</v>
      </c>
      <c r="E447" s="12">
        <v>35</v>
      </c>
      <c r="F447" s="21">
        <v>5.75</v>
      </c>
      <c r="G447" s="35">
        <v>0</v>
      </c>
      <c r="H447" s="35">
        <v>0</v>
      </c>
      <c r="I447" s="35">
        <v>0</v>
      </c>
      <c r="J447" s="35">
        <v>0</v>
      </c>
      <c r="K447" s="35">
        <v>0</v>
      </c>
      <c r="L447" s="36">
        <v>608</v>
      </c>
      <c r="M447" s="35">
        <v>2.0299999999999998</v>
      </c>
      <c r="N447" s="21">
        <v>28.4</v>
      </c>
      <c r="O447" s="12">
        <v>0</v>
      </c>
      <c r="P447" s="35">
        <v>10</v>
      </c>
      <c r="Q447" s="35">
        <v>90</v>
      </c>
      <c r="R447" s="35">
        <v>180</v>
      </c>
      <c r="S447" s="35">
        <v>25</v>
      </c>
      <c r="T447" s="21">
        <v>0.89968152866242002</v>
      </c>
      <c r="U447" s="21">
        <f t="shared" si="27"/>
        <v>0.15646635281085566</v>
      </c>
      <c r="V447" s="37" t="s">
        <v>6</v>
      </c>
      <c r="W447" s="37" t="s">
        <v>6</v>
      </c>
      <c r="X447" s="35" t="s">
        <v>6</v>
      </c>
      <c r="Y447" s="23" t="s">
        <v>6</v>
      </c>
      <c r="Z447" s="21" t="s">
        <v>6</v>
      </c>
      <c r="AA447" s="35" t="s">
        <v>6</v>
      </c>
      <c r="AB447" s="35" t="s">
        <v>1</v>
      </c>
      <c r="AC447" s="27" t="s">
        <v>95</v>
      </c>
    </row>
    <row r="448" spans="1:29">
      <c r="A448" s="35" t="s">
        <v>90</v>
      </c>
      <c r="B448" s="35" t="s">
        <v>94</v>
      </c>
      <c r="C448" s="49" t="s">
        <v>97</v>
      </c>
      <c r="D448" s="36">
        <v>2372</v>
      </c>
      <c r="E448" s="12">
        <v>44</v>
      </c>
      <c r="F448" s="21">
        <f>T448/U448</f>
        <v>7.4285714285714279</v>
      </c>
      <c r="G448" s="35">
        <v>0</v>
      </c>
      <c r="H448" s="35">
        <v>0</v>
      </c>
      <c r="I448" s="35">
        <v>0</v>
      </c>
      <c r="J448" s="35">
        <v>0</v>
      </c>
      <c r="K448" s="35">
        <v>0</v>
      </c>
      <c r="L448" s="36">
        <v>608</v>
      </c>
      <c r="M448" s="35">
        <v>2.0299999999999998</v>
      </c>
      <c r="N448" s="21">
        <v>28.4</v>
      </c>
      <c r="O448" s="12">
        <v>0</v>
      </c>
      <c r="P448" s="35">
        <v>10</v>
      </c>
      <c r="Q448" s="35">
        <v>90</v>
      </c>
      <c r="R448" s="35">
        <v>180</v>
      </c>
      <c r="S448" s="35">
        <v>25</v>
      </c>
      <c r="T448" s="35">
        <v>1.04</v>
      </c>
      <c r="U448" s="21">
        <v>0.14000000000000001</v>
      </c>
      <c r="V448" s="37" t="s">
        <v>6</v>
      </c>
      <c r="W448" s="37" t="s">
        <v>6</v>
      </c>
      <c r="X448" s="35" t="s">
        <v>6</v>
      </c>
      <c r="Y448" s="23" t="s">
        <v>6</v>
      </c>
      <c r="Z448" s="21" t="s">
        <v>6</v>
      </c>
      <c r="AA448" s="35" t="s">
        <v>6</v>
      </c>
      <c r="AB448" s="35" t="s">
        <v>1</v>
      </c>
      <c r="AC448" s="27" t="s">
        <v>95</v>
      </c>
    </row>
    <row r="449" spans="1:29">
      <c r="A449" s="35" t="s">
        <v>91</v>
      </c>
      <c r="B449" s="35" t="s">
        <v>3</v>
      </c>
      <c r="C449" s="35" t="s">
        <v>65</v>
      </c>
      <c r="D449" s="36">
        <v>189</v>
      </c>
      <c r="E449" s="14">
        <v>55</v>
      </c>
      <c r="F449" s="21">
        <v>10.050000000000001</v>
      </c>
      <c r="G449" s="35" t="s">
        <v>55</v>
      </c>
      <c r="H449" s="35">
        <v>0</v>
      </c>
      <c r="I449" s="21">
        <f>20/35</f>
        <v>0.5714285714285714</v>
      </c>
      <c r="J449" s="35">
        <v>0</v>
      </c>
      <c r="K449" s="12">
        <v>0.3785523589963441</v>
      </c>
      <c r="L449" s="36">
        <v>272</v>
      </c>
      <c r="M449" s="35">
        <v>1.54</v>
      </c>
      <c r="N449" s="21">
        <v>28</v>
      </c>
      <c r="O449" s="12">
        <v>0</v>
      </c>
      <c r="P449" s="35">
        <v>100</v>
      </c>
      <c r="Q449" s="35">
        <v>70</v>
      </c>
      <c r="R449" s="36">
        <v>100</v>
      </c>
      <c r="S449" s="35">
        <v>40</v>
      </c>
      <c r="T449" s="21">
        <v>4.16</v>
      </c>
      <c r="U449" s="21">
        <v>0.41</v>
      </c>
      <c r="V449" s="37" t="s">
        <v>1</v>
      </c>
      <c r="W449" s="37" t="s">
        <v>1</v>
      </c>
      <c r="X449" s="35" t="s">
        <v>1</v>
      </c>
      <c r="Y449" s="23" t="s">
        <v>6</v>
      </c>
      <c r="Z449" s="21" t="s">
        <v>6</v>
      </c>
      <c r="AA449" s="35" t="s">
        <v>1</v>
      </c>
      <c r="AB449" s="35" t="s">
        <v>1</v>
      </c>
      <c r="AC449" s="1" t="s">
        <v>247</v>
      </c>
    </row>
    <row r="450" spans="1:29">
      <c r="A450" s="35" t="s">
        <v>91</v>
      </c>
      <c r="B450" s="35" t="s">
        <v>3</v>
      </c>
      <c r="C450" s="35" t="s">
        <v>65</v>
      </c>
      <c r="D450" s="36">
        <v>189</v>
      </c>
      <c r="E450" s="14">
        <v>65</v>
      </c>
      <c r="F450" s="21">
        <v>12.52</v>
      </c>
      <c r="G450" s="35" t="s">
        <v>55</v>
      </c>
      <c r="H450" s="35">
        <v>0</v>
      </c>
      <c r="I450" s="21">
        <f>20/45</f>
        <v>0.44444444444444442</v>
      </c>
      <c r="J450" s="35">
        <v>0</v>
      </c>
      <c r="K450" s="12">
        <v>0.30386990478540404</v>
      </c>
      <c r="L450" s="36">
        <v>272</v>
      </c>
      <c r="M450" s="35">
        <v>1.54</v>
      </c>
      <c r="N450" s="21">
        <v>28</v>
      </c>
      <c r="O450" s="12">
        <v>0</v>
      </c>
      <c r="P450" s="35">
        <v>100</v>
      </c>
      <c r="Q450" s="35">
        <v>70</v>
      </c>
      <c r="R450" s="36">
        <v>100</v>
      </c>
      <c r="S450" s="35">
        <v>40</v>
      </c>
      <c r="T450" s="21">
        <v>5.03</v>
      </c>
      <c r="U450" s="21">
        <v>0.4</v>
      </c>
      <c r="V450" s="37" t="s">
        <v>1</v>
      </c>
      <c r="W450" s="37" t="s">
        <v>1</v>
      </c>
      <c r="X450" s="35" t="s">
        <v>1</v>
      </c>
      <c r="Y450" s="23" t="s">
        <v>6</v>
      </c>
      <c r="Z450" s="21" t="s">
        <v>6</v>
      </c>
      <c r="AA450" s="35" t="s">
        <v>1</v>
      </c>
      <c r="AB450" s="35" t="s">
        <v>1</v>
      </c>
      <c r="AC450" s="1" t="s">
        <v>247</v>
      </c>
    </row>
    <row r="451" spans="1:29">
      <c r="A451" s="35" t="s">
        <v>91</v>
      </c>
      <c r="B451" s="35" t="s">
        <v>3</v>
      </c>
      <c r="C451" s="35" t="s">
        <v>65</v>
      </c>
      <c r="D451" s="36">
        <v>189</v>
      </c>
      <c r="E451" s="14">
        <v>75</v>
      </c>
      <c r="F451" s="21">
        <v>11.86</v>
      </c>
      <c r="G451" s="35" t="s">
        <v>55</v>
      </c>
      <c r="H451" s="35">
        <v>0</v>
      </c>
      <c r="I451" s="21">
        <f>40/35</f>
        <v>1.1428571428571428</v>
      </c>
      <c r="J451" s="35">
        <v>0</v>
      </c>
      <c r="K451" s="12">
        <v>0.64156006878807059</v>
      </c>
      <c r="L451" s="36">
        <v>272</v>
      </c>
      <c r="M451" s="35">
        <v>1.54</v>
      </c>
      <c r="N451" s="21">
        <v>28</v>
      </c>
      <c r="O451" s="12">
        <v>0</v>
      </c>
      <c r="P451" s="35">
        <v>100</v>
      </c>
      <c r="Q451" s="35">
        <v>70</v>
      </c>
      <c r="R451" s="36">
        <v>100</v>
      </c>
      <c r="S451" s="35">
        <v>40</v>
      </c>
      <c r="T451" s="21">
        <v>4.6500000000000004</v>
      </c>
      <c r="U451" s="21">
        <v>0.39</v>
      </c>
      <c r="V451" s="37" t="s">
        <v>1</v>
      </c>
      <c r="W451" s="37" t="s">
        <v>1</v>
      </c>
      <c r="X451" s="35" t="s">
        <v>1</v>
      </c>
      <c r="Y451" s="23" t="s">
        <v>6</v>
      </c>
      <c r="Z451" s="21" t="s">
        <v>6</v>
      </c>
      <c r="AA451" s="35" t="s">
        <v>1</v>
      </c>
      <c r="AB451" s="35" t="s">
        <v>1</v>
      </c>
      <c r="AC451" s="27" t="s">
        <v>101</v>
      </c>
    </row>
    <row r="452" spans="1:29">
      <c r="A452" s="35" t="s">
        <v>91</v>
      </c>
      <c r="B452" s="35" t="s">
        <v>3</v>
      </c>
      <c r="C452" s="35" t="s">
        <v>65</v>
      </c>
      <c r="D452" s="36">
        <v>189</v>
      </c>
      <c r="E452" s="14">
        <v>85</v>
      </c>
      <c r="F452" s="21">
        <v>14.11</v>
      </c>
      <c r="G452" s="35" t="s">
        <v>55</v>
      </c>
      <c r="H452" s="35">
        <v>0</v>
      </c>
      <c r="I452" s="21">
        <v>0.88888888888888884</v>
      </c>
      <c r="J452" s="35">
        <v>0</v>
      </c>
      <c r="K452" s="12">
        <v>0.53925601813086588</v>
      </c>
      <c r="L452" s="36">
        <v>272</v>
      </c>
      <c r="M452" s="35">
        <v>1.54</v>
      </c>
      <c r="N452" s="21">
        <v>28</v>
      </c>
      <c r="O452" s="12">
        <v>0</v>
      </c>
      <c r="P452" s="35">
        <v>100</v>
      </c>
      <c r="Q452" s="35">
        <v>70</v>
      </c>
      <c r="R452" s="36">
        <v>100</v>
      </c>
      <c r="S452" s="35">
        <v>40</v>
      </c>
      <c r="T452" s="21">
        <v>4.9800000000000004</v>
      </c>
      <c r="U452" s="21">
        <v>0.35</v>
      </c>
      <c r="V452" s="37" t="s">
        <v>1</v>
      </c>
      <c r="W452" s="37" t="s">
        <v>1</v>
      </c>
      <c r="X452" s="35" t="s">
        <v>1</v>
      </c>
      <c r="Y452" s="23" t="s">
        <v>6</v>
      </c>
      <c r="Z452" s="21" t="s">
        <v>6</v>
      </c>
      <c r="AA452" s="35" t="s">
        <v>1</v>
      </c>
      <c r="AB452" s="35" t="s">
        <v>1</v>
      </c>
      <c r="AC452" s="1" t="s">
        <v>247</v>
      </c>
    </row>
    <row r="453" spans="1:29">
      <c r="A453" s="35" t="s">
        <v>91</v>
      </c>
      <c r="B453" s="35" t="s">
        <v>3</v>
      </c>
      <c r="C453" s="35" t="s">
        <v>65</v>
      </c>
      <c r="D453" s="36">
        <v>189</v>
      </c>
      <c r="E453" s="14">
        <v>55</v>
      </c>
      <c r="F453" s="21">
        <v>9.5</v>
      </c>
      <c r="G453" s="35" t="s">
        <v>55</v>
      </c>
      <c r="H453" s="35">
        <v>0</v>
      </c>
      <c r="I453" s="21">
        <v>0.5714285714285714</v>
      </c>
      <c r="J453" s="35">
        <v>0</v>
      </c>
      <c r="K453" s="12">
        <v>0.4004685482013956</v>
      </c>
      <c r="L453" s="36">
        <v>272</v>
      </c>
      <c r="M453" s="35">
        <v>1.54</v>
      </c>
      <c r="N453" s="21">
        <v>28</v>
      </c>
      <c r="O453" s="12">
        <v>0</v>
      </c>
      <c r="P453" s="35">
        <v>100</v>
      </c>
      <c r="Q453" s="35">
        <v>70</v>
      </c>
      <c r="R453" s="36">
        <v>100</v>
      </c>
      <c r="S453" s="35">
        <v>40</v>
      </c>
      <c r="T453" s="21">
        <v>4.4400000000000004</v>
      </c>
      <c r="U453" s="21">
        <v>0.47</v>
      </c>
      <c r="V453" s="37" t="s">
        <v>1</v>
      </c>
      <c r="W453" s="37" t="s">
        <v>1</v>
      </c>
      <c r="X453" s="35" t="s">
        <v>1</v>
      </c>
      <c r="Y453" s="23" t="s">
        <v>6</v>
      </c>
      <c r="Z453" s="21" t="s">
        <v>6</v>
      </c>
      <c r="AA453" s="35" t="s">
        <v>1</v>
      </c>
      <c r="AB453" s="35" t="s">
        <v>1</v>
      </c>
      <c r="AC453" s="27" t="s">
        <v>101</v>
      </c>
    </row>
    <row r="454" spans="1:29">
      <c r="A454" s="35" t="s">
        <v>91</v>
      </c>
      <c r="B454" s="35" t="s">
        <v>3</v>
      </c>
      <c r="C454" s="35" t="s">
        <v>65</v>
      </c>
      <c r="D454" s="36">
        <v>189</v>
      </c>
      <c r="E454" s="14">
        <v>65</v>
      </c>
      <c r="F454" s="21">
        <v>12.47</v>
      </c>
      <c r="G454" s="35" t="s">
        <v>55</v>
      </c>
      <c r="H454" s="35">
        <v>0</v>
      </c>
      <c r="I454" s="21">
        <v>0.44444444444444442</v>
      </c>
      <c r="J454" s="35">
        <v>0</v>
      </c>
      <c r="K454" s="12">
        <v>0.30508830857363739</v>
      </c>
      <c r="L454" s="36">
        <v>272</v>
      </c>
      <c r="M454" s="35">
        <v>1.54</v>
      </c>
      <c r="N454" s="21">
        <v>28</v>
      </c>
      <c r="O454" s="12">
        <v>0</v>
      </c>
      <c r="P454" s="35">
        <v>100</v>
      </c>
      <c r="Q454" s="35">
        <v>70</v>
      </c>
      <c r="R454" s="36">
        <v>100</v>
      </c>
      <c r="S454" s="35">
        <v>40</v>
      </c>
      <c r="T454" s="21">
        <v>5.09</v>
      </c>
      <c r="U454" s="21">
        <v>0.41</v>
      </c>
      <c r="V454" s="37" t="s">
        <v>1</v>
      </c>
      <c r="W454" s="37" t="s">
        <v>1</v>
      </c>
      <c r="X454" s="35" t="s">
        <v>1</v>
      </c>
      <c r="Y454" s="23" t="s">
        <v>6</v>
      </c>
      <c r="Z454" s="21" t="s">
        <v>6</v>
      </c>
      <c r="AA454" s="35" t="s">
        <v>1</v>
      </c>
      <c r="AB454" s="35" t="s">
        <v>1</v>
      </c>
      <c r="AC454" s="27" t="s">
        <v>101</v>
      </c>
    </row>
    <row r="455" spans="1:29">
      <c r="A455" s="35" t="s">
        <v>91</v>
      </c>
      <c r="B455" s="35" t="s">
        <v>3</v>
      </c>
      <c r="C455" s="35" t="s">
        <v>65</v>
      </c>
      <c r="D455" s="36">
        <v>189</v>
      </c>
      <c r="E455" s="14">
        <v>75</v>
      </c>
      <c r="F455" s="21">
        <v>11.54</v>
      </c>
      <c r="G455" s="35" t="s">
        <v>55</v>
      </c>
      <c r="H455" s="35">
        <v>0</v>
      </c>
      <c r="I455" s="21">
        <v>0.87499999999999989</v>
      </c>
      <c r="J455" s="35">
        <v>0</v>
      </c>
      <c r="K455" s="12">
        <v>0.65935029599883166</v>
      </c>
      <c r="L455" s="36">
        <v>272</v>
      </c>
      <c r="M455" s="35">
        <v>1.54</v>
      </c>
      <c r="N455" s="21">
        <v>28</v>
      </c>
      <c r="O455" s="12">
        <v>0</v>
      </c>
      <c r="P455" s="35">
        <v>100</v>
      </c>
      <c r="Q455" s="35">
        <v>70</v>
      </c>
      <c r="R455" s="36">
        <v>100</v>
      </c>
      <c r="S455" s="35">
        <v>40</v>
      </c>
      <c r="T455" s="21">
        <v>5.0199999999999996</v>
      </c>
      <c r="U455" s="21">
        <v>0.43</v>
      </c>
      <c r="V455" s="37" t="s">
        <v>1</v>
      </c>
      <c r="W455" s="37" t="s">
        <v>1</v>
      </c>
      <c r="X455" s="35" t="s">
        <v>1</v>
      </c>
      <c r="Y455" s="23" t="s">
        <v>6</v>
      </c>
      <c r="Z455" s="21" t="s">
        <v>6</v>
      </c>
      <c r="AA455" s="35" t="s">
        <v>1</v>
      </c>
      <c r="AB455" s="35" t="s">
        <v>1</v>
      </c>
      <c r="AC455" s="27" t="s">
        <v>101</v>
      </c>
    </row>
    <row r="456" spans="1:29">
      <c r="A456" s="35" t="s">
        <v>91</v>
      </c>
      <c r="B456" s="35" t="s">
        <v>3</v>
      </c>
      <c r="C456" s="35" t="s">
        <v>65</v>
      </c>
      <c r="D456" s="36">
        <v>189</v>
      </c>
      <c r="E456" s="14">
        <v>85</v>
      </c>
      <c r="F456" s="21">
        <v>14.09</v>
      </c>
      <c r="G456" s="35" t="s">
        <v>55</v>
      </c>
      <c r="H456" s="35">
        <v>0</v>
      </c>
      <c r="I456" s="21">
        <v>0.88888888888888884</v>
      </c>
      <c r="J456" s="35">
        <v>0</v>
      </c>
      <c r="K456" s="12">
        <v>0.54002146315305299</v>
      </c>
      <c r="L456" s="36">
        <v>272</v>
      </c>
      <c r="M456" s="35">
        <v>1.54</v>
      </c>
      <c r="N456" s="21">
        <v>28</v>
      </c>
      <c r="O456" s="12">
        <v>0</v>
      </c>
      <c r="P456" s="35">
        <v>100</v>
      </c>
      <c r="Q456" s="35">
        <v>70</v>
      </c>
      <c r="R456" s="36">
        <v>100</v>
      </c>
      <c r="S456" s="35">
        <v>40</v>
      </c>
      <c r="T456" s="35">
        <v>3.85</v>
      </c>
      <c r="U456" s="21">
        <v>0.27</v>
      </c>
      <c r="V456" s="37" t="s">
        <v>1</v>
      </c>
      <c r="W456" s="37" t="s">
        <v>1</v>
      </c>
      <c r="X456" s="35" t="s">
        <v>1</v>
      </c>
      <c r="Y456" s="23" t="s">
        <v>6</v>
      </c>
      <c r="Z456" s="21" t="s">
        <v>6</v>
      </c>
      <c r="AA456" s="35" t="s">
        <v>1</v>
      </c>
      <c r="AB456" s="35" t="s">
        <v>1</v>
      </c>
      <c r="AC456" s="27" t="s">
        <v>101</v>
      </c>
    </row>
    <row r="457" spans="1:29">
      <c r="A457" s="35" t="s">
        <v>91</v>
      </c>
      <c r="B457" s="35" t="s">
        <v>3</v>
      </c>
      <c r="C457" s="35" t="s">
        <v>65</v>
      </c>
      <c r="D457" s="36">
        <v>189</v>
      </c>
      <c r="E457" s="14">
        <v>61.59</v>
      </c>
      <c r="F457" s="21">
        <v>10.19</v>
      </c>
      <c r="G457" s="35" t="s">
        <v>55</v>
      </c>
      <c r="H457" s="35">
        <v>0</v>
      </c>
      <c r="I457" s="21">
        <v>0.94966761633428309</v>
      </c>
      <c r="J457" s="35">
        <v>0</v>
      </c>
      <c r="K457" s="12">
        <v>0.56002716505101946</v>
      </c>
      <c r="L457" s="36">
        <v>272</v>
      </c>
      <c r="M457" s="35">
        <v>1.54</v>
      </c>
      <c r="N457" s="21">
        <v>28</v>
      </c>
      <c r="O457" s="12">
        <v>0</v>
      </c>
      <c r="P457" s="35">
        <v>100</v>
      </c>
      <c r="Q457" s="35">
        <v>70</v>
      </c>
      <c r="R457" s="36">
        <v>100</v>
      </c>
      <c r="S457" s="35">
        <v>40</v>
      </c>
      <c r="T457" s="21">
        <v>5.12</v>
      </c>
      <c r="U457" s="21">
        <v>0.5</v>
      </c>
      <c r="V457" s="37" t="s">
        <v>1</v>
      </c>
      <c r="W457" s="37" t="s">
        <v>1</v>
      </c>
      <c r="X457" s="35" t="s">
        <v>1</v>
      </c>
      <c r="Y457" s="23" t="s">
        <v>6</v>
      </c>
      <c r="Z457" s="21" t="s">
        <v>6</v>
      </c>
      <c r="AA457" s="35" t="s">
        <v>1</v>
      </c>
      <c r="AB457" s="35" t="s">
        <v>1</v>
      </c>
      <c r="AC457" s="27" t="s">
        <v>101</v>
      </c>
    </row>
    <row r="458" spans="1:29">
      <c r="A458" s="35" t="s">
        <v>91</v>
      </c>
      <c r="B458" s="35" t="s">
        <v>3</v>
      </c>
      <c r="C458" s="35" t="s">
        <v>65</v>
      </c>
      <c r="D458" s="36">
        <v>189</v>
      </c>
      <c r="E458" s="14">
        <v>78.41</v>
      </c>
      <c r="F458" s="21">
        <v>14.16</v>
      </c>
      <c r="G458" s="35" t="s">
        <v>55</v>
      </c>
      <c r="H458" s="35">
        <v>0</v>
      </c>
      <c r="I458" s="21">
        <v>0.61970667217516917</v>
      </c>
      <c r="J458" s="35">
        <v>0</v>
      </c>
      <c r="K458" s="12">
        <v>0.40301389914335362</v>
      </c>
      <c r="L458" s="36">
        <v>272</v>
      </c>
      <c r="M458" s="35">
        <v>1.54</v>
      </c>
      <c r="N458" s="21">
        <v>28</v>
      </c>
      <c r="O458" s="12">
        <v>0</v>
      </c>
      <c r="P458" s="35">
        <v>100</v>
      </c>
      <c r="Q458" s="35">
        <v>70</v>
      </c>
      <c r="R458" s="36">
        <v>100</v>
      </c>
      <c r="S458" s="35">
        <v>40</v>
      </c>
      <c r="T458" s="21">
        <v>5.39</v>
      </c>
      <c r="U458" s="21">
        <v>0.38</v>
      </c>
      <c r="V458" s="37" t="s">
        <v>1</v>
      </c>
      <c r="W458" s="37" t="s">
        <v>1</v>
      </c>
      <c r="X458" s="35" t="s">
        <v>1</v>
      </c>
      <c r="Y458" s="23" t="s">
        <v>6</v>
      </c>
      <c r="Z458" s="21" t="s">
        <v>6</v>
      </c>
      <c r="AA458" s="35" t="s">
        <v>1</v>
      </c>
      <c r="AB458" s="35" t="s">
        <v>1</v>
      </c>
      <c r="AC458" s="27" t="s">
        <v>101</v>
      </c>
    </row>
    <row r="459" spans="1:29">
      <c r="A459" s="35" t="s">
        <v>91</v>
      </c>
      <c r="B459" s="35" t="s">
        <v>3</v>
      </c>
      <c r="C459" s="35" t="s">
        <v>65</v>
      </c>
      <c r="D459" s="36">
        <v>189</v>
      </c>
      <c r="E459" s="14">
        <v>53.18</v>
      </c>
      <c r="F459" s="21">
        <v>10.31</v>
      </c>
      <c r="G459" s="35" t="s">
        <v>55</v>
      </c>
      <c r="H459" s="35">
        <v>0</v>
      </c>
      <c r="I459" s="21">
        <v>0.32950000000000051</v>
      </c>
      <c r="J459" s="35">
        <v>0</v>
      </c>
      <c r="K459" s="12">
        <v>0.24317491231957689</v>
      </c>
      <c r="L459" s="36">
        <v>272</v>
      </c>
      <c r="M459" s="35">
        <v>1.54</v>
      </c>
      <c r="N459" s="21">
        <v>28</v>
      </c>
      <c r="O459" s="12">
        <v>0</v>
      </c>
      <c r="P459" s="35">
        <v>100</v>
      </c>
      <c r="Q459" s="35">
        <v>70</v>
      </c>
      <c r="R459" s="36">
        <v>100</v>
      </c>
      <c r="S459" s="35">
        <v>40</v>
      </c>
      <c r="T459" s="21">
        <v>4.0199999999999996</v>
      </c>
      <c r="U459" s="21">
        <v>0.39</v>
      </c>
      <c r="V459" s="37" t="s">
        <v>1</v>
      </c>
      <c r="W459" s="37" t="s">
        <v>1</v>
      </c>
      <c r="X459" s="35" t="s">
        <v>1</v>
      </c>
      <c r="Y459" s="23" t="s">
        <v>6</v>
      </c>
      <c r="Z459" s="21" t="s">
        <v>6</v>
      </c>
      <c r="AA459" s="35" t="s">
        <v>1</v>
      </c>
      <c r="AB459" s="35" t="s">
        <v>1</v>
      </c>
      <c r="AC459" s="27" t="s">
        <v>101</v>
      </c>
    </row>
    <row r="460" spans="1:29">
      <c r="A460" s="35" t="s">
        <v>91</v>
      </c>
      <c r="B460" s="35" t="s">
        <v>3</v>
      </c>
      <c r="C460" s="35" t="s">
        <v>65</v>
      </c>
      <c r="D460" s="36">
        <v>189</v>
      </c>
      <c r="E460" s="14">
        <v>86.82</v>
      </c>
      <c r="F460" s="21">
        <v>14.21</v>
      </c>
      <c r="G460" s="35" t="s">
        <v>55</v>
      </c>
      <c r="H460" s="35">
        <v>0</v>
      </c>
      <c r="I460" s="21">
        <v>1.5606666666666669</v>
      </c>
      <c r="J460" s="35">
        <v>0</v>
      </c>
      <c r="K460" s="12">
        <v>0.62675723277445017</v>
      </c>
      <c r="L460" s="36">
        <v>272</v>
      </c>
      <c r="M460" s="35">
        <v>1.54</v>
      </c>
      <c r="N460" s="21">
        <v>28</v>
      </c>
      <c r="O460" s="12">
        <v>0</v>
      </c>
      <c r="P460" s="35">
        <v>100</v>
      </c>
      <c r="Q460" s="35">
        <v>70</v>
      </c>
      <c r="R460" s="36">
        <v>100</v>
      </c>
      <c r="S460" s="35">
        <v>40</v>
      </c>
      <c r="T460" s="21">
        <v>3.87</v>
      </c>
      <c r="U460" s="21">
        <v>0.27</v>
      </c>
      <c r="V460" s="37" t="s">
        <v>1</v>
      </c>
      <c r="W460" s="37" t="s">
        <v>1</v>
      </c>
      <c r="X460" s="35" t="s">
        <v>1</v>
      </c>
      <c r="Y460" s="23" t="s">
        <v>6</v>
      </c>
      <c r="Z460" s="21" t="s">
        <v>6</v>
      </c>
      <c r="AA460" s="35" t="s">
        <v>1</v>
      </c>
      <c r="AB460" s="35" t="s">
        <v>1</v>
      </c>
      <c r="AC460" s="27" t="s">
        <v>101</v>
      </c>
    </row>
    <row r="461" spans="1:29">
      <c r="A461" s="35" t="s">
        <v>91</v>
      </c>
      <c r="B461" s="35" t="s">
        <v>3</v>
      </c>
      <c r="C461" s="35" t="s">
        <v>65</v>
      </c>
      <c r="D461" s="36">
        <v>189</v>
      </c>
      <c r="E461" s="14">
        <v>70</v>
      </c>
      <c r="F461" s="21">
        <v>12.2</v>
      </c>
      <c r="G461" s="35" t="s">
        <v>55</v>
      </c>
      <c r="H461" s="35">
        <v>0</v>
      </c>
      <c r="I461" s="21">
        <v>0.75000000000000189</v>
      </c>
      <c r="J461" s="35">
        <v>0</v>
      </c>
      <c r="K461" s="12">
        <v>0.46776039441556461</v>
      </c>
      <c r="L461" s="36">
        <v>272</v>
      </c>
      <c r="M461" s="35">
        <v>1.54</v>
      </c>
      <c r="N461" s="21">
        <v>28</v>
      </c>
      <c r="O461" s="12">
        <v>0</v>
      </c>
      <c r="P461" s="35">
        <v>100</v>
      </c>
      <c r="Q461" s="35">
        <v>70</v>
      </c>
      <c r="R461" s="36">
        <v>100</v>
      </c>
      <c r="S461" s="35">
        <v>40</v>
      </c>
      <c r="T461" s="21">
        <v>5.26</v>
      </c>
      <c r="U461" s="21">
        <v>0.43</v>
      </c>
      <c r="V461" s="37" t="s">
        <v>1</v>
      </c>
      <c r="W461" s="37" t="s">
        <v>1</v>
      </c>
      <c r="X461" s="35" t="s">
        <v>1</v>
      </c>
      <c r="Y461" s="23" t="s">
        <v>6</v>
      </c>
      <c r="Z461" s="21" t="s">
        <v>6</v>
      </c>
      <c r="AA461" s="35" t="s">
        <v>1</v>
      </c>
      <c r="AB461" s="35" t="s">
        <v>1</v>
      </c>
      <c r="AC461" s="27" t="s">
        <v>101</v>
      </c>
    </row>
    <row r="462" spans="1:29">
      <c r="A462" s="35" t="s">
        <v>91</v>
      </c>
      <c r="B462" s="35" t="s">
        <v>3</v>
      </c>
      <c r="C462" s="35" t="s">
        <v>65</v>
      </c>
      <c r="D462" s="36">
        <v>189</v>
      </c>
      <c r="E462" s="14">
        <v>70</v>
      </c>
      <c r="F462" s="21">
        <v>12.23</v>
      </c>
      <c r="G462" s="35" t="s">
        <v>55</v>
      </c>
      <c r="H462" s="35">
        <v>0</v>
      </c>
      <c r="I462" s="21">
        <v>1</v>
      </c>
      <c r="J462" s="35">
        <v>0</v>
      </c>
      <c r="K462" s="12">
        <v>0.46661298543498669</v>
      </c>
      <c r="L462" s="36">
        <v>272</v>
      </c>
      <c r="M462" s="35">
        <v>1.54</v>
      </c>
      <c r="N462" s="21">
        <v>28</v>
      </c>
      <c r="O462" s="12">
        <v>0</v>
      </c>
      <c r="P462" s="35">
        <v>100</v>
      </c>
      <c r="Q462" s="35">
        <v>70</v>
      </c>
      <c r="R462" s="36">
        <v>100</v>
      </c>
      <c r="S462" s="35">
        <v>40</v>
      </c>
      <c r="T462" s="21">
        <v>5.34</v>
      </c>
      <c r="U462" s="21">
        <v>0.44</v>
      </c>
      <c r="V462" s="37" t="s">
        <v>1</v>
      </c>
      <c r="W462" s="37" t="s">
        <v>1</v>
      </c>
      <c r="X462" s="35" t="s">
        <v>1</v>
      </c>
      <c r="Y462" s="23" t="s">
        <v>6</v>
      </c>
      <c r="Z462" s="21" t="s">
        <v>6</v>
      </c>
      <c r="AA462" s="35" t="s">
        <v>1</v>
      </c>
      <c r="AB462" s="35" t="s">
        <v>1</v>
      </c>
      <c r="AC462" s="27" t="s">
        <v>101</v>
      </c>
    </row>
    <row r="463" spans="1:29">
      <c r="A463" s="35" t="s">
        <v>91</v>
      </c>
      <c r="B463" s="35" t="s">
        <v>3</v>
      </c>
      <c r="C463" s="35" t="s">
        <v>65</v>
      </c>
      <c r="D463" s="36">
        <v>189</v>
      </c>
      <c r="E463" s="14">
        <v>70</v>
      </c>
      <c r="F463" s="21">
        <v>11.96</v>
      </c>
      <c r="G463" s="35" t="s">
        <v>55</v>
      </c>
      <c r="H463" s="35">
        <v>0</v>
      </c>
      <c r="I463" s="21">
        <v>0.75000000000000189</v>
      </c>
      <c r="J463" s="35">
        <v>0</v>
      </c>
      <c r="K463" s="12">
        <v>0.4771468906245725</v>
      </c>
      <c r="L463" s="36">
        <v>272</v>
      </c>
      <c r="M463" s="35">
        <v>1.54</v>
      </c>
      <c r="N463" s="21">
        <v>28</v>
      </c>
      <c r="O463" s="12">
        <v>0</v>
      </c>
      <c r="P463" s="35">
        <v>100</v>
      </c>
      <c r="Q463" s="35">
        <v>70</v>
      </c>
      <c r="R463" s="36">
        <v>100</v>
      </c>
      <c r="S463" s="35">
        <v>40</v>
      </c>
      <c r="T463" s="21">
        <v>5.61</v>
      </c>
      <c r="U463" s="21">
        <v>0.47</v>
      </c>
      <c r="V463" s="37" t="s">
        <v>1</v>
      </c>
      <c r="W463" s="37" t="s">
        <v>1</v>
      </c>
      <c r="X463" s="35" t="s">
        <v>1</v>
      </c>
      <c r="Y463" s="23" t="s">
        <v>6</v>
      </c>
      <c r="Z463" s="21" t="s">
        <v>6</v>
      </c>
      <c r="AA463" s="35" t="s">
        <v>1</v>
      </c>
      <c r="AB463" s="35" t="s">
        <v>1</v>
      </c>
      <c r="AC463" s="27" t="s">
        <v>101</v>
      </c>
    </row>
    <row r="464" spans="1:29">
      <c r="A464" s="35" t="s">
        <v>91</v>
      </c>
      <c r="B464" s="35" t="s">
        <v>3</v>
      </c>
      <c r="C464" s="35" t="s">
        <v>65</v>
      </c>
      <c r="D464" s="36">
        <v>189</v>
      </c>
      <c r="E464" s="14">
        <v>70</v>
      </c>
      <c r="F464" s="21">
        <v>11.2</v>
      </c>
      <c r="G464" s="35" t="s">
        <v>55</v>
      </c>
      <c r="H464" s="35">
        <v>0</v>
      </c>
      <c r="I464" s="21">
        <v>1</v>
      </c>
      <c r="J464" s="35">
        <v>0</v>
      </c>
      <c r="K464" s="12">
        <v>0.50952471534552568</v>
      </c>
      <c r="L464" s="36">
        <v>272</v>
      </c>
      <c r="M464" s="35">
        <v>1.54</v>
      </c>
      <c r="N464" s="21">
        <v>28</v>
      </c>
      <c r="O464" s="12">
        <v>0</v>
      </c>
      <c r="P464" s="35">
        <v>100</v>
      </c>
      <c r="Q464" s="35">
        <v>70</v>
      </c>
      <c r="R464" s="36">
        <v>100</v>
      </c>
      <c r="S464" s="35">
        <v>40</v>
      </c>
      <c r="T464" s="21">
        <v>5.63</v>
      </c>
      <c r="U464" s="21">
        <v>0.5</v>
      </c>
      <c r="V464" s="37" t="s">
        <v>1</v>
      </c>
      <c r="W464" s="37" t="s">
        <v>1</v>
      </c>
      <c r="X464" s="35" t="s">
        <v>1</v>
      </c>
      <c r="Y464" s="23" t="s">
        <v>6</v>
      </c>
      <c r="Z464" s="21" t="s">
        <v>6</v>
      </c>
      <c r="AA464" s="35" t="s">
        <v>1</v>
      </c>
      <c r="AB464" s="35" t="s">
        <v>1</v>
      </c>
      <c r="AC464" s="27" t="s">
        <v>101</v>
      </c>
    </row>
    <row r="465" spans="1:29">
      <c r="A465" s="35" t="s">
        <v>91</v>
      </c>
      <c r="B465" s="35" t="s">
        <v>3</v>
      </c>
      <c r="C465" s="35" t="s">
        <v>65</v>
      </c>
      <c r="D465" s="36">
        <v>189</v>
      </c>
      <c r="E465" s="14">
        <v>70</v>
      </c>
      <c r="F465" s="21">
        <v>11.46</v>
      </c>
      <c r="G465" s="35" t="s">
        <v>55</v>
      </c>
      <c r="H465" s="35">
        <v>0</v>
      </c>
      <c r="I465" s="21">
        <v>0.75000000000000189</v>
      </c>
      <c r="J465" s="35">
        <v>0</v>
      </c>
      <c r="K465" s="12">
        <v>0.49796481778969348</v>
      </c>
      <c r="L465" s="36">
        <v>272</v>
      </c>
      <c r="M465" s="35">
        <v>1.54</v>
      </c>
      <c r="N465" s="21">
        <v>28</v>
      </c>
      <c r="O465" s="12">
        <v>0</v>
      </c>
      <c r="P465" s="35">
        <v>100</v>
      </c>
      <c r="Q465" s="35">
        <v>70</v>
      </c>
      <c r="R465" s="36">
        <v>100</v>
      </c>
      <c r="S465" s="35">
        <v>40</v>
      </c>
      <c r="T465" s="21">
        <v>5.59</v>
      </c>
      <c r="U465" s="21">
        <v>0.49</v>
      </c>
      <c r="V465" s="37" t="s">
        <v>1</v>
      </c>
      <c r="W465" s="37" t="s">
        <v>1</v>
      </c>
      <c r="X465" s="35" t="s">
        <v>1</v>
      </c>
      <c r="Y465" s="23" t="s">
        <v>6</v>
      </c>
      <c r="Z465" s="21" t="s">
        <v>6</v>
      </c>
      <c r="AA465" s="35" t="s">
        <v>1</v>
      </c>
      <c r="AB465" s="35" t="s">
        <v>1</v>
      </c>
      <c r="AC465" s="27" t="s">
        <v>101</v>
      </c>
    </row>
    <row r="466" spans="1:29" ht="12" customHeight="1">
      <c r="A466" s="35" t="s">
        <v>91</v>
      </c>
      <c r="B466" s="35" t="s">
        <v>3</v>
      </c>
      <c r="C466" s="35" t="s">
        <v>65</v>
      </c>
      <c r="D466" s="36">
        <v>189</v>
      </c>
      <c r="E466" s="14">
        <v>72.8</v>
      </c>
      <c r="F466" s="21">
        <f t="shared" ref="F466:F481" si="28">E466*5*10/189.5</f>
        <v>19.208443271767809</v>
      </c>
      <c r="G466" s="35" t="s">
        <v>55</v>
      </c>
      <c r="H466" s="35">
        <v>0</v>
      </c>
      <c r="I466" s="21">
        <f>28.4/44.4</f>
        <v>0.63963963963963966</v>
      </c>
      <c r="J466" s="35">
        <v>0</v>
      </c>
      <c r="K466" s="12">
        <v>0.46114404303485523</v>
      </c>
      <c r="L466" s="36">
        <v>272</v>
      </c>
      <c r="M466" s="35">
        <v>1.54</v>
      </c>
      <c r="N466" s="21">
        <v>28</v>
      </c>
      <c r="O466" s="12">
        <v>0</v>
      </c>
      <c r="P466" s="35">
        <v>100</v>
      </c>
      <c r="Q466" s="35">
        <v>70</v>
      </c>
      <c r="R466" s="36">
        <v>100</v>
      </c>
      <c r="S466" s="35">
        <v>40</v>
      </c>
      <c r="T466" s="35">
        <v>5.64</v>
      </c>
      <c r="U466" s="21">
        <f t="shared" ref="U466:U480" si="29">T466/F466</f>
        <v>0.29362087912087914</v>
      </c>
      <c r="V466" s="37" t="s">
        <v>1</v>
      </c>
      <c r="W466" s="37" t="s">
        <v>1</v>
      </c>
      <c r="X466" s="35" t="s">
        <v>1</v>
      </c>
      <c r="Y466" s="23" t="s">
        <v>6</v>
      </c>
      <c r="Z466" s="21" t="s">
        <v>6</v>
      </c>
      <c r="AA466" s="35" t="s">
        <v>1</v>
      </c>
      <c r="AB466" s="35">
        <v>7.89</v>
      </c>
      <c r="AC466" s="27" t="s">
        <v>101</v>
      </c>
    </row>
    <row r="467" spans="1:29">
      <c r="A467" s="35" t="s">
        <v>91</v>
      </c>
      <c r="B467" s="35" t="s">
        <v>3</v>
      </c>
      <c r="C467" s="35" t="s">
        <v>65</v>
      </c>
      <c r="D467" s="36">
        <v>189</v>
      </c>
      <c r="E467" s="14">
        <v>72.8</v>
      </c>
      <c r="F467" s="21">
        <f t="shared" si="28"/>
        <v>19.208443271767809</v>
      </c>
      <c r="G467" s="35" t="s">
        <v>55</v>
      </c>
      <c r="H467" s="35">
        <v>0</v>
      </c>
      <c r="I467" s="21">
        <f t="shared" ref="I467:I480" si="30">28.4/44.4</f>
        <v>0.63963963963963966</v>
      </c>
      <c r="J467" s="35">
        <v>0</v>
      </c>
      <c r="K467" s="12">
        <v>0.46114404303485523</v>
      </c>
      <c r="L467" s="36">
        <v>272</v>
      </c>
      <c r="M467" s="35">
        <v>1.54</v>
      </c>
      <c r="N467" s="21">
        <v>28</v>
      </c>
      <c r="O467" s="12">
        <v>0</v>
      </c>
      <c r="P467" s="35">
        <v>100</v>
      </c>
      <c r="Q467" s="35">
        <v>70</v>
      </c>
      <c r="R467" s="36">
        <v>100</v>
      </c>
      <c r="S467" s="35">
        <v>20</v>
      </c>
      <c r="T467" s="21">
        <v>4.71</v>
      </c>
      <c r="U467" s="21">
        <f t="shared" si="29"/>
        <v>0.24520467032967033</v>
      </c>
      <c r="V467" s="37" t="s">
        <v>1</v>
      </c>
      <c r="W467" s="37" t="s">
        <v>1</v>
      </c>
      <c r="X467" s="35" t="s">
        <v>1</v>
      </c>
      <c r="Y467" s="23" t="s">
        <v>6</v>
      </c>
      <c r="Z467" s="21" t="s">
        <v>6</v>
      </c>
      <c r="AA467" s="35" t="s">
        <v>1</v>
      </c>
      <c r="AB467" s="35" t="s">
        <v>1</v>
      </c>
      <c r="AC467" s="27" t="s">
        <v>101</v>
      </c>
    </row>
    <row r="468" spans="1:29">
      <c r="A468" s="35" t="s">
        <v>91</v>
      </c>
      <c r="B468" s="35" t="s">
        <v>3</v>
      </c>
      <c r="C468" s="35" t="s">
        <v>65</v>
      </c>
      <c r="D468" s="36">
        <v>189</v>
      </c>
      <c r="E468" s="14">
        <v>72.8</v>
      </c>
      <c r="F468" s="21">
        <f t="shared" si="28"/>
        <v>19.208443271767809</v>
      </c>
      <c r="G468" s="35" t="s">
        <v>55</v>
      </c>
      <c r="H468" s="35">
        <v>0</v>
      </c>
      <c r="I468" s="21">
        <f t="shared" si="30"/>
        <v>0.63963963963963966</v>
      </c>
      <c r="J468" s="35">
        <v>0</v>
      </c>
      <c r="K468" s="12">
        <v>0.46114404303485523</v>
      </c>
      <c r="L468" s="36">
        <v>272</v>
      </c>
      <c r="M468" s="35">
        <v>1.54</v>
      </c>
      <c r="N468" s="21">
        <v>28</v>
      </c>
      <c r="O468" s="12">
        <v>0</v>
      </c>
      <c r="P468" s="35">
        <v>100</v>
      </c>
      <c r="Q468" s="35">
        <v>70</v>
      </c>
      <c r="R468" s="36">
        <v>100</v>
      </c>
      <c r="S468" s="35">
        <v>30</v>
      </c>
      <c r="T468" s="21">
        <v>5.15</v>
      </c>
      <c r="U468" s="21">
        <f t="shared" si="29"/>
        <v>0.26811126373626376</v>
      </c>
      <c r="V468" s="37" t="s">
        <v>1</v>
      </c>
      <c r="W468" s="37" t="s">
        <v>1</v>
      </c>
      <c r="X468" s="35" t="s">
        <v>1</v>
      </c>
      <c r="Y468" s="23" t="s">
        <v>6</v>
      </c>
      <c r="Z468" s="21" t="s">
        <v>6</v>
      </c>
      <c r="AA468" s="35" t="s">
        <v>1</v>
      </c>
      <c r="AB468" s="35" t="s">
        <v>1</v>
      </c>
      <c r="AC468" s="27" t="s">
        <v>101</v>
      </c>
    </row>
    <row r="469" spans="1:29">
      <c r="A469" s="35" t="s">
        <v>91</v>
      </c>
      <c r="B469" s="35" t="s">
        <v>3</v>
      </c>
      <c r="C469" s="35" t="s">
        <v>65</v>
      </c>
      <c r="D469" s="36">
        <v>189</v>
      </c>
      <c r="E469" s="14">
        <v>72.8</v>
      </c>
      <c r="F469" s="21">
        <f t="shared" si="28"/>
        <v>19.208443271767809</v>
      </c>
      <c r="G469" s="35" t="s">
        <v>55</v>
      </c>
      <c r="H469" s="35">
        <v>0</v>
      </c>
      <c r="I469" s="21">
        <f t="shared" si="30"/>
        <v>0.63963963963963966</v>
      </c>
      <c r="J469" s="35">
        <v>0</v>
      </c>
      <c r="K469" s="12">
        <v>0.46114404303485523</v>
      </c>
      <c r="L469" s="36">
        <v>272</v>
      </c>
      <c r="M469" s="35">
        <v>1.54</v>
      </c>
      <c r="N469" s="21">
        <v>28</v>
      </c>
      <c r="O469" s="12">
        <v>0</v>
      </c>
      <c r="P469" s="35">
        <v>100</v>
      </c>
      <c r="Q469" s="35">
        <v>70</v>
      </c>
      <c r="R469" s="36">
        <v>100</v>
      </c>
      <c r="S469" s="35">
        <v>40</v>
      </c>
      <c r="T469" s="21">
        <v>5.71</v>
      </c>
      <c r="U469" s="21">
        <f t="shared" si="29"/>
        <v>0.2972651098901099</v>
      </c>
      <c r="V469" s="37" t="s">
        <v>1</v>
      </c>
      <c r="W469" s="37" t="s">
        <v>1</v>
      </c>
      <c r="X469" s="35" t="s">
        <v>1</v>
      </c>
      <c r="Y469" s="23" t="s">
        <v>6</v>
      </c>
      <c r="Z469" s="21" t="s">
        <v>6</v>
      </c>
      <c r="AA469" s="35" t="s">
        <v>1</v>
      </c>
      <c r="AB469" s="35" t="s">
        <v>1</v>
      </c>
      <c r="AC469" s="27" t="s">
        <v>101</v>
      </c>
    </row>
    <row r="470" spans="1:29">
      <c r="A470" s="35" t="s">
        <v>91</v>
      </c>
      <c r="B470" s="35" t="s">
        <v>3</v>
      </c>
      <c r="C470" s="35" t="s">
        <v>65</v>
      </c>
      <c r="D470" s="36">
        <v>189</v>
      </c>
      <c r="E470" s="14">
        <v>72.8</v>
      </c>
      <c r="F470" s="21">
        <f t="shared" si="28"/>
        <v>19.208443271767809</v>
      </c>
      <c r="G470" s="35" t="s">
        <v>55</v>
      </c>
      <c r="H470" s="35">
        <v>0</v>
      </c>
      <c r="I470" s="21">
        <f t="shared" si="30"/>
        <v>0.63963963963963966</v>
      </c>
      <c r="J470" s="35">
        <v>0</v>
      </c>
      <c r="K470" s="12">
        <v>0.46114404303485523</v>
      </c>
      <c r="L470" s="36">
        <v>272</v>
      </c>
      <c r="M470" s="35">
        <v>1.54</v>
      </c>
      <c r="N470" s="21">
        <v>28</v>
      </c>
      <c r="O470" s="12">
        <v>0</v>
      </c>
      <c r="P470" s="35">
        <v>100</v>
      </c>
      <c r="Q470" s="35">
        <v>70</v>
      </c>
      <c r="R470" s="36">
        <v>100</v>
      </c>
      <c r="S470" s="35">
        <v>50</v>
      </c>
      <c r="T470" s="21">
        <v>6.93</v>
      </c>
      <c r="U470" s="21">
        <f t="shared" si="29"/>
        <v>0.36077884615384614</v>
      </c>
      <c r="V470" s="37" t="s">
        <v>1</v>
      </c>
      <c r="W470" s="37" t="s">
        <v>1</v>
      </c>
      <c r="X470" s="35" t="s">
        <v>1</v>
      </c>
      <c r="Y470" s="23" t="s">
        <v>6</v>
      </c>
      <c r="Z470" s="21" t="s">
        <v>6</v>
      </c>
      <c r="AA470" s="35" t="s">
        <v>1</v>
      </c>
      <c r="AB470" s="35" t="s">
        <v>1</v>
      </c>
      <c r="AC470" s="27" t="s">
        <v>101</v>
      </c>
    </row>
    <row r="471" spans="1:29">
      <c r="A471" s="35" t="s">
        <v>91</v>
      </c>
      <c r="B471" s="35" t="s">
        <v>3</v>
      </c>
      <c r="C471" s="35" t="s">
        <v>65</v>
      </c>
      <c r="D471" s="36">
        <v>189</v>
      </c>
      <c r="E471" s="14">
        <v>72.8</v>
      </c>
      <c r="F471" s="21">
        <f t="shared" si="28"/>
        <v>19.208443271767809</v>
      </c>
      <c r="G471" s="35" t="s">
        <v>55</v>
      </c>
      <c r="H471" s="35">
        <v>0</v>
      </c>
      <c r="I471" s="21">
        <f t="shared" si="30"/>
        <v>0.63963963963963966</v>
      </c>
      <c r="J471" s="35">
        <v>0</v>
      </c>
      <c r="K471" s="12">
        <v>0.46114404303485523</v>
      </c>
      <c r="L471" s="36">
        <v>272</v>
      </c>
      <c r="M471" s="35">
        <v>1.54</v>
      </c>
      <c r="N471" s="21">
        <v>28</v>
      </c>
      <c r="O471" s="12">
        <v>0</v>
      </c>
      <c r="P471" s="35">
        <v>100</v>
      </c>
      <c r="Q471" s="35">
        <v>70</v>
      </c>
      <c r="R471" s="36">
        <v>100</v>
      </c>
      <c r="S471" s="35">
        <v>60</v>
      </c>
      <c r="T471" s="21">
        <v>5.25</v>
      </c>
      <c r="U471" s="21">
        <f t="shared" si="29"/>
        <v>0.27331730769230772</v>
      </c>
      <c r="V471" s="37" t="s">
        <v>1</v>
      </c>
      <c r="W471" s="37" t="s">
        <v>1</v>
      </c>
      <c r="X471" s="35" t="s">
        <v>1</v>
      </c>
      <c r="Y471" s="23" t="s">
        <v>6</v>
      </c>
      <c r="Z471" s="21" t="s">
        <v>6</v>
      </c>
      <c r="AA471" s="35" t="s">
        <v>1</v>
      </c>
      <c r="AB471" s="35" t="s">
        <v>1</v>
      </c>
      <c r="AC471" s="27" t="s">
        <v>101</v>
      </c>
    </row>
    <row r="472" spans="1:29">
      <c r="A472" s="35" t="s">
        <v>91</v>
      </c>
      <c r="B472" s="35" t="s">
        <v>3</v>
      </c>
      <c r="C472" s="35" t="s">
        <v>65</v>
      </c>
      <c r="D472" s="36">
        <v>189</v>
      </c>
      <c r="E472" s="14">
        <v>72.8</v>
      </c>
      <c r="F472" s="21">
        <f t="shared" si="28"/>
        <v>19.208443271767809</v>
      </c>
      <c r="G472" s="35" t="s">
        <v>55</v>
      </c>
      <c r="H472" s="35">
        <v>0</v>
      </c>
      <c r="I472" s="21">
        <f t="shared" si="30"/>
        <v>0.63963963963963966</v>
      </c>
      <c r="J472" s="35">
        <v>0</v>
      </c>
      <c r="K472" s="12">
        <v>0.46114404303485523</v>
      </c>
      <c r="L472" s="36">
        <v>272</v>
      </c>
      <c r="M472" s="35">
        <v>1.54</v>
      </c>
      <c r="N472" s="21">
        <v>28</v>
      </c>
      <c r="O472" s="12">
        <v>0</v>
      </c>
      <c r="P472" s="35">
        <v>100</v>
      </c>
      <c r="Q472" s="35">
        <v>70</v>
      </c>
      <c r="R472" s="36">
        <v>100</v>
      </c>
      <c r="S472" s="35">
        <v>70</v>
      </c>
      <c r="T472" s="21">
        <v>4.57</v>
      </c>
      <c r="U472" s="21">
        <f t="shared" si="29"/>
        <v>0.23791620879120881</v>
      </c>
      <c r="V472" s="37" t="s">
        <v>1</v>
      </c>
      <c r="W472" s="37" t="s">
        <v>1</v>
      </c>
      <c r="X472" s="35" t="s">
        <v>1</v>
      </c>
      <c r="Y472" s="23" t="s">
        <v>6</v>
      </c>
      <c r="Z472" s="21" t="s">
        <v>6</v>
      </c>
      <c r="AA472" s="35" t="s">
        <v>1</v>
      </c>
      <c r="AB472" s="35" t="s">
        <v>1</v>
      </c>
      <c r="AC472" s="27" t="s">
        <v>101</v>
      </c>
    </row>
    <row r="473" spans="1:29">
      <c r="A473" s="35" t="s">
        <v>91</v>
      </c>
      <c r="B473" s="35" t="s">
        <v>3</v>
      </c>
      <c r="C473" s="35" t="s">
        <v>65</v>
      </c>
      <c r="D473" s="36">
        <v>189</v>
      </c>
      <c r="E473" s="14">
        <v>72.8</v>
      </c>
      <c r="F473" s="21">
        <f t="shared" si="28"/>
        <v>19.208443271767809</v>
      </c>
      <c r="G473" s="35" t="s">
        <v>55</v>
      </c>
      <c r="H473" s="35">
        <v>0</v>
      </c>
      <c r="I473" s="21">
        <f t="shared" si="30"/>
        <v>0.63963963963963966</v>
      </c>
      <c r="J473" s="35">
        <v>0</v>
      </c>
      <c r="K473" s="12">
        <v>0.46114404303485523</v>
      </c>
      <c r="L473" s="36">
        <v>272</v>
      </c>
      <c r="M473" s="35">
        <v>1.54</v>
      </c>
      <c r="N473" s="21">
        <v>28</v>
      </c>
      <c r="O473" s="12">
        <v>0</v>
      </c>
      <c r="P473" s="35">
        <v>100</v>
      </c>
      <c r="Q473" s="35">
        <v>70</v>
      </c>
      <c r="R473" s="36">
        <v>100</v>
      </c>
      <c r="S473" s="35">
        <v>80</v>
      </c>
      <c r="T473" s="21">
        <v>3.41</v>
      </c>
      <c r="U473" s="21">
        <f t="shared" si="29"/>
        <v>0.17752609890109891</v>
      </c>
      <c r="V473" s="37" t="s">
        <v>1</v>
      </c>
      <c r="W473" s="37" t="s">
        <v>1</v>
      </c>
      <c r="X473" s="35" t="s">
        <v>1</v>
      </c>
      <c r="Y473" s="23" t="s">
        <v>6</v>
      </c>
      <c r="Z473" s="21" t="s">
        <v>6</v>
      </c>
      <c r="AA473" s="35" t="s">
        <v>1</v>
      </c>
      <c r="AB473" s="35" t="s">
        <v>1</v>
      </c>
      <c r="AC473" s="27" t="s">
        <v>101</v>
      </c>
    </row>
    <row r="474" spans="1:29">
      <c r="A474" s="35" t="s">
        <v>91</v>
      </c>
      <c r="B474" s="35" t="s">
        <v>3</v>
      </c>
      <c r="C474" s="35" t="s">
        <v>65</v>
      </c>
      <c r="D474" s="36">
        <v>189</v>
      </c>
      <c r="E474" s="14">
        <v>72.8</v>
      </c>
      <c r="F474" s="21">
        <f t="shared" si="28"/>
        <v>19.208443271767809</v>
      </c>
      <c r="G474" s="35" t="s">
        <v>55</v>
      </c>
      <c r="H474" s="35">
        <v>0</v>
      </c>
      <c r="I474" s="21">
        <f t="shared" si="30"/>
        <v>0.63963963963963966</v>
      </c>
      <c r="J474" s="35">
        <v>0</v>
      </c>
      <c r="K474" s="12">
        <v>0.46114404303485523</v>
      </c>
      <c r="L474" s="36">
        <v>272</v>
      </c>
      <c r="M474" s="35">
        <v>1.54</v>
      </c>
      <c r="N474" s="21">
        <v>28</v>
      </c>
      <c r="O474" s="12">
        <v>0</v>
      </c>
      <c r="P474" s="35">
        <v>15</v>
      </c>
      <c r="Q474" s="35">
        <v>70</v>
      </c>
      <c r="R474" s="36">
        <v>100</v>
      </c>
      <c r="S474" s="35">
        <v>20</v>
      </c>
      <c r="T474" s="21">
        <v>4.43</v>
      </c>
      <c r="U474" s="21">
        <f t="shared" si="29"/>
        <v>0.23062774725274726</v>
      </c>
      <c r="V474" s="37" t="s">
        <v>1</v>
      </c>
      <c r="W474" s="37" t="s">
        <v>1</v>
      </c>
      <c r="X474" s="35" t="s">
        <v>1</v>
      </c>
      <c r="Y474" s="23" t="s">
        <v>6</v>
      </c>
      <c r="Z474" s="21" t="s">
        <v>6</v>
      </c>
      <c r="AA474" s="35" t="s">
        <v>1</v>
      </c>
      <c r="AB474" s="35" t="s">
        <v>1</v>
      </c>
      <c r="AC474" s="27" t="s">
        <v>101</v>
      </c>
    </row>
    <row r="475" spans="1:29">
      <c r="A475" s="35" t="s">
        <v>91</v>
      </c>
      <c r="B475" s="35" t="s">
        <v>3</v>
      </c>
      <c r="C475" s="35" t="s">
        <v>65</v>
      </c>
      <c r="D475" s="36">
        <v>189</v>
      </c>
      <c r="E475" s="14">
        <v>72.8</v>
      </c>
      <c r="F475" s="21">
        <f t="shared" si="28"/>
        <v>19.208443271767809</v>
      </c>
      <c r="G475" s="35" t="s">
        <v>55</v>
      </c>
      <c r="H475" s="35">
        <v>0</v>
      </c>
      <c r="I475" s="21">
        <f t="shared" si="30"/>
        <v>0.63963963963963966</v>
      </c>
      <c r="J475" s="35">
        <v>0</v>
      </c>
      <c r="K475" s="12">
        <v>0.46114404303485523</v>
      </c>
      <c r="L475" s="36">
        <v>272</v>
      </c>
      <c r="M475" s="35">
        <v>1.54</v>
      </c>
      <c r="N475" s="21">
        <v>28</v>
      </c>
      <c r="O475" s="12">
        <v>0</v>
      </c>
      <c r="P475" s="35">
        <v>15</v>
      </c>
      <c r="Q475" s="35">
        <v>70</v>
      </c>
      <c r="R475" s="36">
        <v>100</v>
      </c>
      <c r="S475" s="35">
        <v>30</v>
      </c>
      <c r="T475" s="21">
        <v>4.97</v>
      </c>
      <c r="U475" s="21">
        <f t="shared" si="29"/>
        <v>0.25874038461538462</v>
      </c>
      <c r="V475" s="37" t="s">
        <v>1</v>
      </c>
      <c r="W475" s="37" t="s">
        <v>1</v>
      </c>
      <c r="X475" s="35" t="s">
        <v>1</v>
      </c>
      <c r="Y475" s="23" t="s">
        <v>6</v>
      </c>
      <c r="Z475" s="21" t="s">
        <v>6</v>
      </c>
      <c r="AA475" s="35" t="s">
        <v>1</v>
      </c>
      <c r="AB475" s="35" t="s">
        <v>1</v>
      </c>
      <c r="AC475" s="27" t="s">
        <v>101</v>
      </c>
    </row>
    <row r="476" spans="1:29">
      <c r="A476" s="35" t="s">
        <v>91</v>
      </c>
      <c r="B476" s="35" t="s">
        <v>3</v>
      </c>
      <c r="C476" s="35" t="s">
        <v>65</v>
      </c>
      <c r="D476" s="36">
        <v>189</v>
      </c>
      <c r="E476" s="14">
        <v>72.8</v>
      </c>
      <c r="F476" s="21">
        <f t="shared" si="28"/>
        <v>19.208443271767809</v>
      </c>
      <c r="G476" s="35" t="s">
        <v>55</v>
      </c>
      <c r="H476" s="35">
        <v>0</v>
      </c>
      <c r="I476" s="21">
        <f t="shared" si="30"/>
        <v>0.63963963963963966</v>
      </c>
      <c r="J476" s="35">
        <v>0</v>
      </c>
      <c r="K476" s="12">
        <v>0.46114404303485523</v>
      </c>
      <c r="L476" s="36">
        <v>272</v>
      </c>
      <c r="M476" s="35">
        <v>1.54</v>
      </c>
      <c r="N476" s="21">
        <v>28</v>
      </c>
      <c r="O476" s="12">
        <v>0</v>
      </c>
      <c r="P476" s="35">
        <v>15</v>
      </c>
      <c r="Q476" s="35">
        <v>70</v>
      </c>
      <c r="R476" s="36">
        <v>100</v>
      </c>
      <c r="S476" s="35">
        <v>40</v>
      </c>
      <c r="T476" s="21">
        <v>5.41</v>
      </c>
      <c r="U476" s="21">
        <f t="shared" si="29"/>
        <v>0.28164697802197802</v>
      </c>
      <c r="V476" s="37" t="s">
        <v>1</v>
      </c>
      <c r="W476" s="37" t="s">
        <v>1</v>
      </c>
      <c r="X476" s="35" t="s">
        <v>1</v>
      </c>
      <c r="Y476" s="23" t="s">
        <v>6</v>
      </c>
      <c r="Z476" s="21" t="s">
        <v>6</v>
      </c>
      <c r="AA476" s="35" t="s">
        <v>1</v>
      </c>
      <c r="AB476" s="35" t="s">
        <v>1</v>
      </c>
      <c r="AC476" s="27" t="s">
        <v>101</v>
      </c>
    </row>
    <row r="477" spans="1:29">
      <c r="A477" s="35" t="s">
        <v>91</v>
      </c>
      <c r="B477" s="35" t="s">
        <v>3</v>
      </c>
      <c r="C477" s="35" t="s">
        <v>65</v>
      </c>
      <c r="D477" s="36">
        <v>189</v>
      </c>
      <c r="E477" s="14">
        <v>72.8</v>
      </c>
      <c r="F477" s="21">
        <f t="shared" si="28"/>
        <v>19.208443271767809</v>
      </c>
      <c r="G477" s="35" t="s">
        <v>55</v>
      </c>
      <c r="H477" s="35">
        <v>0</v>
      </c>
      <c r="I477" s="21">
        <f t="shared" si="30"/>
        <v>0.63963963963963966</v>
      </c>
      <c r="J477" s="35">
        <v>0</v>
      </c>
      <c r="K477" s="12">
        <v>0.46114404303485523</v>
      </c>
      <c r="L477" s="36">
        <v>272</v>
      </c>
      <c r="M477" s="35">
        <v>1.54</v>
      </c>
      <c r="N477" s="21">
        <v>28</v>
      </c>
      <c r="O477" s="12">
        <v>0</v>
      </c>
      <c r="P477" s="35">
        <v>15</v>
      </c>
      <c r="Q477" s="35">
        <v>70</v>
      </c>
      <c r="R477" s="36">
        <v>100</v>
      </c>
      <c r="S477" s="35">
        <v>50</v>
      </c>
      <c r="T477" s="21">
        <v>6.01</v>
      </c>
      <c r="U477" s="21">
        <f t="shared" si="29"/>
        <v>0.31288324175824178</v>
      </c>
      <c r="V477" s="37" t="s">
        <v>1</v>
      </c>
      <c r="W477" s="37" t="s">
        <v>1</v>
      </c>
      <c r="X477" s="35" t="s">
        <v>1</v>
      </c>
      <c r="Y477" s="23" t="s">
        <v>6</v>
      </c>
      <c r="Z477" s="21" t="s">
        <v>6</v>
      </c>
      <c r="AA477" s="35" t="s">
        <v>1</v>
      </c>
      <c r="AB477" s="35" t="s">
        <v>1</v>
      </c>
      <c r="AC477" s="27" t="s">
        <v>101</v>
      </c>
    </row>
    <row r="478" spans="1:29">
      <c r="A478" s="35" t="s">
        <v>91</v>
      </c>
      <c r="B478" s="35" t="s">
        <v>3</v>
      </c>
      <c r="C478" s="35" t="s">
        <v>65</v>
      </c>
      <c r="D478" s="36">
        <v>189</v>
      </c>
      <c r="E478" s="14">
        <v>72.8</v>
      </c>
      <c r="F478" s="21">
        <f t="shared" si="28"/>
        <v>19.208443271767809</v>
      </c>
      <c r="G478" s="35" t="s">
        <v>55</v>
      </c>
      <c r="H478" s="35">
        <v>0</v>
      </c>
      <c r="I478" s="21">
        <f t="shared" si="30"/>
        <v>0.63963963963963966</v>
      </c>
      <c r="J478" s="35">
        <v>0</v>
      </c>
      <c r="K478" s="12">
        <v>0.46114404303485523</v>
      </c>
      <c r="L478" s="36">
        <v>272</v>
      </c>
      <c r="M478" s="35">
        <v>1.54</v>
      </c>
      <c r="N478" s="21">
        <v>28</v>
      </c>
      <c r="O478" s="12">
        <v>0</v>
      </c>
      <c r="P478" s="35">
        <v>15</v>
      </c>
      <c r="Q478" s="35">
        <v>70</v>
      </c>
      <c r="R478" s="36">
        <v>100</v>
      </c>
      <c r="S478" s="35">
        <v>60</v>
      </c>
      <c r="T478" s="21">
        <v>4.3499999999999996</v>
      </c>
      <c r="U478" s="21">
        <f t="shared" si="29"/>
        <v>0.22646291208791208</v>
      </c>
      <c r="V478" s="37" t="s">
        <v>1</v>
      </c>
      <c r="W478" s="37" t="s">
        <v>1</v>
      </c>
      <c r="X478" s="35" t="s">
        <v>1</v>
      </c>
      <c r="Y478" s="23" t="s">
        <v>6</v>
      </c>
      <c r="Z478" s="21" t="s">
        <v>6</v>
      </c>
      <c r="AA478" s="35" t="s">
        <v>1</v>
      </c>
      <c r="AB478" s="35" t="s">
        <v>1</v>
      </c>
      <c r="AC478" s="27" t="s">
        <v>101</v>
      </c>
    </row>
    <row r="479" spans="1:29">
      <c r="A479" s="35" t="s">
        <v>91</v>
      </c>
      <c r="B479" s="35" t="s">
        <v>3</v>
      </c>
      <c r="C479" s="35" t="s">
        <v>65</v>
      </c>
      <c r="D479" s="36">
        <v>189</v>
      </c>
      <c r="E479" s="14">
        <v>72.8</v>
      </c>
      <c r="F479" s="21">
        <f t="shared" si="28"/>
        <v>19.208443271767809</v>
      </c>
      <c r="G479" s="35" t="s">
        <v>55</v>
      </c>
      <c r="H479" s="35">
        <v>0</v>
      </c>
      <c r="I479" s="21">
        <f t="shared" si="30"/>
        <v>0.63963963963963966</v>
      </c>
      <c r="J479" s="35">
        <v>0</v>
      </c>
      <c r="K479" s="12">
        <v>0.46114404303485523</v>
      </c>
      <c r="L479" s="36">
        <v>272</v>
      </c>
      <c r="M479" s="35">
        <v>1.54</v>
      </c>
      <c r="N479" s="21">
        <v>28</v>
      </c>
      <c r="O479" s="12">
        <v>0</v>
      </c>
      <c r="P479" s="35">
        <v>15</v>
      </c>
      <c r="Q479" s="35">
        <v>70</v>
      </c>
      <c r="R479" s="36">
        <v>100</v>
      </c>
      <c r="S479" s="35">
        <v>70</v>
      </c>
      <c r="T479" s="21">
        <v>3.89</v>
      </c>
      <c r="U479" s="21">
        <f t="shared" si="29"/>
        <v>0.2025151098901099</v>
      </c>
      <c r="V479" s="37" t="s">
        <v>1</v>
      </c>
      <c r="W479" s="37" t="s">
        <v>1</v>
      </c>
      <c r="X479" s="35" t="s">
        <v>1</v>
      </c>
      <c r="Y479" s="23" t="s">
        <v>6</v>
      </c>
      <c r="Z479" s="21" t="s">
        <v>6</v>
      </c>
      <c r="AA479" s="35" t="s">
        <v>1</v>
      </c>
      <c r="AB479" s="35" t="s">
        <v>1</v>
      </c>
      <c r="AC479" s="27" t="s">
        <v>101</v>
      </c>
    </row>
    <row r="480" spans="1:29" ht="14.55" customHeight="1">
      <c r="A480" s="35" t="s">
        <v>91</v>
      </c>
      <c r="B480" s="35" t="s">
        <v>3</v>
      </c>
      <c r="C480" s="35" t="s">
        <v>65</v>
      </c>
      <c r="D480" s="36">
        <v>189</v>
      </c>
      <c r="E480" s="14">
        <v>72.8</v>
      </c>
      <c r="F480" s="21">
        <f t="shared" si="28"/>
        <v>19.208443271767809</v>
      </c>
      <c r="G480" s="35" t="s">
        <v>55</v>
      </c>
      <c r="H480" s="35">
        <v>0</v>
      </c>
      <c r="I480" s="21">
        <f t="shared" si="30"/>
        <v>0.63963963963963966</v>
      </c>
      <c r="J480" s="35">
        <v>0</v>
      </c>
      <c r="K480" s="12">
        <v>0.46114404303485523</v>
      </c>
      <c r="L480" s="36">
        <v>272</v>
      </c>
      <c r="M480" s="35">
        <v>1.54</v>
      </c>
      <c r="N480" s="21">
        <v>28</v>
      </c>
      <c r="O480" s="12">
        <v>0</v>
      </c>
      <c r="P480" s="35">
        <v>15</v>
      </c>
      <c r="Q480" s="35">
        <v>70</v>
      </c>
      <c r="R480" s="36">
        <v>100</v>
      </c>
      <c r="S480" s="35">
        <v>80</v>
      </c>
      <c r="T480" s="21">
        <v>2.83</v>
      </c>
      <c r="U480" s="21">
        <f t="shared" si="29"/>
        <v>0.14733104395604396</v>
      </c>
      <c r="V480" s="37" t="s">
        <v>1</v>
      </c>
      <c r="W480" s="37" t="s">
        <v>1</v>
      </c>
      <c r="X480" s="35" t="s">
        <v>1</v>
      </c>
      <c r="Y480" s="23" t="s">
        <v>6</v>
      </c>
      <c r="Z480" s="21" t="s">
        <v>6</v>
      </c>
      <c r="AA480" s="35" t="s">
        <v>1</v>
      </c>
      <c r="AB480" s="35" t="s">
        <v>1</v>
      </c>
      <c r="AC480" s="27" t="s">
        <v>101</v>
      </c>
    </row>
    <row r="481" spans="1:29">
      <c r="A481" s="35" t="s">
        <v>16</v>
      </c>
      <c r="B481" s="35" t="s">
        <v>102</v>
      </c>
      <c r="C481" s="35" t="s">
        <v>124</v>
      </c>
      <c r="D481" s="36">
        <v>285</v>
      </c>
      <c r="E481" s="12">
        <v>47</v>
      </c>
      <c r="F481" s="21">
        <f t="shared" si="28"/>
        <v>12.401055408970976</v>
      </c>
      <c r="G481" s="35">
        <v>0</v>
      </c>
      <c r="H481" s="35">
        <v>0</v>
      </c>
      <c r="I481" s="41">
        <v>0</v>
      </c>
      <c r="J481" s="35">
        <v>0</v>
      </c>
      <c r="K481" s="35">
        <v>0</v>
      </c>
      <c r="L481" s="36">
        <v>1153</v>
      </c>
      <c r="M481" s="35">
        <v>2.82</v>
      </c>
      <c r="N481" s="21">
        <v>10.6</v>
      </c>
      <c r="O481" s="12">
        <v>0</v>
      </c>
      <c r="P481" s="35">
        <v>0.04</v>
      </c>
      <c r="Q481" s="35" t="s">
        <v>1</v>
      </c>
      <c r="R481" s="35">
        <v>16</v>
      </c>
      <c r="S481" s="35">
        <v>25</v>
      </c>
      <c r="T481" s="35">
        <v>0</v>
      </c>
      <c r="U481" s="36">
        <v>0</v>
      </c>
      <c r="V481" s="37" t="s">
        <v>6</v>
      </c>
      <c r="W481" s="37" t="s">
        <v>6</v>
      </c>
      <c r="X481" s="35" t="s">
        <v>6</v>
      </c>
      <c r="Y481" s="23" t="s">
        <v>6</v>
      </c>
      <c r="Z481" s="21" t="s">
        <v>6</v>
      </c>
      <c r="AA481" s="35" t="s">
        <v>6</v>
      </c>
      <c r="AB481" s="35" t="s">
        <v>1</v>
      </c>
      <c r="AC481" s="27" t="s">
        <v>103</v>
      </c>
    </row>
    <row r="482" spans="1:29">
      <c r="A482" s="35" t="s">
        <v>21</v>
      </c>
      <c r="B482" s="35" t="s">
        <v>180</v>
      </c>
      <c r="C482" s="35" t="s">
        <v>60</v>
      </c>
      <c r="D482" s="36">
        <v>600</v>
      </c>
      <c r="E482" s="12">
        <v>63</v>
      </c>
      <c r="F482" s="21">
        <f t="shared" ref="F482:F495" si="31" xml:space="preserve"> T482/U482</f>
        <v>3.3509918228760185</v>
      </c>
      <c r="G482" s="35" t="s">
        <v>102</v>
      </c>
      <c r="H482" s="35">
        <v>0</v>
      </c>
      <c r="I482" s="21">
        <f>47%/16%</f>
        <v>2.9374999999999996</v>
      </c>
      <c r="J482" s="35">
        <v>0</v>
      </c>
      <c r="K482" s="35">
        <v>0</v>
      </c>
      <c r="L482" s="36">
        <v>1153</v>
      </c>
      <c r="M482" s="35">
        <v>2.82</v>
      </c>
      <c r="N482" s="21">
        <v>10.6</v>
      </c>
      <c r="O482" s="12">
        <v>0</v>
      </c>
      <c r="P482" s="35">
        <v>0.04</v>
      </c>
      <c r="Q482" s="35" t="s">
        <v>1</v>
      </c>
      <c r="R482" s="35">
        <v>16</v>
      </c>
      <c r="S482" s="35">
        <v>25</v>
      </c>
      <c r="T482" s="21">
        <v>0.996</v>
      </c>
      <c r="U482" s="21">
        <v>0.29722543433280424</v>
      </c>
      <c r="V482" s="37" t="s">
        <v>6</v>
      </c>
      <c r="W482" s="37" t="s">
        <v>6</v>
      </c>
      <c r="X482" s="35" t="s">
        <v>6</v>
      </c>
      <c r="Y482" s="23" t="s">
        <v>6</v>
      </c>
      <c r="Z482" s="21" t="s">
        <v>6</v>
      </c>
      <c r="AA482" s="35" t="s">
        <v>6</v>
      </c>
      <c r="AB482" s="35" t="s">
        <v>1</v>
      </c>
      <c r="AC482" s="1" t="s">
        <v>104</v>
      </c>
    </row>
    <row r="483" spans="1:29">
      <c r="A483" s="35" t="s">
        <v>21</v>
      </c>
      <c r="B483" s="35" t="s">
        <v>180</v>
      </c>
      <c r="C483" s="35" t="s">
        <v>60</v>
      </c>
      <c r="D483" s="36">
        <v>600</v>
      </c>
      <c r="E483" s="12">
        <v>74</v>
      </c>
      <c r="F483" s="21">
        <f t="shared" si="31"/>
        <v>5.8258060345220253</v>
      </c>
      <c r="G483" s="35" t="s">
        <v>102</v>
      </c>
      <c r="H483" s="35">
        <v>0</v>
      </c>
      <c r="I483" s="21">
        <f>47%/27%</f>
        <v>1.7407407407407405</v>
      </c>
      <c r="J483" s="35">
        <v>0</v>
      </c>
      <c r="K483" s="35">
        <v>0</v>
      </c>
      <c r="L483" s="36">
        <v>1153</v>
      </c>
      <c r="M483" s="35">
        <v>2.82</v>
      </c>
      <c r="N483" s="21">
        <v>10.6</v>
      </c>
      <c r="O483" s="12">
        <v>0</v>
      </c>
      <c r="P483" s="35">
        <v>0.04</v>
      </c>
      <c r="Q483" s="35" t="s">
        <v>1</v>
      </c>
      <c r="R483" s="35">
        <v>16</v>
      </c>
      <c r="S483" s="35">
        <v>25</v>
      </c>
      <c r="T483" s="21">
        <v>1.643</v>
      </c>
      <c r="U483" s="21">
        <v>0.28202106116545278</v>
      </c>
      <c r="V483" s="37" t="s">
        <v>6</v>
      </c>
      <c r="W483" s="37" t="s">
        <v>6</v>
      </c>
      <c r="X483" s="35" t="s">
        <v>6</v>
      </c>
      <c r="Y483" s="23" t="s">
        <v>6</v>
      </c>
      <c r="Z483" s="21" t="s">
        <v>6</v>
      </c>
      <c r="AA483" s="35" t="s">
        <v>6</v>
      </c>
      <c r="AB483" s="35" t="s">
        <v>1</v>
      </c>
      <c r="AC483" s="27" t="s">
        <v>103</v>
      </c>
    </row>
    <row r="484" spans="1:29">
      <c r="A484" s="35" t="s">
        <v>21</v>
      </c>
      <c r="B484" s="35" t="s">
        <v>180</v>
      </c>
      <c r="C484" s="35" t="s">
        <v>60</v>
      </c>
      <c r="D484" s="36">
        <v>600</v>
      </c>
      <c r="E484" s="12">
        <v>87</v>
      </c>
      <c r="F484" s="21">
        <f t="shared" si="31"/>
        <v>8.8231359951442272</v>
      </c>
      <c r="G484" s="35" t="s">
        <v>102</v>
      </c>
      <c r="H484" s="35">
        <v>0</v>
      </c>
      <c r="I484" s="21">
        <f>47%/40%</f>
        <v>1.1749999999999998</v>
      </c>
      <c r="J484" s="35">
        <v>0</v>
      </c>
      <c r="K484" s="35">
        <v>0</v>
      </c>
      <c r="L484" s="36">
        <v>1153</v>
      </c>
      <c r="M484" s="35">
        <v>2.82</v>
      </c>
      <c r="N484" s="21">
        <v>10.6</v>
      </c>
      <c r="O484" s="12">
        <v>0</v>
      </c>
      <c r="P484" s="35">
        <v>0.04</v>
      </c>
      <c r="Q484" s="35" t="s">
        <v>1</v>
      </c>
      <c r="R484" s="35">
        <v>16</v>
      </c>
      <c r="S484" s="35">
        <v>25</v>
      </c>
      <c r="T484" s="21">
        <v>2.1813450760608402</v>
      </c>
      <c r="U484" s="21">
        <v>0.24723013192376653</v>
      </c>
      <c r="V484" s="37">
        <v>5.55</v>
      </c>
      <c r="W484" s="37">
        <v>9.0500000000000007</v>
      </c>
      <c r="X484" s="35">
        <v>90</v>
      </c>
      <c r="Y484" s="23" t="s">
        <v>6</v>
      </c>
      <c r="Z484" s="21">
        <v>4.5999999999999996</v>
      </c>
      <c r="AA484" s="35">
        <v>20</v>
      </c>
      <c r="AB484" s="35" t="s">
        <v>1</v>
      </c>
      <c r="AC484" s="27" t="s">
        <v>103</v>
      </c>
    </row>
    <row r="485" spans="1:29">
      <c r="A485" s="35" t="s">
        <v>21</v>
      </c>
      <c r="B485" s="35" t="s">
        <v>180</v>
      </c>
      <c r="C485" s="35" t="s">
        <v>60</v>
      </c>
      <c r="D485" s="36">
        <v>600</v>
      </c>
      <c r="E485" s="12">
        <v>94</v>
      </c>
      <c r="F485" s="21">
        <f t="shared" si="31"/>
        <v>10.559541643725508</v>
      </c>
      <c r="G485" s="35" t="s">
        <v>102</v>
      </c>
      <c r="H485" s="35">
        <v>0</v>
      </c>
      <c r="I485" s="21">
        <f>47%/47%</f>
        <v>1</v>
      </c>
      <c r="J485" s="35">
        <v>0</v>
      </c>
      <c r="K485" s="35">
        <v>0</v>
      </c>
      <c r="L485" s="36">
        <v>1153</v>
      </c>
      <c r="M485" s="35">
        <v>2.82</v>
      </c>
      <c r="N485" s="21">
        <v>10.6</v>
      </c>
      <c r="O485" s="12">
        <v>0</v>
      </c>
      <c r="P485" s="35">
        <v>0.04</v>
      </c>
      <c r="Q485" s="35" t="s">
        <v>1</v>
      </c>
      <c r="R485" s="35">
        <v>16</v>
      </c>
      <c r="S485" s="35">
        <v>25</v>
      </c>
      <c r="T485" s="21">
        <v>2.0212169735788601</v>
      </c>
      <c r="U485" s="21">
        <v>0.19141143070162231</v>
      </c>
      <c r="V485" s="37" t="s">
        <v>6</v>
      </c>
      <c r="W485" s="37" t="s">
        <v>6</v>
      </c>
      <c r="X485" s="35" t="s">
        <v>6</v>
      </c>
      <c r="Y485" s="23" t="s">
        <v>6</v>
      </c>
      <c r="Z485" s="21" t="s">
        <v>6</v>
      </c>
      <c r="AA485" s="35" t="s">
        <v>6</v>
      </c>
      <c r="AB485" s="35" t="s">
        <v>1</v>
      </c>
      <c r="AC485" s="27" t="s">
        <v>103</v>
      </c>
    </row>
    <row r="486" spans="1:29">
      <c r="A486" s="35" t="s">
        <v>21</v>
      </c>
      <c r="B486" s="35" t="s">
        <v>180</v>
      </c>
      <c r="C486" s="35" t="s">
        <v>60</v>
      </c>
      <c r="D486" s="36">
        <v>600</v>
      </c>
      <c r="E486" s="12">
        <v>96</v>
      </c>
      <c r="F486" s="21">
        <f t="shared" si="31"/>
        <v>11.30386249441605</v>
      </c>
      <c r="G486" s="35" t="s">
        <v>102</v>
      </c>
      <c r="H486" s="35">
        <v>0</v>
      </c>
      <c r="I486" s="21">
        <f>47%/49%</f>
        <v>0.95918367346938771</v>
      </c>
      <c r="J486" s="35">
        <v>0</v>
      </c>
      <c r="K486" s="35">
        <v>0</v>
      </c>
      <c r="L486" s="36">
        <v>1153</v>
      </c>
      <c r="M486" s="35">
        <v>2.82</v>
      </c>
      <c r="N486" s="21">
        <v>10.6</v>
      </c>
      <c r="O486" s="12">
        <v>0</v>
      </c>
      <c r="P486" s="35">
        <v>0.04</v>
      </c>
      <c r="Q486" s="35" t="s">
        <v>1</v>
      </c>
      <c r="R486" s="35">
        <v>16</v>
      </c>
      <c r="S486" s="35">
        <v>25</v>
      </c>
      <c r="T486" s="21">
        <v>1.95</v>
      </c>
      <c r="U486" s="21">
        <v>0.17250740629260775</v>
      </c>
      <c r="V486" s="37" t="s">
        <v>6</v>
      </c>
      <c r="W486" s="37" t="s">
        <v>6</v>
      </c>
      <c r="X486" s="35" t="s">
        <v>6</v>
      </c>
      <c r="Y486" s="23" t="s">
        <v>6</v>
      </c>
      <c r="Z486" s="21" t="s">
        <v>6</v>
      </c>
      <c r="AA486" s="35" t="s">
        <v>6</v>
      </c>
      <c r="AB486" s="35" t="s">
        <v>1</v>
      </c>
      <c r="AC486" s="27" t="s">
        <v>103</v>
      </c>
    </row>
    <row r="487" spans="1:29">
      <c r="A487" s="35" t="s">
        <v>21</v>
      </c>
      <c r="B487" s="35" t="s">
        <v>180</v>
      </c>
      <c r="C487" s="35" t="s">
        <v>60</v>
      </c>
      <c r="D487" s="36">
        <v>600</v>
      </c>
      <c r="E487" s="12">
        <v>87</v>
      </c>
      <c r="F487" s="21">
        <f xml:space="preserve"> T487/U487</f>
        <v>9.3158650928301885</v>
      </c>
      <c r="G487" s="35" t="s">
        <v>102</v>
      </c>
      <c r="H487" s="35">
        <v>0</v>
      </c>
      <c r="I487" s="21">
        <f>47%/40%</f>
        <v>1.1749999999999998</v>
      </c>
      <c r="J487" s="35">
        <v>0</v>
      </c>
      <c r="K487" s="35">
        <v>0</v>
      </c>
      <c r="L487" s="36">
        <v>1153</v>
      </c>
      <c r="M487" s="35">
        <v>2.82</v>
      </c>
      <c r="N487" s="21">
        <v>10.6</v>
      </c>
      <c r="O487" s="12">
        <v>24</v>
      </c>
      <c r="P487" s="35">
        <v>0.04</v>
      </c>
      <c r="Q487" s="35" t="s">
        <v>1</v>
      </c>
      <c r="R487" s="35">
        <v>16</v>
      </c>
      <c r="S487" s="35">
        <v>25</v>
      </c>
      <c r="T487" s="21">
        <v>2.19</v>
      </c>
      <c r="U487" s="21">
        <v>0.23508283752257209</v>
      </c>
      <c r="V487" s="37" t="s">
        <v>6</v>
      </c>
      <c r="W487" s="37" t="s">
        <v>6</v>
      </c>
      <c r="X487" s="35" t="s">
        <v>6</v>
      </c>
      <c r="Y487" s="23" t="s">
        <v>6</v>
      </c>
      <c r="Z487" s="21" t="s">
        <v>6</v>
      </c>
      <c r="AA487" s="35" t="s">
        <v>6</v>
      </c>
      <c r="AB487" s="35" t="s">
        <v>1</v>
      </c>
      <c r="AC487" s="27" t="s">
        <v>103</v>
      </c>
    </row>
    <row r="488" spans="1:29">
      <c r="A488" s="35" t="s">
        <v>21</v>
      </c>
      <c r="B488" s="35" t="s">
        <v>180</v>
      </c>
      <c r="C488" s="35" t="s">
        <v>60</v>
      </c>
      <c r="D488" s="36">
        <v>600</v>
      </c>
      <c r="E488" s="12">
        <v>87</v>
      </c>
      <c r="F488" s="21">
        <f t="shared" si="31"/>
        <v>9.3182389572501343</v>
      </c>
      <c r="G488" s="35" t="s">
        <v>102</v>
      </c>
      <c r="H488" s="35">
        <v>0</v>
      </c>
      <c r="I488" s="21">
        <f>47%/40%</f>
        <v>1.1749999999999998</v>
      </c>
      <c r="J488" s="35">
        <v>0</v>
      </c>
      <c r="K488" s="35">
        <v>0</v>
      </c>
      <c r="L488" s="36">
        <v>1153</v>
      </c>
      <c r="M488" s="35">
        <v>2.82</v>
      </c>
      <c r="N488" s="21">
        <v>10.6</v>
      </c>
      <c r="O488" s="12">
        <v>34</v>
      </c>
      <c r="P488" s="35">
        <v>0.04</v>
      </c>
      <c r="Q488" s="35" t="s">
        <v>1</v>
      </c>
      <c r="R488" s="35">
        <v>16</v>
      </c>
      <c r="S488" s="35">
        <v>25</v>
      </c>
      <c r="T488" s="21">
        <v>2.54</v>
      </c>
      <c r="U488" s="21">
        <v>0.27258369437110558</v>
      </c>
      <c r="V488" s="37" t="s">
        <v>6</v>
      </c>
      <c r="W488" s="37" t="s">
        <v>6</v>
      </c>
      <c r="X488" s="35" t="s">
        <v>6</v>
      </c>
      <c r="Y488" s="23" t="s">
        <v>6</v>
      </c>
      <c r="Z488" s="21" t="s">
        <v>6</v>
      </c>
      <c r="AA488" s="35" t="s">
        <v>6</v>
      </c>
      <c r="AB488" s="35" t="s">
        <v>1</v>
      </c>
      <c r="AC488" s="27" t="s">
        <v>103</v>
      </c>
    </row>
    <row r="489" spans="1:29">
      <c r="A489" s="35" t="s">
        <v>21</v>
      </c>
      <c r="B489" s="35" t="s">
        <v>180</v>
      </c>
      <c r="C489" s="35" t="s">
        <v>60</v>
      </c>
      <c r="D489" s="36">
        <v>600</v>
      </c>
      <c r="E489" s="12">
        <v>87</v>
      </c>
      <c r="F489" s="21">
        <f t="shared" si="31"/>
        <v>9.3354587638406787</v>
      </c>
      <c r="G489" s="35" t="s">
        <v>102</v>
      </c>
      <c r="H489" s="35">
        <v>0</v>
      </c>
      <c r="I489" s="21">
        <f>47%/40%</f>
        <v>1.1749999999999998</v>
      </c>
      <c r="J489" s="35">
        <v>0</v>
      </c>
      <c r="K489" s="35">
        <v>0</v>
      </c>
      <c r="L489" s="36">
        <v>1153</v>
      </c>
      <c r="M489" s="35">
        <v>2.82</v>
      </c>
      <c r="N489" s="21">
        <v>10.6</v>
      </c>
      <c r="O489" s="12">
        <v>44</v>
      </c>
      <c r="P489" s="35">
        <v>0.04</v>
      </c>
      <c r="Q489" s="35" t="s">
        <v>1</v>
      </c>
      <c r="R489" s="35">
        <v>16</v>
      </c>
      <c r="S489" s="35">
        <v>25</v>
      </c>
      <c r="T489" s="21">
        <v>2.65</v>
      </c>
      <c r="U489" s="21">
        <v>0.28386392860138027</v>
      </c>
      <c r="V489" s="37" t="s">
        <v>6</v>
      </c>
      <c r="W489" s="37" t="s">
        <v>6</v>
      </c>
      <c r="X489" s="35" t="s">
        <v>6</v>
      </c>
      <c r="Y489" s="23" t="s">
        <v>6</v>
      </c>
      <c r="Z489" s="21" t="s">
        <v>6</v>
      </c>
      <c r="AA489" s="35" t="s">
        <v>6</v>
      </c>
      <c r="AB489" s="35" t="s">
        <v>1</v>
      </c>
      <c r="AC489" s="27" t="s">
        <v>103</v>
      </c>
    </row>
    <row r="490" spans="1:29">
      <c r="A490" s="35" t="s">
        <v>21</v>
      </c>
      <c r="B490" s="35" t="s">
        <v>180</v>
      </c>
      <c r="C490" s="35" t="s">
        <v>60</v>
      </c>
      <c r="D490" s="36">
        <v>600</v>
      </c>
      <c r="E490" s="12">
        <v>87</v>
      </c>
      <c r="F490" s="21">
        <f t="shared" si="31"/>
        <v>9.305044634406487</v>
      </c>
      <c r="G490" s="35" t="s">
        <v>102</v>
      </c>
      <c r="H490" s="35">
        <v>0</v>
      </c>
      <c r="I490" s="21">
        <f t="shared" ref="I490:I494" si="32">47%/40%</f>
        <v>1.1749999999999998</v>
      </c>
      <c r="J490" s="35">
        <v>0</v>
      </c>
      <c r="K490" s="35">
        <v>0</v>
      </c>
      <c r="L490" s="36">
        <v>1153</v>
      </c>
      <c r="M490" s="35">
        <v>2.82</v>
      </c>
      <c r="N490" s="21">
        <v>10.6</v>
      </c>
      <c r="O490" s="12">
        <v>54</v>
      </c>
      <c r="P490" s="35">
        <v>0.04</v>
      </c>
      <c r="Q490" s="35" t="s">
        <v>1</v>
      </c>
      <c r="R490" s="35">
        <v>16</v>
      </c>
      <c r="S490" s="35">
        <v>25</v>
      </c>
      <c r="T490" s="21">
        <v>2.76</v>
      </c>
      <c r="U490" s="21">
        <v>0.29661330046656392</v>
      </c>
      <c r="V490" s="37" t="s">
        <v>1</v>
      </c>
      <c r="W490" s="37" t="s">
        <v>6</v>
      </c>
      <c r="X490" s="35">
        <v>90</v>
      </c>
      <c r="Y490" s="23" t="s">
        <v>6</v>
      </c>
      <c r="Z490" s="21">
        <v>2</v>
      </c>
      <c r="AA490" s="35">
        <v>20</v>
      </c>
      <c r="AB490" s="35" t="s">
        <v>1</v>
      </c>
      <c r="AC490" s="27" t="s">
        <v>103</v>
      </c>
    </row>
    <row r="491" spans="1:29">
      <c r="A491" s="35" t="s">
        <v>21</v>
      </c>
      <c r="B491" s="35" t="s">
        <v>180</v>
      </c>
      <c r="C491" s="35" t="s">
        <v>60</v>
      </c>
      <c r="D491" s="36">
        <v>600</v>
      </c>
      <c r="E491" s="12">
        <v>87</v>
      </c>
      <c r="F491" s="21">
        <f t="shared" si="31"/>
        <v>9.6769787096528379</v>
      </c>
      <c r="G491" s="35" t="s">
        <v>102</v>
      </c>
      <c r="H491" s="35">
        <v>0</v>
      </c>
      <c r="I491" s="21">
        <f t="shared" si="32"/>
        <v>1.1749999999999998</v>
      </c>
      <c r="J491" s="35">
        <v>0</v>
      </c>
      <c r="K491" s="35">
        <v>0</v>
      </c>
      <c r="L491" s="36">
        <v>1153</v>
      </c>
      <c r="M491" s="35">
        <v>2.82</v>
      </c>
      <c r="N491" s="21">
        <v>10.6</v>
      </c>
      <c r="O491" s="12">
        <v>64</v>
      </c>
      <c r="P491" s="35">
        <v>0.04</v>
      </c>
      <c r="Q491" s="35" t="s">
        <v>1</v>
      </c>
      <c r="R491" s="35">
        <v>16</v>
      </c>
      <c r="S491" s="35">
        <v>25</v>
      </c>
      <c r="T491" s="35">
        <v>2.94</v>
      </c>
      <c r="U491" s="21">
        <v>0.30381383365733089</v>
      </c>
      <c r="V491" s="37" t="s">
        <v>6</v>
      </c>
      <c r="W491" s="37" t="s">
        <v>6</v>
      </c>
      <c r="X491" s="35" t="s">
        <v>6</v>
      </c>
      <c r="Y491" s="23" t="s">
        <v>6</v>
      </c>
      <c r="Z491" s="21" t="s">
        <v>6</v>
      </c>
      <c r="AA491" s="35" t="s">
        <v>6</v>
      </c>
      <c r="AB491" s="35" t="s">
        <v>1</v>
      </c>
      <c r="AC491" s="27" t="s">
        <v>103</v>
      </c>
    </row>
    <row r="492" spans="1:29">
      <c r="A492" s="35" t="s">
        <v>21</v>
      </c>
      <c r="B492" s="35" t="s">
        <v>180</v>
      </c>
      <c r="C492" s="35" t="s">
        <v>60</v>
      </c>
      <c r="D492" s="36">
        <v>600</v>
      </c>
      <c r="E492" s="12">
        <v>87</v>
      </c>
      <c r="F492" s="21">
        <f t="shared" si="31"/>
        <v>9.354758017682725</v>
      </c>
      <c r="G492" s="35" t="s">
        <v>102</v>
      </c>
      <c r="H492" s="35">
        <v>0</v>
      </c>
      <c r="I492" s="21">
        <f t="shared" si="32"/>
        <v>1.1749999999999998</v>
      </c>
      <c r="J492" s="35">
        <v>0</v>
      </c>
      <c r="K492" s="35">
        <v>0</v>
      </c>
      <c r="L492" s="36">
        <v>1153</v>
      </c>
      <c r="M492" s="35">
        <v>2.82</v>
      </c>
      <c r="N492" s="21">
        <v>10.6</v>
      </c>
      <c r="O492" s="12">
        <v>73</v>
      </c>
      <c r="P492" s="35">
        <v>0.04</v>
      </c>
      <c r="Q492" s="35" t="s">
        <v>1</v>
      </c>
      <c r="R492" s="35">
        <v>16</v>
      </c>
      <c r="S492" s="35">
        <v>25</v>
      </c>
      <c r="T492" s="21">
        <v>2.94</v>
      </c>
      <c r="U492" s="21">
        <v>0.31427857294039013</v>
      </c>
      <c r="V492" s="37" t="s">
        <v>6</v>
      </c>
      <c r="W492" s="37" t="s">
        <v>6</v>
      </c>
      <c r="X492" s="35" t="s">
        <v>6</v>
      </c>
      <c r="Y492" s="23" t="s">
        <v>6</v>
      </c>
      <c r="Z492" s="21" t="s">
        <v>6</v>
      </c>
      <c r="AA492" s="35" t="s">
        <v>6</v>
      </c>
      <c r="AB492" s="35" t="s">
        <v>1</v>
      </c>
      <c r="AC492" s="27" t="s">
        <v>103</v>
      </c>
    </row>
    <row r="493" spans="1:29">
      <c r="A493" s="35" t="s">
        <v>21</v>
      </c>
      <c r="B493" s="35" t="s">
        <v>180</v>
      </c>
      <c r="C493" s="35" t="s">
        <v>60</v>
      </c>
      <c r="D493" s="36">
        <v>600</v>
      </c>
      <c r="E493" s="12">
        <v>87</v>
      </c>
      <c r="F493" s="21">
        <f t="shared" si="31"/>
        <v>9.3617279010716352</v>
      </c>
      <c r="G493" s="35" t="s">
        <v>102</v>
      </c>
      <c r="H493" s="35">
        <v>0</v>
      </c>
      <c r="I493" s="21">
        <f t="shared" si="32"/>
        <v>1.1749999999999998</v>
      </c>
      <c r="J493" s="35">
        <v>0</v>
      </c>
      <c r="K493" s="35">
        <v>0</v>
      </c>
      <c r="L493" s="36">
        <v>1153</v>
      </c>
      <c r="M493" s="35">
        <v>2.82</v>
      </c>
      <c r="N493" s="21">
        <v>10.6</v>
      </c>
      <c r="O493" s="12">
        <v>83</v>
      </c>
      <c r="P493" s="35">
        <v>0.04</v>
      </c>
      <c r="Q493" s="35" t="s">
        <v>1</v>
      </c>
      <c r="R493" s="35">
        <v>16</v>
      </c>
      <c r="S493" s="35">
        <v>25</v>
      </c>
      <c r="T493" s="21">
        <v>2.95</v>
      </c>
      <c r="U493" s="21">
        <v>0.31511276883643607</v>
      </c>
      <c r="V493" s="37" t="s">
        <v>6</v>
      </c>
      <c r="W493" s="37" t="s">
        <v>6</v>
      </c>
      <c r="X493" s="35" t="s">
        <v>6</v>
      </c>
      <c r="Y493" s="23" t="s">
        <v>6</v>
      </c>
      <c r="Z493" s="21" t="s">
        <v>6</v>
      </c>
      <c r="AA493" s="35" t="s">
        <v>6</v>
      </c>
      <c r="AB493" s="35" t="s">
        <v>1</v>
      </c>
      <c r="AC493" s="27" t="s">
        <v>103</v>
      </c>
    </row>
    <row r="494" spans="1:29">
      <c r="A494" s="35" t="s">
        <v>21</v>
      </c>
      <c r="B494" s="35" t="s">
        <v>180</v>
      </c>
      <c r="C494" s="35" t="s">
        <v>60</v>
      </c>
      <c r="D494" s="36">
        <v>600</v>
      </c>
      <c r="E494" s="12">
        <v>87</v>
      </c>
      <c r="F494" s="21">
        <f t="shared" si="31"/>
        <v>9.3637717635657847</v>
      </c>
      <c r="G494" s="35" t="s">
        <v>102</v>
      </c>
      <c r="H494" s="35">
        <v>0</v>
      </c>
      <c r="I494" s="21">
        <f t="shared" si="32"/>
        <v>1.1749999999999998</v>
      </c>
      <c r="J494" s="35">
        <v>0</v>
      </c>
      <c r="K494" s="35">
        <v>0</v>
      </c>
      <c r="L494" s="36">
        <v>1153</v>
      </c>
      <c r="M494" s="35">
        <v>2.82</v>
      </c>
      <c r="N494" s="21">
        <v>10.6</v>
      </c>
      <c r="O494" s="12">
        <v>88</v>
      </c>
      <c r="P494" s="35">
        <v>0.04</v>
      </c>
      <c r="Q494" s="35" t="s">
        <v>1</v>
      </c>
      <c r="R494" s="35">
        <v>16</v>
      </c>
      <c r="S494" s="35">
        <v>25</v>
      </c>
      <c r="T494" s="21">
        <v>2.96</v>
      </c>
      <c r="U494" s="21">
        <v>0.31611193381680769</v>
      </c>
      <c r="V494" s="37" t="s">
        <v>6</v>
      </c>
      <c r="W494" s="37" t="s">
        <v>6</v>
      </c>
      <c r="X494" s="35" t="s">
        <v>6</v>
      </c>
      <c r="Y494" s="23" t="s">
        <v>6</v>
      </c>
      <c r="Z494" s="21" t="s">
        <v>6</v>
      </c>
      <c r="AA494" s="35" t="s">
        <v>6</v>
      </c>
      <c r="AB494" s="35" t="s">
        <v>1</v>
      </c>
      <c r="AC494" s="27" t="s">
        <v>103</v>
      </c>
    </row>
    <row r="495" spans="1:29">
      <c r="A495" s="35" t="s">
        <v>21</v>
      </c>
      <c r="B495" s="35" t="s">
        <v>180</v>
      </c>
      <c r="C495" s="35" t="s">
        <v>60</v>
      </c>
      <c r="D495" s="36">
        <v>600</v>
      </c>
      <c r="E495" s="12">
        <v>87</v>
      </c>
      <c r="F495" s="21">
        <f t="shared" si="31"/>
        <v>2.4913139210947954</v>
      </c>
      <c r="G495" s="35">
        <v>0</v>
      </c>
      <c r="H495" s="35">
        <v>0</v>
      </c>
      <c r="I495" s="35">
        <v>0</v>
      </c>
      <c r="J495" s="35">
        <v>0</v>
      </c>
      <c r="K495" s="35">
        <v>0</v>
      </c>
      <c r="L495" s="36">
        <v>1153</v>
      </c>
      <c r="M495" s="35">
        <v>2.82</v>
      </c>
      <c r="N495" s="21">
        <v>10.6</v>
      </c>
      <c r="O495" s="12">
        <v>0</v>
      </c>
      <c r="P495" s="35">
        <v>0.04</v>
      </c>
      <c r="Q495" s="35" t="s">
        <v>1</v>
      </c>
      <c r="R495" s="35">
        <v>16</v>
      </c>
      <c r="S495" s="35">
        <v>25</v>
      </c>
      <c r="T495" s="35">
        <v>0.79</v>
      </c>
      <c r="U495" s="21">
        <v>0.31710174832276394</v>
      </c>
      <c r="V495" s="37">
        <v>3.24</v>
      </c>
      <c r="W495" s="37">
        <v>5.17</v>
      </c>
      <c r="X495" s="35" t="s">
        <v>6</v>
      </c>
      <c r="Y495" s="23" t="s">
        <v>6</v>
      </c>
      <c r="Z495" s="21" t="s">
        <v>6</v>
      </c>
      <c r="AA495" s="35" t="s">
        <v>6</v>
      </c>
      <c r="AB495" s="35" t="s">
        <v>1</v>
      </c>
      <c r="AC495" s="2" t="s">
        <v>104</v>
      </c>
    </row>
    <row r="496" spans="1:29">
      <c r="A496" s="35" t="s">
        <v>196</v>
      </c>
      <c r="B496" s="35" t="s">
        <v>180</v>
      </c>
      <c r="C496" s="35" t="s">
        <v>60</v>
      </c>
      <c r="D496" s="36">
        <v>600</v>
      </c>
      <c r="E496" s="12">
        <v>23.051591657519172</v>
      </c>
      <c r="F496" s="21">
        <f t="shared" ref="F496:F535" si="33">T496/U496</f>
        <v>5.5176532500783777</v>
      </c>
      <c r="G496" s="35">
        <v>0</v>
      </c>
      <c r="H496" s="35">
        <v>0</v>
      </c>
      <c r="I496" s="35">
        <v>0</v>
      </c>
      <c r="J496" s="35">
        <v>0</v>
      </c>
      <c r="K496" s="35">
        <v>0</v>
      </c>
      <c r="L496" s="36">
        <v>447</v>
      </c>
      <c r="M496" s="35">
        <v>4.5199999999999996</v>
      </c>
      <c r="N496" s="21">
        <v>40.447427293064877</v>
      </c>
      <c r="O496" s="12">
        <v>0</v>
      </c>
      <c r="P496" s="35">
        <v>0.04</v>
      </c>
      <c r="Q496" s="35">
        <v>100</v>
      </c>
      <c r="R496" s="35">
        <v>900</v>
      </c>
      <c r="S496" s="35">
        <v>30</v>
      </c>
      <c r="T496" s="21">
        <v>0.61964573268920997</v>
      </c>
      <c r="U496" s="21">
        <v>0.11230240549828099</v>
      </c>
      <c r="V496" s="37" t="s">
        <v>1</v>
      </c>
      <c r="W496" s="37" t="s">
        <v>1</v>
      </c>
      <c r="X496" s="35" t="s">
        <v>1</v>
      </c>
      <c r="Y496" s="23" t="s">
        <v>6</v>
      </c>
      <c r="Z496" s="21" t="s">
        <v>6</v>
      </c>
      <c r="AA496" s="35" t="s">
        <v>1</v>
      </c>
      <c r="AB496" s="35" t="s">
        <v>1</v>
      </c>
      <c r="AC496" s="27" t="s">
        <v>105</v>
      </c>
    </row>
    <row r="497" spans="1:29">
      <c r="A497" s="35" t="s">
        <v>196</v>
      </c>
      <c r="B497" s="35" t="s">
        <v>180</v>
      </c>
      <c r="C497" s="35" t="s">
        <v>60</v>
      </c>
      <c r="D497" s="36">
        <v>600</v>
      </c>
      <c r="E497" s="12">
        <v>41.994207695490275</v>
      </c>
      <c r="F497" s="21">
        <f t="shared" si="33"/>
        <v>9.7768265694937142</v>
      </c>
      <c r="G497" s="35">
        <v>0</v>
      </c>
      <c r="H497" s="35">
        <v>0</v>
      </c>
      <c r="I497" s="35">
        <v>0</v>
      </c>
      <c r="J497" s="35">
        <v>0</v>
      </c>
      <c r="K497" s="35">
        <v>0</v>
      </c>
      <c r="L497" s="36">
        <v>447</v>
      </c>
      <c r="M497" s="35">
        <v>4.5199999999999996</v>
      </c>
      <c r="N497" s="21">
        <v>40.447427293064877</v>
      </c>
      <c r="O497" s="12">
        <v>0</v>
      </c>
      <c r="P497" s="35">
        <v>0.04</v>
      </c>
      <c r="Q497" s="35">
        <v>100</v>
      </c>
      <c r="R497" s="35">
        <v>900</v>
      </c>
      <c r="S497" s="35">
        <v>30</v>
      </c>
      <c r="T497" s="21">
        <v>1.17053140096618</v>
      </c>
      <c r="U497" s="21">
        <v>0.11972508591065199</v>
      </c>
      <c r="V497" s="37" t="s">
        <v>1</v>
      </c>
      <c r="W497" s="37" t="s">
        <v>1</v>
      </c>
      <c r="X497" s="35" t="s">
        <v>1</v>
      </c>
      <c r="Y497" s="23" t="s">
        <v>6</v>
      </c>
      <c r="Z497" s="21" t="s">
        <v>6</v>
      </c>
      <c r="AA497" s="35" t="s">
        <v>1</v>
      </c>
      <c r="AB497" s="35" t="s">
        <v>1</v>
      </c>
      <c r="AC497" s="27" t="s">
        <v>105</v>
      </c>
    </row>
    <row r="498" spans="1:29">
      <c r="A498" s="35" t="s">
        <v>196</v>
      </c>
      <c r="B498" s="35" t="s">
        <v>180</v>
      </c>
      <c r="C498" s="35" t="s">
        <v>60</v>
      </c>
      <c r="D498" s="36">
        <v>600</v>
      </c>
      <c r="E498" s="12">
        <v>56.755089450956042</v>
      </c>
      <c r="F498" s="21">
        <f t="shared" si="33"/>
        <v>13.038158019254418</v>
      </c>
      <c r="G498" s="35">
        <v>0</v>
      </c>
      <c r="H498" s="35">
        <v>0</v>
      </c>
      <c r="I498" s="35">
        <v>0</v>
      </c>
      <c r="J498" s="35">
        <v>0</v>
      </c>
      <c r="K498" s="35">
        <v>0</v>
      </c>
      <c r="L498" s="36">
        <v>447</v>
      </c>
      <c r="M498" s="35">
        <v>4.5199999999999996</v>
      </c>
      <c r="N498" s="21">
        <v>40.447427293064877</v>
      </c>
      <c r="O498" s="12">
        <v>0</v>
      </c>
      <c r="P498" s="35">
        <v>0.04</v>
      </c>
      <c r="Q498" s="35">
        <v>100</v>
      </c>
      <c r="R498" s="35">
        <v>900</v>
      </c>
      <c r="S498" s="35">
        <v>30</v>
      </c>
      <c r="T498" s="21">
        <v>1.8755233494363901</v>
      </c>
      <c r="U498" s="21">
        <v>0.143848797250859</v>
      </c>
      <c r="V498" s="37" t="s">
        <v>1</v>
      </c>
      <c r="W498" s="37" t="s">
        <v>1</v>
      </c>
      <c r="X498" s="35" t="s">
        <v>1</v>
      </c>
      <c r="Y498" s="23" t="s">
        <v>6</v>
      </c>
      <c r="Z498" s="21" t="s">
        <v>6</v>
      </c>
      <c r="AA498" s="35" t="s">
        <v>1</v>
      </c>
      <c r="AB498" s="35" t="s">
        <v>1</v>
      </c>
      <c r="AC498" s="27" t="s">
        <v>105</v>
      </c>
    </row>
    <row r="499" spans="1:29">
      <c r="A499" s="35" t="s">
        <v>196</v>
      </c>
      <c r="B499" s="35" t="s">
        <v>180</v>
      </c>
      <c r="C499" s="35" t="s">
        <v>60</v>
      </c>
      <c r="D499" s="36">
        <v>600</v>
      </c>
      <c r="E499" s="12">
        <v>61.398678414096906</v>
      </c>
      <c r="F499" s="21">
        <f t="shared" si="33"/>
        <v>14.124882898639742</v>
      </c>
      <c r="G499" s="35">
        <v>0</v>
      </c>
      <c r="H499" s="35">
        <v>0</v>
      </c>
      <c r="I499" s="35">
        <v>0</v>
      </c>
      <c r="J499" s="35">
        <v>0</v>
      </c>
      <c r="K499" s="35">
        <v>0</v>
      </c>
      <c r="L499" s="36">
        <v>447</v>
      </c>
      <c r="M499" s="35">
        <v>4.5199999999999996</v>
      </c>
      <c r="N499" s="21">
        <v>40.447427293064877</v>
      </c>
      <c r="O499" s="12">
        <v>0</v>
      </c>
      <c r="P499" s="35">
        <v>0.04</v>
      </c>
      <c r="Q499" s="35">
        <v>100</v>
      </c>
      <c r="R499" s="35">
        <v>900</v>
      </c>
      <c r="S499" s="35">
        <v>30</v>
      </c>
      <c r="T499" s="21">
        <v>2.10756843800322</v>
      </c>
      <c r="U499" s="21">
        <v>0.14920962199312701</v>
      </c>
      <c r="V499" s="37" t="s">
        <v>1</v>
      </c>
      <c r="W499" s="37" t="s">
        <v>1</v>
      </c>
      <c r="X499" s="35" t="s">
        <v>1</v>
      </c>
      <c r="Y499" s="23" t="s">
        <v>6</v>
      </c>
      <c r="Z499" s="21" t="s">
        <v>6</v>
      </c>
      <c r="AA499" s="35" t="s">
        <v>1</v>
      </c>
      <c r="AB499" s="35" t="s">
        <v>1</v>
      </c>
      <c r="AC499" s="1" t="s">
        <v>112</v>
      </c>
    </row>
    <row r="500" spans="1:29">
      <c r="A500" s="35" t="s">
        <v>196</v>
      </c>
      <c r="B500" s="35" t="s">
        <v>180</v>
      </c>
      <c r="C500" s="35" t="s">
        <v>60</v>
      </c>
      <c r="D500" s="36">
        <v>600</v>
      </c>
      <c r="E500" s="12">
        <v>72.358044164037793</v>
      </c>
      <c r="F500" s="21">
        <f t="shared" si="33"/>
        <v>16.540462427745666</v>
      </c>
      <c r="G500" s="35">
        <v>0</v>
      </c>
      <c r="H500" s="35">
        <v>0</v>
      </c>
      <c r="I500" s="35">
        <v>0</v>
      </c>
      <c r="J500" s="35">
        <v>0</v>
      </c>
      <c r="K500" s="35">
        <v>0</v>
      </c>
      <c r="L500" s="36">
        <v>447</v>
      </c>
      <c r="M500" s="35">
        <v>4.5199999999999996</v>
      </c>
      <c r="N500" s="21">
        <v>40.447427293064877</v>
      </c>
      <c r="O500" s="12">
        <v>0</v>
      </c>
      <c r="P500" s="35">
        <v>0.04</v>
      </c>
      <c r="Q500" s="35">
        <v>100</v>
      </c>
      <c r="R500" s="35">
        <v>900</v>
      </c>
      <c r="S500" s="35">
        <v>30</v>
      </c>
      <c r="T500" s="21">
        <v>2.36</v>
      </c>
      <c r="U500" s="21">
        <v>0.14268041237113399</v>
      </c>
      <c r="V500" s="37">
        <v>182.4</v>
      </c>
      <c r="W500" s="37">
        <v>314.3</v>
      </c>
      <c r="X500" s="35">
        <v>110</v>
      </c>
      <c r="Y500" s="23" t="s">
        <v>6</v>
      </c>
      <c r="Z500" s="21">
        <v>16.7</v>
      </c>
      <c r="AA500" s="35">
        <v>5</v>
      </c>
      <c r="AB500" s="35" t="s">
        <v>1</v>
      </c>
      <c r="AC500" s="27" t="s">
        <v>105</v>
      </c>
    </row>
    <row r="501" spans="1:29">
      <c r="A501" s="35" t="s">
        <v>196</v>
      </c>
      <c r="B501" s="35" t="s">
        <v>180</v>
      </c>
      <c r="C501" s="35" t="s">
        <v>60</v>
      </c>
      <c r="D501" s="36">
        <v>600</v>
      </c>
      <c r="E501" s="12">
        <v>76.484401207648403</v>
      </c>
      <c r="F501" s="21">
        <f t="shared" si="33"/>
        <v>17.558319702790769</v>
      </c>
      <c r="G501" s="35">
        <v>0</v>
      </c>
      <c r="H501" s="35">
        <v>0</v>
      </c>
      <c r="I501" s="35">
        <v>0</v>
      </c>
      <c r="J501" s="35">
        <v>0</v>
      </c>
      <c r="K501" s="35">
        <v>0</v>
      </c>
      <c r="L501" s="36">
        <v>447</v>
      </c>
      <c r="M501" s="35">
        <v>4.5199999999999996</v>
      </c>
      <c r="N501" s="21">
        <v>40.447427293064877</v>
      </c>
      <c r="O501" s="12">
        <v>0</v>
      </c>
      <c r="P501" s="35">
        <v>0.04</v>
      </c>
      <c r="Q501" s="35">
        <v>100</v>
      </c>
      <c r="R501" s="35">
        <v>900</v>
      </c>
      <c r="S501" s="35">
        <v>30</v>
      </c>
      <c r="T501" s="21">
        <v>2.2988727858293001</v>
      </c>
      <c r="U501" s="21">
        <v>0.13092783505154601</v>
      </c>
      <c r="V501" s="37" t="s">
        <v>1</v>
      </c>
      <c r="W501" s="37" t="s">
        <v>1</v>
      </c>
      <c r="X501" s="35" t="s">
        <v>1</v>
      </c>
      <c r="Y501" s="23" t="s">
        <v>6</v>
      </c>
      <c r="Z501" s="21" t="s">
        <v>6</v>
      </c>
      <c r="AA501" s="35" t="s">
        <v>1</v>
      </c>
      <c r="AB501" s="35" t="s">
        <v>1</v>
      </c>
      <c r="AC501" s="27" t="s">
        <v>105</v>
      </c>
    </row>
    <row r="502" spans="1:29">
      <c r="A502" s="35" t="s">
        <v>196</v>
      </c>
      <c r="B502" s="35" t="s">
        <v>180</v>
      </c>
      <c r="C502" s="35" t="s">
        <v>60</v>
      </c>
      <c r="D502" s="36">
        <v>600</v>
      </c>
      <c r="E502" s="12">
        <v>78.875998191954167</v>
      </c>
      <c r="F502" s="21">
        <f t="shared" si="33"/>
        <v>18.112050221240867</v>
      </c>
      <c r="G502" s="35">
        <v>0</v>
      </c>
      <c r="H502" s="35">
        <v>0</v>
      </c>
      <c r="I502" s="35">
        <v>0</v>
      </c>
      <c r="J502" s="35">
        <v>0</v>
      </c>
      <c r="K502" s="35">
        <v>0</v>
      </c>
      <c r="L502" s="36">
        <v>447</v>
      </c>
      <c r="M502" s="35">
        <v>4.5199999999999996</v>
      </c>
      <c r="N502" s="21">
        <v>40.447427293064877</v>
      </c>
      <c r="O502" s="12">
        <v>0</v>
      </c>
      <c r="P502" s="35">
        <v>0.04</v>
      </c>
      <c r="Q502" s="35">
        <v>100</v>
      </c>
      <c r="R502" s="35">
        <v>900</v>
      </c>
      <c r="S502" s="35">
        <v>30</v>
      </c>
      <c r="T502" s="21">
        <v>2.13236714975845</v>
      </c>
      <c r="U502" s="21">
        <v>0.117731958762886</v>
      </c>
      <c r="V502" s="37" t="s">
        <v>1</v>
      </c>
      <c r="W502" s="37" t="s">
        <v>1</v>
      </c>
      <c r="X502" s="35" t="s">
        <v>1</v>
      </c>
      <c r="Y502" s="23" t="s">
        <v>6</v>
      </c>
      <c r="Z502" s="21" t="s">
        <v>6</v>
      </c>
      <c r="AA502" s="35" t="s">
        <v>1</v>
      </c>
      <c r="AB502" s="35" t="s">
        <v>1</v>
      </c>
      <c r="AC502" s="27" t="s">
        <v>105</v>
      </c>
    </row>
    <row r="503" spans="1:29">
      <c r="A503" s="35" t="s">
        <v>196</v>
      </c>
      <c r="B503" s="35" t="s">
        <v>180</v>
      </c>
      <c r="C503" s="35" t="s">
        <v>60</v>
      </c>
      <c r="D503" s="36">
        <v>600</v>
      </c>
      <c r="E503" s="12">
        <v>83.519454566827307</v>
      </c>
      <c r="F503" s="21">
        <f t="shared" si="33"/>
        <v>19.227300517017692</v>
      </c>
      <c r="G503" s="35">
        <v>0</v>
      </c>
      <c r="H503" s="35">
        <v>0</v>
      </c>
      <c r="I503" s="35">
        <v>0</v>
      </c>
      <c r="J503" s="35">
        <v>0</v>
      </c>
      <c r="K503" s="35">
        <v>0</v>
      </c>
      <c r="L503" s="36">
        <v>447</v>
      </c>
      <c r="M503" s="35">
        <v>4.5199999999999996</v>
      </c>
      <c r="N503" s="21">
        <v>40.447427293064877</v>
      </c>
      <c r="O503" s="12">
        <v>0</v>
      </c>
      <c r="P503" s="35">
        <v>0.04</v>
      </c>
      <c r="Q503" s="35">
        <v>100</v>
      </c>
      <c r="R503" s="35">
        <v>900</v>
      </c>
      <c r="S503" s="35">
        <v>30</v>
      </c>
      <c r="T503" s="21">
        <v>1.80644122383252</v>
      </c>
      <c r="U503" s="21">
        <v>9.3951890034364202E-2</v>
      </c>
      <c r="V503" s="37" t="s">
        <v>1</v>
      </c>
      <c r="W503" s="37" t="s">
        <v>1</v>
      </c>
      <c r="X503" s="35" t="s">
        <v>1</v>
      </c>
      <c r="Y503" s="23" t="s">
        <v>6</v>
      </c>
      <c r="Z503" s="21" t="s">
        <v>6</v>
      </c>
      <c r="AA503" s="35" t="s">
        <v>1</v>
      </c>
      <c r="AB503" s="35" t="s">
        <v>1</v>
      </c>
      <c r="AC503" s="1" t="s">
        <v>112</v>
      </c>
    </row>
    <row r="504" spans="1:29">
      <c r="A504" s="35" t="s">
        <v>196</v>
      </c>
      <c r="B504" s="35" t="s">
        <v>180</v>
      </c>
      <c r="C504" s="35" t="s">
        <v>60</v>
      </c>
      <c r="D504" s="36">
        <v>600</v>
      </c>
      <c r="E504" s="12">
        <v>72.36</v>
      </c>
      <c r="F504" s="21">
        <f t="shared" si="33"/>
        <v>17.162162162162165</v>
      </c>
      <c r="G504" s="35">
        <v>0</v>
      </c>
      <c r="H504" s="35">
        <v>0</v>
      </c>
      <c r="I504" s="35">
        <v>0</v>
      </c>
      <c r="J504" s="35">
        <v>0</v>
      </c>
      <c r="K504" s="35">
        <v>0</v>
      </c>
      <c r="L504" s="36">
        <v>447</v>
      </c>
      <c r="M504" s="35">
        <v>4.5199999999999996</v>
      </c>
      <c r="N504" s="21">
        <v>40.447427293064877</v>
      </c>
      <c r="O504" s="12">
        <v>0</v>
      </c>
      <c r="P504" s="35">
        <v>0.04</v>
      </c>
      <c r="Q504" s="35">
        <v>100</v>
      </c>
      <c r="R504" s="35">
        <v>900</v>
      </c>
      <c r="S504" s="35">
        <v>40</v>
      </c>
      <c r="T504" s="21">
        <v>2.54</v>
      </c>
      <c r="U504" s="21">
        <v>0.14799999999999999</v>
      </c>
      <c r="V504" s="37">
        <v>103.91</v>
      </c>
      <c r="W504" s="37">
        <v>274.73</v>
      </c>
      <c r="X504" s="35" t="s">
        <v>1</v>
      </c>
      <c r="Y504" s="23" t="s">
        <v>6</v>
      </c>
      <c r="Z504" s="21" t="s">
        <v>6</v>
      </c>
      <c r="AA504" s="35" t="s">
        <v>1</v>
      </c>
      <c r="AB504" s="35" t="s">
        <v>1</v>
      </c>
      <c r="AC504" s="27" t="s">
        <v>105</v>
      </c>
    </row>
    <row r="505" spans="1:29">
      <c r="A505" s="35" t="s">
        <v>196</v>
      </c>
      <c r="B505" s="35" t="s">
        <v>180</v>
      </c>
      <c r="C505" s="35" t="s">
        <v>60</v>
      </c>
      <c r="D505" s="36">
        <v>600</v>
      </c>
      <c r="E505" s="12">
        <v>72.36</v>
      </c>
      <c r="F505" s="21">
        <f t="shared" si="33"/>
        <v>17.168338907469341</v>
      </c>
      <c r="G505" s="35">
        <v>0</v>
      </c>
      <c r="H505" s="35">
        <v>0</v>
      </c>
      <c r="I505" s="35">
        <v>0</v>
      </c>
      <c r="J505" s="35">
        <v>0</v>
      </c>
      <c r="K505" s="35">
        <v>0</v>
      </c>
      <c r="L505" s="36">
        <v>447</v>
      </c>
      <c r="M505" s="35">
        <v>4.5199999999999996</v>
      </c>
      <c r="N505" s="21">
        <v>40.447427293064877</v>
      </c>
      <c r="O505" s="12">
        <v>0</v>
      </c>
      <c r="P505" s="35">
        <v>0.04</v>
      </c>
      <c r="Q505" s="35">
        <v>100</v>
      </c>
      <c r="R505" s="35">
        <v>900</v>
      </c>
      <c r="S505" s="35">
        <v>60</v>
      </c>
      <c r="T505" s="21">
        <v>1.54</v>
      </c>
      <c r="U505" s="21">
        <v>8.9700000000000002E-2</v>
      </c>
      <c r="V505" s="37">
        <v>83.69</v>
      </c>
      <c r="W505" s="37">
        <v>276.52</v>
      </c>
      <c r="X505" s="35" t="s">
        <v>1</v>
      </c>
      <c r="Y505" s="23" t="s">
        <v>6</v>
      </c>
      <c r="Z505" s="21" t="s">
        <v>6</v>
      </c>
      <c r="AA505" s="35" t="s">
        <v>1</v>
      </c>
      <c r="AB505" s="35" t="s">
        <v>1</v>
      </c>
      <c r="AC505" s="27" t="s">
        <v>105</v>
      </c>
    </row>
    <row r="506" spans="1:29">
      <c r="A506" s="35" t="s">
        <v>196</v>
      </c>
      <c r="B506" s="35" t="s">
        <v>180</v>
      </c>
      <c r="C506" s="35" t="s">
        <v>60</v>
      </c>
      <c r="D506" s="36">
        <v>600</v>
      </c>
      <c r="E506" s="12">
        <v>23.051591657519172</v>
      </c>
      <c r="F506" s="21">
        <f t="shared" si="33"/>
        <v>5.5569998074330735</v>
      </c>
      <c r="G506" s="35">
        <v>0</v>
      </c>
      <c r="H506" s="35">
        <v>0</v>
      </c>
      <c r="I506" s="35">
        <v>0</v>
      </c>
      <c r="J506" s="35">
        <v>0</v>
      </c>
      <c r="K506" s="35">
        <v>0</v>
      </c>
      <c r="L506" s="36">
        <v>447</v>
      </c>
      <c r="M506" s="35">
        <v>4.5199999999999996</v>
      </c>
      <c r="N506" s="21">
        <v>40.447427293064877</v>
      </c>
      <c r="O506" s="12">
        <v>0</v>
      </c>
      <c r="P506" s="35">
        <v>0.04</v>
      </c>
      <c r="Q506" s="35">
        <v>100</v>
      </c>
      <c r="R506" s="35">
        <v>900</v>
      </c>
      <c r="S506" s="35">
        <v>50</v>
      </c>
      <c r="T506" s="21">
        <v>0.44074074074073999</v>
      </c>
      <c r="U506" s="21">
        <v>7.9312714776632307E-2</v>
      </c>
      <c r="V506" s="37" t="s">
        <v>1</v>
      </c>
      <c r="W506" s="37" t="s">
        <v>1</v>
      </c>
      <c r="X506" s="35" t="s">
        <v>1</v>
      </c>
      <c r="Y506" s="23" t="s">
        <v>6</v>
      </c>
      <c r="Z506" s="21" t="s">
        <v>6</v>
      </c>
      <c r="AA506" s="35" t="s">
        <v>1</v>
      </c>
      <c r="AB506" s="35" t="s">
        <v>1</v>
      </c>
      <c r="AC506" s="27" t="s">
        <v>105</v>
      </c>
    </row>
    <row r="507" spans="1:29">
      <c r="A507" s="35" t="s">
        <v>196</v>
      </c>
      <c r="B507" s="35" t="s">
        <v>180</v>
      </c>
      <c r="C507" s="35" t="s">
        <v>60</v>
      </c>
      <c r="D507" s="36">
        <v>600</v>
      </c>
      <c r="E507" s="12">
        <v>41.994207695490275</v>
      </c>
      <c r="F507" s="21">
        <f t="shared" si="33"/>
        <v>9.807069744635557</v>
      </c>
      <c r="G507" s="35">
        <v>0</v>
      </c>
      <c r="H507" s="35">
        <v>0</v>
      </c>
      <c r="I507" s="35">
        <v>0</v>
      </c>
      <c r="J507" s="35">
        <v>0</v>
      </c>
      <c r="K507" s="35">
        <v>0</v>
      </c>
      <c r="L507" s="36">
        <v>447</v>
      </c>
      <c r="M507" s="35">
        <v>4.5199999999999996</v>
      </c>
      <c r="N507" s="21">
        <v>40.447427293064877</v>
      </c>
      <c r="O507" s="12">
        <v>0</v>
      </c>
      <c r="P507" s="35">
        <v>0.04</v>
      </c>
      <c r="Q507" s="35">
        <v>100</v>
      </c>
      <c r="R507" s="35">
        <v>900</v>
      </c>
      <c r="S507" s="35">
        <v>50</v>
      </c>
      <c r="T507" s="21">
        <v>1.16876006441223</v>
      </c>
      <c r="U507" s="21">
        <v>0.119175257731958</v>
      </c>
      <c r="V507" s="37" t="s">
        <v>1</v>
      </c>
      <c r="W507" s="37" t="s">
        <v>1</v>
      </c>
      <c r="X507" s="35" t="s">
        <v>1</v>
      </c>
      <c r="Y507" s="23" t="s">
        <v>6</v>
      </c>
      <c r="Z507" s="21" t="s">
        <v>6</v>
      </c>
      <c r="AA507" s="35" t="s">
        <v>1</v>
      </c>
      <c r="AB507" s="35" t="s">
        <v>1</v>
      </c>
      <c r="AC507" s="27" t="s">
        <v>105</v>
      </c>
    </row>
    <row r="508" spans="1:29">
      <c r="A508" s="35" t="s">
        <v>196</v>
      </c>
      <c r="B508" s="35" t="s">
        <v>180</v>
      </c>
      <c r="C508" s="35" t="s">
        <v>60</v>
      </c>
      <c r="D508" s="36">
        <v>600</v>
      </c>
      <c r="E508" s="12">
        <v>56.755089450956042</v>
      </c>
      <c r="F508" s="21">
        <f t="shared" si="33"/>
        <v>13.073867057312096</v>
      </c>
      <c r="G508" s="35">
        <v>0</v>
      </c>
      <c r="H508" s="35">
        <v>0</v>
      </c>
      <c r="I508" s="35">
        <v>0</v>
      </c>
      <c r="J508" s="35">
        <v>0</v>
      </c>
      <c r="K508" s="35">
        <v>0</v>
      </c>
      <c r="L508" s="36">
        <v>447</v>
      </c>
      <c r="M508" s="35">
        <v>4.5199999999999996</v>
      </c>
      <c r="N508" s="21">
        <v>40.447427293064877</v>
      </c>
      <c r="O508" s="12">
        <v>0</v>
      </c>
      <c r="P508" s="35">
        <v>0.04</v>
      </c>
      <c r="Q508" s="35">
        <v>100</v>
      </c>
      <c r="R508" s="35">
        <v>900</v>
      </c>
      <c r="S508" s="35">
        <v>50</v>
      </c>
      <c r="T508" s="21">
        <v>1.83123993558776</v>
      </c>
      <c r="U508" s="21">
        <v>0.14006872852233601</v>
      </c>
      <c r="V508" s="37" t="s">
        <v>1</v>
      </c>
      <c r="W508" s="37" t="s">
        <v>1</v>
      </c>
      <c r="X508" s="35" t="s">
        <v>1</v>
      </c>
      <c r="Y508" s="23" t="s">
        <v>6</v>
      </c>
      <c r="Z508" s="21" t="s">
        <v>6</v>
      </c>
      <c r="AA508" s="35" t="s">
        <v>1</v>
      </c>
      <c r="AB508" s="35" t="s">
        <v>1</v>
      </c>
      <c r="AC508" s="27" t="s">
        <v>105</v>
      </c>
    </row>
    <row r="509" spans="1:29">
      <c r="A509" s="35" t="s">
        <v>196</v>
      </c>
      <c r="B509" s="35" t="s">
        <v>180</v>
      </c>
      <c r="C509" s="35" t="s">
        <v>60</v>
      </c>
      <c r="D509" s="36">
        <v>600</v>
      </c>
      <c r="E509" s="12">
        <v>61.398678414096906</v>
      </c>
      <c r="F509" s="21">
        <f t="shared" si="33"/>
        <v>14.153803037268251</v>
      </c>
      <c r="G509" s="35">
        <v>0</v>
      </c>
      <c r="H509" s="35">
        <v>0</v>
      </c>
      <c r="I509" s="35">
        <v>0</v>
      </c>
      <c r="J509" s="35">
        <v>0</v>
      </c>
      <c r="K509" s="35">
        <v>0</v>
      </c>
      <c r="L509" s="36">
        <v>447</v>
      </c>
      <c r="M509" s="35">
        <v>4.5199999999999996</v>
      </c>
      <c r="N509" s="21">
        <v>40.447427293064877</v>
      </c>
      <c r="O509" s="12">
        <v>0</v>
      </c>
      <c r="P509" s="35">
        <v>0.04</v>
      </c>
      <c r="Q509" s="35">
        <v>100</v>
      </c>
      <c r="R509" s="35">
        <v>900</v>
      </c>
      <c r="S509" s="35">
        <v>50</v>
      </c>
      <c r="T509" s="21">
        <v>2.3307568438003199</v>
      </c>
      <c r="U509" s="21">
        <v>0.16467353951889999</v>
      </c>
      <c r="V509" s="37" t="s">
        <v>1</v>
      </c>
      <c r="W509" s="37" t="s">
        <v>1</v>
      </c>
      <c r="X509" s="35" t="s">
        <v>1</v>
      </c>
      <c r="Y509" s="23" t="s">
        <v>6</v>
      </c>
      <c r="Z509" s="21" t="s">
        <v>6</v>
      </c>
      <c r="AA509" s="35" t="s">
        <v>1</v>
      </c>
      <c r="AB509" s="35" t="s">
        <v>1</v>
      </c>
      <c r="AC509" s="27" t="s">
        <v>105</v>
      </c>
    </row>
    <row r="510" spans="1:29">
      <c r="A510" s="35" t="s">
        <v>196</v>
      </c>
      <c r="B510" s="35" t="s">
        <v>180</v>
      </c>
      <c r="C510" s="35" t="s">
        <v>60</v>
      </c>
      <c r="D510" s="36">
        <v>600</v>
      </c>
      <c r="E510" s="12">
        <v>72.358044164037793</v>
      </c>
      <c r="F510" s="21">
        <f t="shared" si="33"/>
        <v>16.635265700483089</v>
      </c>
      <c r="G510" s="35">
        <v>0</v>
      </c>
      <c r="H510" s="35">
        <v>0</v>
      </c>
      <c r="I510" s="35">
        <v>0</v>
      </c>
      <c r="J510" s="35">
        <v>0</v>
      </c>
      <c r="K510" s="35">
        <v>0</v>
      </c>
      <c r="L510" s="36">
        <v>447</v>
      </c>
      <c r="M510" s="35">
        <v>4.5199999999999996</v>
      </c>
      <c r="N510" s="21">
        <v>40.447427293064877</v>
      </c>
      <c r="O510" s="12">
        <v>0</v>
      </c>
      <c r="P510" s="35">
        <v>0.04</v>
      </c>
      <c r="Q510" s="35">
        <v>100</v>
      </c>
      <c r="R510" s="35">
        <v>900</v>
      </c>
      <c r="S510" s="35">
        <v>50</v>
      </c>
      <c r="T510" s="21">
        <v>2.5610305958131998</v>
      </c>
      <c r="U510" s="21">
        <v>0.15395189003436399</v>
      </c>
      <c r="V510" s="37" t="s">
        <v>1</v>
      </c>
      <c r="W510" s="37" t="s">
        <v>1</v>
      </c>
      <c r="X510" s="35" t="s">
        <v>1</v>
      </c>
      <c r="Y510" s="23" t="s">
        <v>6</v>
      </c>
      <c r="Z510" s="21" t="s">
        <v>6</v>
      </c>
      <c r="AA510" s="35" t="s">
        <v>1</v>
      </c>
      <c r="AB510" s="35" t="s">
        <v>1</v>
      </c>
      <c r="AC510" s="27" t="s">
        <v>105</v>
      </c>
    </row>
    <row r="511" spans="1:29">
      <c r="A511" s="35" t="s">
        <v>196</v>
      </c>
      <c r="B511" s="35" t="s">
        <v>180</v>
      </c>
      <c r="C511" s="35" t="s">
        <v>60</v>
      </c>
      <c r="D511" s="36">
        <v>600</v>
      </c>
      <c r="E511" s="12">
        <v>76.484401207648432</v>
      </c>
      <c r="F511" s="21">
        <f t="shared" si="33"/>
        <v>17.494722349701735</v>
      </c>
      <c r="G511" s="35">
        <v>0</v>
      </c>
      <c r="H511" s="35">
        <v>0</v>
      </c>
      <c r="I511" s="35">
        <v>0</v>
      </c>
      <c r="J511" s="35">
        <v>0</v>
      </c>
      <c r="K511" s="35">
        <v>0</v>
      </c>
      <c r="L511" s="36">
        <v>447</v>
      </c>
      <c r="M511" s="35">
        <v>4.5199999999999996</v>
      </c>
      <c r="N511" s="21">
        <v>40.447427293064877</v>
      </c>
      <c r="O511" s="12">
        <v>0</v>
      </c>
      <c r="P511" s="35">
        <v>0.04</v>
      </c>
      <c r="Q511" s="35">
        <v>100</v>
      </c>
      <c r="R511" s="35">
        <v>900</v>
      </c>
      <c r="S511" s="35">
        <v>50</v>
      </c>
      <c r="T511" s="21">
        <v>2.62</v>
      </c>
      <c r="U511" s="21">
        <v>0.14975945017182099</v>
      </c>
      <c r="V511" s="37">
        <v>102.6</v>
      </c>
      <c r="W511" s="37">
        <v>297.8</v>
      </c>
      <c r="X511" s="35" t="s">
        <v>1</v>
      </c>
      <c r="Y511" s="23" t="s">
        <v>6</v>
      </c>
      <c r="Z511" s="21" t="s">
        <v>6</v>
      </c>
      <c r="AA511" s="35" t="s">
        <v>1</v>
      </c>
      <c r="AB511" s="35" t="s">
        <v>1</v>
      </c>
      <c r="AC511" s="27" t="s">
        <v>105</v>
      </c>
    </row>
    <row r="512" spans="1:29">
      <c r="A512" s="35" t="s">
        <v>196</v>
      </c>
      <c r="B512" s="35" t="s">
        <v>180</v>
      </c>
      <c r="C512" s="35" t="s">
        <v>60</v>
      </c>
      <c r="D512" s="36">
        <v>600</v>
      </c>
      <c r="E512" s="12">
        <v>78.875998191954167</v>
      </c>
      <c r="F512" s="21">
        <f t="shared" si="33"/>
        <v>18.093525003793271</v>
      </c>
      <c r="G512" s="35">
        <v>0</v>
      </c>
      <c r="H512" s="35">
        <v>0</v>
      </c>
      <c r="I512" s="35">
        <v>0</v>
      </c>
      <c r="J512" s="35">
        <v>0</v>
      </c>
      <c r="K512" s="35">
        <v>0</v>
      </c>
      <c r="L512" s="36">
        <v>447</v>
      </c>
      <c r="M512" s="35">
        <v>4.5199999999999996</v>
      </c>
      <c r="N512" s="21">
        <v>40.447427293064877</v>
      </c>
      <c r="O512" s="12">
        <v>0</v>
      </c>
      <c r="P512" s="35">
        <v>0.04</v>
      </c>
      <c r="Q512" s="35">
        <v>100</v>
      </c>
      <c r="R512" s="35">
        <v>900</v>
      </c>
      <c r="S512" s="35">
        <v>50</v>
      </c>
      <c r="T512" s="21">
        <v>2.4547504025764799</v>
      </c>
      <c r="U512" s="21">
        <v>0.13567010309278299</v>
      </c>
      <c r="V512" s="37" t="s">
        <v>1</v>
      </c>
      <c r="W512" s="37" t="s">
        <v>1</v>
      </c>
      <c r="X512" s="35" t="s">
        <v>1</v>
      </c>
      <c r="Y512" s="23" t="s">
        <v>6</v>
      </c>
      <c r="Z512" s="21" t="s">
        <v>6</v>
      </c>
      <c r="AA512" s="35" t="s">
        <v>1</v>
      </c>
      <c r="AB512" s="35" t="s">
        <v>1</v>
      </c>
      <c r="AC512" s="27" t="s">
        <v>105</v>
      </c>
    </row>
    <row r="513" spans="1:29">
      <c r="A513" s="35" t="s">
        <v>196</v>
      </c>
      <c r="B513" s="35" t="s">
        <v>180</v>
      </c>
      <c r="C513" s="35" t="s">
        <v>60</v>
      </c>
      <c r="D513" s="36">
        <v>600</v>
      </c>
      <c r="E513" s="12">
        <v>83.519454566827307</v>
      </c>
      <c r="F513" s="21">
        <f t="shared" si="33"/>
        <v>19.183272946859987</v>
      </c>
      <c r="G513" s="35">
        <v>0</v>
      </c>
      <c r="H513" s="35">
        <v>0</v>
      </c>
      <c r="I513" s="35">
        <v>0</v>
      </c>
      <c r="J513" s="35">
        <v>0</v>
      </c>
      <c r="K513" s="35">
        <v>0</v>
      </c>
      <c r="L513" s="36">
        <v>447</v>
      </c>
      <c r="M513" s="35">
        <v>4.5199999999999996</v>
      </c>
      <c r="N513" s="21">
        <v>40.447427293064877</v>
      </c>
      <c r="O513" s="12">
        <v>0</v>
      </c>
      <c r="P513" s="35">
        <v>0.04</v>
      </c>
      <c r="Q513" s="35">
        <v>100</v>
      </c>
      <c r="R513" s="35">
        <v>900</v>
      </c>
      <c r="S513" s="35">
        <v>50</v>
      </c>
      <c r="T513" s="21">
        <v>2.1305958132045002</v>
      </c>
      <c r="U513" s="21">
        <v>0.111065292096219</v>
      </c>
      <c r="V513" s="37" t="s">
        <v>1</v>
      </c>
      <c r="W513" s="37" t="s">
        <v>1</v>
      </c>
      <c r="X513" s="35" t="s">
        <v>1</v>
      </c>
      <c r="Y513" s="23" t="s">
        <v>6</v>
      </c>
      <c r="Z513" s="21" t="s">
        <v>6</v>
      </c>
      <c r="AA513" s="35" t="s">
        <v>1</v>
      </c>
      <c r="AB513" s="35" t="s">
        <v>1</v>
      </c>
      <c r="AC513" s="27" t="s">
        <v>105</v>
      </c>
    </row>
    <row r="514" spans="1:29" ht="10.5" customHeight="1">
      <c r="A514" s="35" t="s">
        <v>196</v>
      </c>
      <c r="B514" s="35" t="s">
        <v>180</v>
      </c>
      <c r="C514" s="35" t="s">
        <v>60</v>
      </c>
      <c r="D514" s="36">
        <v>600</v>
      </c>
      <c r="E514" s="12">
        <v>72.358044164037793</v>
      </c>
      <c r="F514" s="21">
        <f t="shared" si="33"/>
        <v>15.272727272727272</v>
      </c>
      <c r="G514" s="35">
        <v>0</v>
      </c>
      <c r="H514" s="35">
        <v>0</v>
      </c>
      <c r="I514" s="35">
        <v>0</v>
      </c>
      <c r="J514" s="35">
        <v>0</v>
      </c>
      <c r="K514" s="35">
        <v>0</v>
      </c>
      <c r="L514" s="36">
        <v>447</v>
      </c>
      <c r="M514" s="35">
        <v>4.5199999999999996</v>
      </c>
      <c r="N514" s="21">
        <v>40.447427293064877</v>
      </c>
      <c r="O514" s="12">
        <v>19</v>
      </c>
      <c r="P514" s="35">
        <v>0.04</v>
      </c>
      <c r="Q514" s="35">
        <v>100</v>
      </c>
      <c r="R514" s="35">
        <v>900</v>
      </c>
      <c r="S514" s="35">
        <v>30</v>
      </c>
      <c r="T514" s="21">
        <v>3.36</v>
      </c>
      <c r="U514" s="21">
        <v>0.22</v>
      </c>
      <c r="V514" s="37">
        <v>180</v>
      </c>
      <c r="W514" s="37">
        <v>238.2</v>
      </c>
      <c r="X514" s="35">
        <v>110</v>
      </c>
      <c r="Y514" s="23" t="s">
        <v>6</v>
      </c>
      <c r="Z514" s="21">
        <v>1.6</v>
      </c>
      <c r="AA514" s="35">
        <v>5</v>
      </c>
      <c r="AB514" s="35" t="s">
        <v>1</v>
      </c>
      <c r="AC514" s="27" t="s">
        <v>105</v>
      </c>
    </row>
    <row r="515" spans="1:29">
      <c r="A515" s="35" t="s">
        <v>196</v>
      </c>
      <c r="B515" s="35" t="s">
        <v>180</v>
      </c>
      <c r="C515" s="35" t="s">
        <v>60</v>
      </c>
      <c r="D515" s="36">
        <v>600</v>
      </c>
      <c r="E515" s="12">
        <v>72.358044164037793</v>
      </c>
      <c r="F515" s="21">
        <f t="shared" si="33"/>
        <v>16.666666666666668</v>
      </c>
      <c r="G515" s="35">
        <v>0</v>
      </c>
      <c r="H515" s="35">
        <v>0</v>
      </c>
      <c r="I515" s="35">
        <v>0</v>
      </c>
      <c r="J515" s="35">
        <v>0</v>
      </c>
      <c r="K515" s="35">
        <v>0</v>
      </c>
      <c r="L515" s="36">
        <v>447</v>
      </c>
      <c r="M515" s="35">
        <v>4.5199999999999996</v>
      </c>
      <c r="N515" s="21">
        <v>40.447427293064877</v>
      </c>
      <c r="O515" s="12">
        <v>19</v>
      </c>
      <c r="P515" s="35">
        <v>0.04</v>
      </c>
      <c r="Q515" s="35">
        <v>100</v>
      </c>
      <c r="R515" s="35">
        <v>900</v>
      </c>
      <c r="S515" s="35">
        <v>40</v>
      </c>
      <c r="T515" s="21">
        <v>2.95</v>
      </c>
      <c r="U515" s="21">
        <v>0.17699999999999999</v>
      </c>
      <c r="V515" s="37" t="s">
        <v>1</v>
      </c>
      <c r="W515" s="37" t="s">
        <v>1</v>
      </c>
      <c r="X515" s="35" t="s">
        <v>1</v>
      </c>
      <c r="Y515" s="23" t="s">
        <v>6</v>
      </c>
      <c r="Z515" s="21" t="s">
        <v>6</v>
      </c>
      <c r="AA515" s="35" t="s">
        <v>1</v>
      </c>
      <c r="AB515" s="35" t="s">
        <v>1</v>
      </c>
      <c r="AC515" s="27" t="s">
        <v>105</v>
      </c>
    </row>
    <row r="516" spans="1:29">
      <c r="A516" s="35" t="s">
        <v>196</v>
      </c>
      <c r="B516" s="35" t="s">
        <v>180</v>
      </c>
      <c r="C516" s="35" t="s">
        <v>60</v>
      </c>
      <c r="D516" s="36">
        <v>600</v>
      </c>
      <c r="E516" s="12">
        <v>72.358044164037793</v>
      </c>
      <c r="F516" s="21">
        <f t="shared" si="33"/>
        <v>14.950000000000001</v>
      </c>
      <c r="G516" s="35">
        <v>0</v>
      </c>
      <c r="H516" s="35">
        <v>0</v>
      </c>
      <c r="I516" s="35">
        <v>0</v>
      </c>
      <c r="J516" s="35">
        <v>0</v>
      </c>
      <c r="K516" s="35">
        <v>0</v>
      </c>
      <c r="L516" s="36">
        <v>447</v>
      </c>
      <c r="M516" s="35">
        <v>4.5199999999999996</v>
      </c>
      <c r="N516" s="21">
        <v>40.447427293064877</v>
      </c>
      <c r="O516" s="12">
        <v>19</v>
      </c>
      <c r="P516" s="35">
        <v>0.04</v>
      </c>
      <c r="Q516" s="35">
        <v>100</v>
      </c>
      <c r="R516" s="35">
        <v>900</v>
      </c>
      <c r="S516" s="35">
        <v>50</v>
      </c>
      <c r="T516" s="21">
        <v>2.99</v>
      </c>
      <c r="U516" s="21">
        <v>0.2</v>
      </c>
      <c r="V516" s="37" t="s">
        <v>1</v>
      </c>
      <c r="W516" s="37" t="s">
        <v>1</v>
      </c>
      <c r="X516" s="35" t="s">
        <v>1</v>
      </c>
      <c r="Y516" s="23" t="s">
        <v>6</v>
      </c>
      <c r="Z516" s="21" t="s">
        <v>6</v>
      </c>
      <c r="AA516" s="35" t="s">
        <v>1</v>
      </c>
      <c r="AB516" s="35" t="s">
        <v>1</v>
      </c>
      <c r="AC516" s="27" t="s">
        <v>105</v>
      </c>
    </row>
    <row r="517" spans="1:29">
      <c r="A517" s="35" t="s">
        <v>196</v>
      </c>
      <c r="B517" s="35" t="s">
        <v>180</v>
      </c>
      <c r="C517" s="35" t="s">
        <v>60</v>
      </c>
      <c r="D517" s="36">
        <v>600</v>
      </c>
      <c r="E517" s="12">
        <v>42.186908815739692</v>
      </c>
      <c r="F517" s="21">
        <f t="shared" si="33"/>
        <v>9.7865937148361652</v>
      </c>
      <c r="G517" s="35">
        <v>0</v>
      </c>
      <c r="H517" s="35">
        <v>0</v>
      </c>
      <c r="I517" s="35">
        <v>0</v>
      </c>
      <c r="J517" s="35">
        <v>0</v>
      </c>
      <c r="K517" s="35">
        <v>0</v>
      </c>
      <c r="L517" s="36">
        <v>447</v>
      </c>
      <c r="M517" s="35">
        <v>4.5199999999999996</v>
      </c>
      <c r="N517" s="21">
        <v>40.447427293064877</v>
      </c>
      <c r="O517" s="12">
        <v>0</v>
      </c>
      <c r="P517" s="35">
        <v>10</v>
      </c>
      <c r="Q517" s="35">
        <v>100</v>
      </c>
      <c r="R517" s="35">
        <v>900</v>
      </c>
      <c r="S517" s="35">
        <v>30</v>
      </c>
      <c r="T517" s="21">
        <v>1.11158631415241</v>
      </c>
      <c r="U517" s="21">
        <v>0.11358255451713301</v>
      </c>
      <c r="V517" s="37" t="s">
        <v>1</v>
      </c>
      <c r="W517" s="37" t="s">
        <v>1</v>
      </c>
      <c r="X517" s="35" t="s">
        <v>1</v>
      </c>
      <c r="Y517" s="23" t="s">
        <v>6</v>
      </c>
      <c r="Z517" s="21" t="s">
        <v>6</v>
      </c>
      <c r="AA517" s="35" t="s">
        <v>1</v>
      </c>
      <c r="AB517" s="35" t="s">
        <v>1</v>
      </c>
      <c r="AC517" s="27" t="s">
        <v>105</v>
      </c>
    </row>
    <row r="518" spans="1:29">
      <c r="A518" s="35" t="s">
        <v>196</v>
      </c>
      <c r="B518" s="35" t="s">
        <v>180</v>
      </c>
      <c r="C518" s="35" t="s">
        <v>60</v>
      </c>
      <c r="D518" s="36">
        <v>600</v>
      </c>
      <c r="E518" s="12">
        <v>56.68934240362794</v>
      </c>
      <c r="F518" s="21">
        <f t="shared" si="33"/>
        <v>13.145350767684649</v>
      </c>
      <c r="G518" s="35">
        <v>0</v>
      </c>
      <c r="H518" s="35">
        <v>0</v>
      </c>
      <c r="I518" s="35">
        <v>0</v>
      </c>
      <c r="J518" s="35">
        <v>0</v>
      </c>
      <c r="K518" s="35">
        <v>0</v>
      </c>
      <c r="L518" s="36">
        <v>447</v>
      </c>
      <c r="M518" s="35">
        <v>4.5199999999999996</v>
      </c>
      <c r="N518" s="21">
        <v>40.447427293064877</v>
      </c>
      <c r="O518" s="12">
        <v>0</v>
      </c>
      <c r="P518" s="35">
        <v>10</v>
      </c>
      <c r="Q518" s="35">
        <v>100</v>
      </c>
      <c r="R518" s="35">
        <v>900</v>
      </c>
      <c r="S518" s="35">
        <v>30</v>
      </c>
      <c r="T518" s="21">
        <v>1.86819595645412</v>
      </c>
      <c r="U518" s="21">
        <v>0.14211838006230501</v>
      </c>
      <c r="V518" s="37" t="s">
        <v>1</v>
      </c>
      <c r="W518" s="37" t="s">
        <v>1</v>
      </c>
      <c r="X518" s="35" t="s">
        <v>1</v>
      </c>
      <c r="Y518" s="23" t="s">
        <v>6</v>
      </c>
      <c r="Z518" s="21" t="s">
        <v>6</v>
      </c>
      <c r="AA518" s="35" t="s">
        <v>1</v>
      </c>
      <c r="AB518" s="35" t="s">
        <v>1</v>
      </c>
      <c r="AC518" s="27" t="s">
        <v>105</v>
      </c>
    </row>
    <row r="519" spans="1:29">
      <c r="A519" s="35" t="s">
        <v>196</v>
      </c>
      <c r="B519" s="35" t="s">
        <v>180</v>
      </c>
      <c r="C519" s="35" t="s">
        <v>60</v>
      </c>
      <c r="D519" s="36">
        <v>600</v>
      </c>
      <c r="E519" s="12">
        <v>61.39464375947442</v>
      </c>
      <c r="F519" s="21">
        <f t="shared" si="33"/>
        <v>14.241238110216038</v>
      </c>
      <c r="G519" s="35">
        <v>0</v>
      </c>
      <c r="H519" s="35">
        <v>0</v>
      </c>
      <c r="I519" s="35">
        <v>0</v>
      </c>
      <c r="J519" s="35">
        <v>0</v>
      </c>
      <c r="K519" s="35">
        <v>0</v>
      </c>
      <c r="L519" s="36">
        <v>447</v>
      </c>
      <c r="M519" s="35">
        <v>4.5199999999999996</v>
      </c>
      <c r="N519" s="21">
        <v>40.447427293064877</v>
      </c>
      <c r="O519" s="12">
        <v>0</v>
      </c>
      <c r="P519" s="35">
        <v>10</v>
      </c>
      <c r="Q519" s="35">
        <v>100</v>
      </c>
      <c r="R519" s="35">
        <v>900</v>
      </c>
      <c r="S519" s="35">
        <v>30</v>
      </c>
      <c r="T519" s="21">
        <v>2.1321928460342101</v>
      </c>
      <c r="U519" s="21">
        <v>0.14971962616822401</v>
      </c>
      <c r="V519" s="37" t="s">
        <v>1</v>
      </c>
      <c r="W519" s="37" t="s">
        <v>1</v>
      </c>
      <c r="X519" s="35" t="s">
        <v>1</v>
      </c>
      <c r="Y519" s="23" t="s">
        <v>6</v>
      </c>
      <c r="Z519" s="21" t="s">
        <v>6</v>
      </c>
      <c r="AA519" s="35" t="s">
        <v>1</v>
      </c>
      <c r="AB519" s="35" t="s">
        <v>1</v>
      </c>
      <c r="AC519" s="27" t="s">
        <v>105</v>
      </c>
    </row>
    <row r="520" spans="1:29">
      <c r="A520" s="35" t="s">
        <v>196</v>
      </c>
      <c r="B520" s="35" t="s">
        <v>180</v>
      </c>
      <c r="C520" s="35" t="s">
        <v>60</v>
      </c>
      <c r="D520" s="36">
        <v>600</v>
      </c>
      <c r="E520" s="12">
        <v>72.233327276031218</v>
      </c>
      <c r="F520" s="21">
        <f t="shared" si="33"/>
        <v>16.718212044832995</v>
      </c>
      <c r="G520" s="35">
        <v>0</v>
      </c>
      <c r="H520" s="35">
        <v>0</v>
      </c>
      <c r="I520" s="35">
        <v>0</v>
      </c>
      <c r="J520" s="35">
        <v>0</v>
      </c>
      <c r="K520" s="35">
        <v>0</v>
      </c>
      <c r="L520" s="36">
        <v>447</v>
      </c>
      <c r="M520" s="35">
        <v>4.5199999999999996</v>
      </c>
      <c r="N520" s="21">
        <v>40.447427293064877</v>
      </c>
      <c r="O520" s="12">
        <v>0</v>
      </c>
      <c r="P520" s="35">
        <v>10</v>
      </c>
      <c r="Q520" s="35">
        <v>100</v>
      </c>
      <c r="R520" s="35">
        <v>900</v>
      </c>
      <c r="S520" s="35">
        <v>30</v>
      </c>
      <c r="T520" s="21">
        <v>2.26555209953343</v>
      </c>
      <c r="U520" s="21">
        <v>0.135514018691588</v>
      </c>
      <c r="V520" s="37">
        <v>21.35</v>
      </c>
      <c r="W520" s="37">
        <v>289.11</v>
      </c>
      <c r="X520" s="35" t="s">
        <v>1</v>
      </c>
      <c r="Y520" s="23" t="s">
        <v>6</v>
      </c>
      <c r="Z520" s="21" t="s">
        <v>6</v>
      </c>
      <c r="AA520" s="35" t="s">
        <v>1</v>
      </c>
      <c r="AB520" s="35" t="s">
        <v>1</v>
      </c>
      <c r="AC520" s="27" t="s">
        <v>105</v>
      </c>
    </row>
    <row r="521" spans="1:29">
      <c r="A521" s="35" t="s">
        <v>196</v>
      </c>
      <c r="B521" s="35" t="s">
        <v>180</v>
      </c>
      <c r="C521" s="35" t="s">
        <v>60</v>
      </c>
      <c r="D521" s="36">
        <v>600</v>
      </c>
      <c r="E521" s="12">
        <v>76.53922923383999</v>
      </c>
      <c r="F521" s="21">
        <f t="shared" si="33"/>
        <v>17.686259240792946</v>
      </c>
      <c r="G521" s="35">
        <v>0</v>
      </c>
      <c r="H521" s="35">
        <v>0</v>
      </c>
      <c r="I521" s="35">
        <v>0</v>
      </c>
      <c r="J521" s="35">
        <v>0</v>
      </c>
      <c r="K521" s="35">
        <v>0</v>
      </c>
      <c r="L521" s="36">
        <v>447</v>
      </c>
      <c r="M521" s="35">
        <v>4.5199999999999996</v>
      </c>
      <c r="N521" s="21">
        <v>40.447427293064877</v>
      </c>
      <c r="O521" s="12">
        <v>0</v>
      </c>
      <c r="P521" s="35">
        <v>10</v>
      </c>
      <c r="Q521" s="35">
        <v>100</v>
      </c>
      <c r="R521" s="35">
        <v>900</v>
      </c>
      <c r="S521" s="35">
        <v>30</v>
      </c>
      <c r="T521" s="21">
        <v>2.3063763608087</v>
      </c>
      <c r="U521" s="21">
        <v>0.13040498442367601</v>
      </c>
      <c r="V521" s="37" t="s">
        <v>1</v>
      </c>
      <c r="W521" s="37" t="s">
        <v>1</v>
      </c>
      <c r="X521" s="35" t="s">
        <v>1</v>
      </c>
      <c r="Y521" s="23" t="s">
        <v>6</v>
      </c>
      <c r="Z521" s="21" t="s">
        <v>6</v>
      </c>
      <c r="AA521" s="35" t="s">
        <v>1</v>
      </c>
      <c r="AB521" s="35" t="s">
        <v>1</v>
      </c>
      <c r="AC521" s="27" t="s">
        <v>105</v>
      </c>
    </row>
    <row r="522" spans="1:29">
      <c r="A522" s="35" t="s">
        <v>196</v>
      </c>
      <c r="B522" s="35" t="s">
        <v>180</v>
      </c>
      <c r="C522" s="35" t="s">
        <v>60</v>
      </c>
      <c r="D522" s="36">
        <v>600</v>
      </c>
      <c r="E522" s="12">
        <v>78.88919591047248</v>
      </c>
      <c r="F522" s="21">
        <f t="shared" si="33"/>
        <v>18.238107824963066</v>
      </c>
      <c r="G522" s="35">
        <v>0</v>
      </c>
      <c r="H522" s="35">
        <v>0</v>
      </c>
      <c r="I522" s="35">
        <v>0</v>
      </c>
      <c r="J522" s="35">
        <v>0</v>
      </c>
      <c r="K522" s="35">
        <v>0</v>
      </c>
      <c r="L522" s="36">
        <v>447</v>
      </c>
      <c r="M522" s="35">
        <v>4.5199999999999996</v>
      </c>
      <c r="N522" s="21">
        <v>40.447427293064877</v>
      </c>
      <c r="O522" s="12">
        <v>0</v>
      </c>
      <c r="P522" s="35">
        <v>10</v>
      </c>
      <c r="Q522" s="35">
        <v>100</v>
      </c>
      <c r="R522" s="35">
        <v>900</v>
      </c>
      <c r="S522" s="35">
        <v>30</v>
      </c>
      <c r="T522" s="21">
        <v>2.0124416796267499</v>
      </c>
      <c r="U522" s="21">
        <v>0.110342679127725</v>
      </c>
      <c r="V522" s="37" t="s">
        <v>1</v>
      </c>
      <c r="W522" s="37" t="s">
        <v>1</v>
      </c>
      <c r="X522" s="35" t="s">
        <v>1</v>
      </c>
      <c r="Y522" s="23" t="s">
        <v>6</v>
      </c>
      <c r="Z522" s="21" t="s">
        <v>6</v>
      </c>
      <c r="AA522" s="35" t="s">
        <v>1</v>
      </c>
      <c r="AB522" s="35" t="s">
        <v>1</v>
      </c>
      <c r="AC522" s="27" t="s">
        <v>105</v>
      </c>
    </row>
    <row r="523" spans="1:29">
      <c r="A523" s="35" t="s">
        <v>196</v>
      </c>
      <c r="B523" s="35" t="s">
        <v>180</v>
      </c>
      <c r="C523" s="35" t="s">
        <v>60</v>
      </c>
      <c r="D523" s="36">
        <v>600</v>
      </c>
      <c r="E523" s="12">
        <v>83.584013751611508</v>
      </c>
      <c r="F523" s="21">
        <f t="shared" si="33"/>
        <v>19.317365642313476</v>
      </c>
      <c r="G523" s="35">
        <v>0</v>
      </c>
      <c r="H523" s="35">
        <v>0</v>
      </c>
      <c r="I523" s="35">
        <v>0</v>
      </c>
      <c r="J523" s="35">
        <v>0</v>
      </c>
      <c r="K523" s="35">
        <v>0</v>
      </c>
      <c r="L523" s="36">
        <v>447</v>
      </c>
      <c r="M523" s="35">
        <v>4.5199999999999996</v>
      </c>
      <c r="N523" s="21">
        <v>40.447427293064877</v>
      </c>
      <c r="O523" s="12">
        <v>0</v>
      </c>
      <c r="P523" s="35">
        <v>10</v>
      </c>
      <c r="Q523" s="35">
        <v>100</v>
      </c>
      <c r="R523" s="35">
        <v>900</v>
      </c>
      <c r="S523" s="35">
        <v>30</v>
      </c>
      <c r="T523" s="21">
        <v>1.9389580093312599</v>
      </c>
      <c r="U523" s="21">
        <v>0.1003738317757</v>
      </c>
      <c r="V523" s="37" t="s">
        <v>1</v>
      </c>
      <c r="W523" s="37" t="s">
        <v>1</v>
      </c>
      <c r="X523" s="35" t="s">
        <v>1</v>
      </c>
      <c r="Y523" s="23" t="s">
        <v>6</v>
      </c>
      <c r="Z523" s="21" t="s">
        <v>6</v>
      </c>
      <c r="AA523" s="35" t="s">
        <v>1</v>
      </c>
      <c r="AB523" s="35" t="s">
        <v>1</v>
      </c>
      <c r="AC523" s="27" t="s">
        <v>105</v>
      </c>
    </row>
    <row r="524" spans="1:29">
      <c r="A524" s="35" t="s">
        <v>196</v>
      </c>
      <c r="B524" s="35" t="s">
        <v>180</v>
      </c>
      <c r="C524" s="35" t="s">
        <v>60</v>
      </c>
      <c r="D524" s="36">
        <v>600</v>
      </c>
      <c r="E524" s="12">
        <v>23.904382470119508</v>
      </c>
      <c r="F524" s="21">
        <f t="shared" si="33"/>
        <v>5.5716057072801224</v>
      </c>
      <c r="G524" s="35">
        <v>0</v>
      </c>
      <c r="H524" s="35">
        <v>0</v>
      </c>
      <c r="I524" s="35">
        <v>0</v>
      </c>
      <c r="J524" s="35">
        <v>0</v>
      </c>
      <c r="K524" s="35">
        <v>0</v>
      </c>
      <c r="L524" s="36">
        <v>447</v>
      </c>
      <c r="M524" s="35">
        <v>4.5199999999999996</v>
      </c>
      <c r="N524" s="21">
        <v>40.447427293064877</v>
      </c>
      <c r="O524" s="12">
        <v>0</v>
      </c>
      <c r="P524" s="35">
        <v>10</v>
      </c>
      <c r="Q524" s="35">
        <v>100</v>
      </c>
      <c r="R524" s="35">
        <v>900</v>
      </c>
      <c r="S524" s="35">
        <v>80</v>
      </c>
      <c r="T524" s="21">
        <v>1.0625972006220801</v>
      </c>
      <c r="U524" s="21">
        <v>0.19071651090342601</v>
      </c>
      <c r="V524" s="37" t="s">
        <v>1</v>
      </c>
      <c r="W524" s="37" t="s">
        <v>1</v>
      </c>
      <c r="X524" s="35" t="s">
        <v>1</v>
      </c>
      <c r="Y524" s="23" t="s">
        <v>6</v>
      </c>
      <c r="Z524" s="21" t="s">
        <v>6</v>
      </c>
      <c r="AA524" s="35" t="s">
        <v>1</v>
      </c>
      <c r="AB524" s="35" t="s">
        <v>1</v>
      </c>
      <c r="AC524" s="27" t="s">
        <v>105</v>
      </c>
    </row>
    <row r="525" spans="1:29">
      <c r="A525" s="35" t="s">
        <v>196</v>
      </c>
      <c r="B525" s="35" t="s">
        <v>180</v>
      </c>
      <c r="C525" s="35" t="s">
        <v>60</v>
      </c>
      <c r="D525" s="36">
        <v>600</v>
      </c>
      <c r="E525" s="12">
        <v>42.077331311599693</v>
      </c>
      <c r="F525" s="21">
        <f t="shared" si="33"/>
        <v>9.802738599596017</v>
      </c>
      <c r="G525" s="35">
        <v>0</v>
      </c>
      <c r="H525" s="35">
        <v>0</v>
      </c>
      <c r="I525" s="35">
        <v>0</v>
      </c>
      <c r="J525" s="35">
        <v>0</v>
      </c>
      <c r="K525" s="35">
        <v>0</v>
      </c>
      <c r="L525" s="36">
        <v>447</v>
      </c>
      <c r="M525" s="35">
        <v>4.5199999999999996</v>
      </c>
      <c r="N525" s="21">
        <v>40.447427293064877</v>
      </c>
      <c r="O525" s="12">
        <v>0</v>
      </c>
      <c r="P525" s="35">
        <v>10</v>
      </c>
      <c r="Q525" s="35">
        <v>100</v>
      </c>
      <c r="R525" s="35">
        <v>900</v>
      </c>
      <c r="S525" s="35">
        <v>80</v>
      </c>
      <c r="T525" s="21">
        <v>2.07231726283048</v>
      </c>
      <c r="U525" s="21">
        <v>0.21140186915887799</v>
      </c>
      <c r="V525" s="37" t="s">
        <v>1</v>
      </c>
      <c r="W525" s="37" t="s">
        <v>1</v>
      </c>
      <c r="X525" s="35" t="s">
        <v>1</v>
      </c>
      <c r="Y525" s="23" t="s">
        <v>6</v>
      </c>
      <c r="Z525" s="21" t="s">
        <v>6</v>
      </c>
      <c r="AA525" s="35" t="s">
        <v>1</v>
      </c>
      <c r="AB525" s="35" t="s">
        <v>1</v>
      </c>
      <c r="AC525" s="27" t="s">
        <v>105</v>
      </c>
    </row>
    <row r="526" spans="1:29">
      <c r="A526" s="35" t="s">
        <v>196</v>
      </c>
      <c r="B526" s="35" t="s">
        <v>180</v>
      </c>
      <c r="C526" s="35" t="s">
        <v>60</v>
      </c>
      <c r="D526" s="36">
        <v>600</v>
      </c>
      <c r="E526" s="12">
        <v>56.811758055398521</v>
      </c>
      <c r="F526" s="21">
        <f t="shared" si="33"/>
        <v>13.16876720393673</v>
      </c>
      <c r="G526" s="35">
        <v>0</v>
      </c>
      <c r="H526" s="35">
        <v>0</v>
      </c>
      <c r="I526" s="35">
        <v>0</v>
      </c>
      <c r="J526" s="35">
        <v>0</v>
      </c>
      <c r="K526" s="35">
        <v>0</v>
      </c>
      <c r="L526" s="36">
        <v>447</v>
      </c>
      <c r="M526" s="35">
        <v>4.5199999999999996</v>
      </c>
      <c r="N526" s="21">
        <v>40.447427293064877</v>
      </c>
      <c r="O526" s="12">
        <v>0</v>
      </c>
      <c r="P526" s="35">
        <v>10</v>
      </c>
      <c r="Q526" s="35">
        <v>100</v>
      </c>
      <c r="R526" s="35">
        <v>900</v>
      </c>
      <c r="S526" s="35">
        <v>80</v>
      </c>
      <c r="T526" s="21">
        <v>3.1990668740279902</v>
      </c>
      <c r="U526" s="21">
        <v>0.242928348909657</v>
      </c>
      <c r="V526" s="37" t="s">
        <v>1</v>
      </c>
      <c r="W526" s="37" t="s">
        <v>1</v>
      </c>
      <c r="X526" s="35" t="s">
        <v>1</v>
      </c>
      <c r="Y526" s="23" t="s">
        <v>6</v>
      </c>
      <c r="Z526" s="21" t="s">
        <v>6</v>
      </c>
      <c r="AA526" s="35" t="s">
        <v>1</v>
      </c>
      <c r="AB526" s="35" t="s">
        <v>1</v>
      </c>
      <c r="AC526" s="27" t="s">
        <v>105</v>
      </c>
    </row>
    <row r="527" spans="1:29">
      <c r="A527" s="35" t="s">
        <v>196</v>
      </c>
      <c r="B527" s="35" t="s">
        <v>180</v>
      </c>
      <c r="C527" s="35" t="s">
        <v>60</v>
      </c>
      <c r="D527" s="36">
        <v>600</v>
      </c>
      <c r="E527" s="12">
        <v>61.44335099671958</v>
      </c>
      <c r="F527" s="21">
        <f t="shared" si="33"/>
        <v>14.227001639355866</v>
      </c>
      <c r="G527" s="35">
        <v>0</v>
      </c>
      <c r="H527" s="35">
        <v>0</v>
      </c>
      <c r="I527" s="35">
        <v>0</v>
      </c>
      <c r="J527" s="35">
        <v>0</v>
      </c>
      <c r="K527" s="35">
        <v>0</v>
      </c>
      <c r="L527" s="36">
        <v>447</v>
      </c>
      <c r="M527" s="35">
        <v>4.5199999999999996</v>
      </c>
      <c r="N527" s="21">
        <v>40.447427293064877</v>
      </c>
      <c r="O527" s="12">
        <v>0</v>
      </c>
      <c r="P527" s="35">
        <v>10</v>
      </c>
      <c r="Q527" s="35">
        <v>100</v>
      </c>
      <c r="R527" s="35">
        <v>900</v>
      </c>
      <c r="S527" s="35">
        <v>80</v>
      </c>
      <c r="T527" s="21">
        <v>3.70256609642301</v>
      </c>
      <c r="U527" s="21">
        <v>0.26024922118380001</v>
      </c>
      <c r="V527" s="37" t="s">
        <v>1</v>
      </c>
      <c r="W527" s="37" t="s">
        <v>1</v>
      </c>
      <c r="X527" s="35" t="s">
        <v>1</v>
      </c>
      <c r="Y527" s="23" t="s">
        <v>6</v>
      </c>
      <c r="Z527" s="21" t="s">
        <v>6</v>
      </c>
      <c r="AA527" s="35" t="s">
        <v>1</v>
      </c>
      <c r="AB527" s="35" t="s">
        <v>1</v>
      </c>
      <c r="AC527" s="27" t="s">
        <v>105</v>
      </c>
    </row>
    <row r="528" spans="1:29">
      <c r="A528" s="35" t="s">
        <v>196</v>
      </c>
      <c r="B528" s="35" t="s">
        <v>180</v>
      </c>
      <c r="C528" s="35" t="s">
        <v>60</v>
      </c>
      <c r="D528" s="36">
        <v>600</v>
      </c>
      <c r="E528" s="12">
        <v>72.258533042846722</v>
      </c>
      <c r="F528" s="21">
        <f t="shared" si="33"/>
        <v>16.71098756428821</v>
      </c>
      <c r="G528" s="35">
        <v>0</v>
      </c>
      <c r="H528" s="35">
        <v>0</v>
      </c>
      <c r="I528" s="35">
        <v>0</v>
      </c>
      <c r="J528" s="35">
        <v>0</v>
      </c>
      <c r="K528" s="35">
        <v>0</v>
      </c>
      <c r="L528" s="36">
        <v>447</v>
      </c>
      <c r="M528" s="35">
        <v>4.5199999999999996</v>
      </c>
      <c r="N528" s="21">
        <v>40.447427293064877</v>
      </c>
      <c r="O528" s="12">
        <v>0</v>
      </c>
      <c r="P528" s="35">
        <v>10</v>
      </c>
      <c r="Q528" s="35">
        <v>100</v>
      </c>
      <c r="R528" s="35">
        <v>900</v>
      </c>
      <c r="S528" s="35">
        <v>80</v>
      </c>
      <c r="T528" s="21">
        <v>4.0699844479004597</v>
      </c>
      <c r="U528" s="21">
        <v>0.243551401869158</v>
      </c>
      <c r="V528" s="37">
        <v>3.71</v>
      </c>
      <c r="W528" s="37">
        <v>161.59</v>
      </c>
      <c r="X528" s="35" t="s">
        <v>1</v>
      </c>
      <c r="Y528" s="23" t="s">
        <v>6</v>
      </c>
      <c r="Z528" s="21" t="s">
        <v>6</v>
      </c>
      <c r="AA528" s="35" t="s">
        <v>1</v>
      </c>
      <c r="AB528" s="35" t="s">
        <v>1</v>
      </c>
      <c r="AC528" s="27" t="s">
        <v>105</v>
      </c>
    </row>
    <row r="529" spans="1:29">
      <c r="A529" s="35" t="s">
        <v>196</v>
      </c>
      <c r="B529" s="35" t="s">
        <v>180</v>
      </c>
      <c r="C529" s="35" t="s">
        <v>60</v>
      </c>
      <c r="D529" s="36">
        <v>600</v>
      </c>
      <c r="E529" s="12">
        <v>78.88919591047248</v>
      </c>
      <c r="F529" s="21">
        <f t="shared" si="33"/>
        <v>18.232068243197517</v>
      </c>
      <c r="G529" s="35">
        <v>0</v>
      </c>
      <c r="H529" s="35">
        <v>0</v>
      </c>
      <c r="I529" s="35">
        <v>0</v>
      </c>
      <c r="J529" s="35">
        <v>0</v>
      </c>
      <c r="K529" s="35">
        <v>0</v>
      </c>
      <c r="L529" s="36">
        <v>447</v>
      </c>
      <c r="M529" s="35">
        <v>4.5199999999999996</v>
      </c>
      <c r="N529" s="21">
        <v>40.447427293064877</v>
      </c>
      <c r="O529" s="12">
        <v>0</v>
      </c>
      <c r="P529" s="35">
        <v>10</v>
      </c>
      <c r="Q529" s="35">
        <v>100</v>
      </c>
      <c r="R529" s="35">
        <v>900</v>
      </c>
      <c r="S529" s="35">
        <v>80</v>
      </c>
      <c r="T529" s="21">
        <v>3.98833592534992</v>
      </c>
      <c r="U529" s="21">
        <v>0.21875389408099599</v>
      </c>
      <c r="V529" s="37" t="s">
        <v>1</v>
      </c>
      <c r="W529" s="37" t="s">
        <v>1</v>
      </c>
      <c r="X529" s="35" t="s">
        <v>1</v>
      </c>
      <c r="Y529" s="23" t="s">
        <v>6</v>
      </c>
      <c r="Z529" s="21" t="s">
        <v>6</v>
      </c>
      <c r="AA529" s="35" t="s">
        <v>1</v>
      </c>
      <c r="AB529" s="35" t="s">
        <v>1</v>
      </c>
      <c r="AC529" s="27" t="s">
        <v>105</v>
      </c>
    </row>
    <row r="530" spans="1:29">
      <c r="A530" s="35" t="s">
        <v>196</v>
      </c>
      <c r="B530" s="35" t="s">
        <v>180</v>
      </c>
      <c r="C530" s="35" t="s">
        <v>60</v>
      </c>
      <c r="D530" s="36">
        <v>600</v>
      </c>
      <c r="E530" s="12">
        <v>83.566358356635831</v>
      </c>
      <c r="F530" s="21">
        <f t="shared" si="33"/>
        <v>19.260551416191827</v>
      </c>
      <c r="G530" s="35">
        <v>0</v>
      </c>
      <c r="H530" s="35">
        <v>0</v>
      </c>
      <c r="I530" s="35">
        <v>0</v>
      </c>
      <c r="J530" s="35">
        <v>0</v>
      </c>
      <c r="K530" s="35">
        <v>0</v>
      </c>
      <c r="L530" s="36">
        <v>447</v>
      </c>
      <c r="M530" s="35">
        <v>4.5199999999999996</v>
      </c>
      <c r="N530" s="21">
        <v>40.447427293064877</v>
      </c>
      <c r="O530" s="12">
        <v>0</v>
      </c>
      <c r="P530" s="35">
        <v>10</v>
      </c>
      <c r="Q530" s="35">
        <v>100</v>
      </c>
      <c r="R530" s="35">
        <v>900</v>
      </c>
      <c r="S530" s="35">
        <v>80</v>
      </c>
      <c r="T530" s="21">
        <v>3.45489891135303</v>
      </c>
      <c r="U530" s="21">
        <v>0.179376947040498</v>
      </c>
      <c r="V530" s="37" t="s">
        <v>1</v>
      </c>
      <c r="W530" s="37" t="s">
        <v>1</v>
      </c>
      <c r="X530" s="35" t="s">
        <v>1</v>
      </c>
      <c r="Y530" s="23" t="s">
        <v>6</v>
      </c>
      <c r="Z530" s="21" t="s">
        <v>6</v>
      </c>
      <c r="AA530" s="35" t="s">
        <v>1</v>
      </c>
      <c r="AB530" s="35" t="s">
        <v>1</v>
      </c>
      <c r="AC530" s="27" t="s">
        <v>105</v>
      </c>
    </row>
    <row r="531" spans="1:29">
      <c r="A531" s="35" t="s">
        <v>196</v>
      </c>
      <c r="B531" s="35" t="s">
        <v>180</v>
      </c>
      <c r="C531" s="35" t="s">
        <v>60</v>
      </c>
      <c r="D531" s="36">
        <v>600</v>
      </c>
      <c r="E531" s="12">
        <v>72.233327276031218</v>
      </c>
      <c r="F531" s="21">
        <f t="shared" si="33"/>
        <v>16.538524441213902</v>
      </c>
      <c r="G531" s="35">
        <v>0</v>
      </c>
      <c r="H531" s="35">
        <v>0</v>
      </c>
      <c r="I531" s="35">
        <v>0</v>
      </c>
      <c r="J531" s="35">
        <v>0</v>
      </c>
      <c r="K531" s="35">
        <v>0</v>
      </c>
      <c r="L531" s="36">
        <v>447</v>
      </c>
      <c r="M531" s="35">
        <v>4.5199999999999996</v>
      </c>
      <c r="N531" s="21">
        <v>40.447427293064877</v>
      </c>
      <c r="O531" s="12">
        <v>0</v>
      </c>
      <c r="P531" s="35">
        <v>10</v>
      </c>
      <c r="Q531" s="35">
        <v>100</v>
      </c>
      <c r="R531" s="35">
        <v>900</v>
      </c>
      <c r="S531" s="35">
        <v>40</v>
      </c>
      <c r="T531" s="21">
        <f>9.53*(1-E531%)</f>
        <v>2.6461639105942241</v>
      </c>
      <c r="U531" s="21">
        <v>0.16</v>
      </c>
      <c r="V531" s="37">
        <v>8.48</v>
      </c>
      <c r="W531" s="37">
        <v>255.21</v>
      </c>
      <c r="X531" s="35" t="s">
        <v>1</v>
      </c>
      <c r="Y531" s="23" t="s">
        <v>6</v>
      </c>
      <c r="Z531" s="21" t="s">
        <v>6</v>
      </c>
      <c r="AA531" s="35" t="s">
        <v>1</v>
      </c>
      <c r="AB531" s="35" t="s">
        <v>1</v>
      </c>
      <c r="AC531" s="27" t="s">
        <v>105</v>
      </c>
    </row>
    <row r="532" spans="1:29">
      <c r="A532" s="35" t="s">
        <v>196</v>
      </c>
      <c r="B532" s="35" t="s">
        <v>180</v>
      </c>
      <c r="C532" s="35" t="s">
        <v>60</v>
      </c>
      <c r="D532" s="36">
        <v>600</v>
      </c>
      <c r="E532" s="12">
        <v>72.233327276031218</v>
      </c>
      <c r="F532" s="21">
        <f t="shared" si="33"/>
        <v>16.719397586732001</v>
      </c>
      <c r="G532" s="35">
        <v>0</v>
      </c>
      <c r="H532" s="35">
        <v>0</v>
      </c>
      <c r="I532" s="35">
        <v>0</v>
      </c>
      <c r="J532" s="35">
        <v>0</v>
      </c>
      <c r="K532" s="35">
        <v>0</v>
      </c>
      <c r="L532" s="36">
        <v>447</v>
      </c>
      <c r="M532" s="35">
        <v>4.5199999999999996</v>
      </c>
      <c r="N532" s="21">
        <v>40.447427293064877</v>
      </c>
      <c r="O532" s="12">
        <v>0</v>
      </c>
      <c r="P532" s="35">
        <v>10</v>
      </c>
      <c r="Q532" s="35">
        <v>100</v>
      </c>
      <c r="R532" s="35">
        <v>900</v>
      </c>
      <c r="S532" s="35">
        <v>50</v>
      </c>
      <c r="T532" s="21">
        <f>11.26*(1-E532%)</f>
        <v>3.1265273487188843</v>
      </c>
      <c r="U532" s="21">
        <v>0.187</v>
      </c>
      <c r="V532" s="37">
        <v>3.74</v>
      </c>
      <c r="W532" s="37">
        <v>218.74</v>
      </c>
      <c r="X532" s="35" t="s">
        <v>1</v>
      </c>
      <c r="Y532" s="23" t="s">
        <v>6</v>
      </c>
      <c r="Z532" s="21" t="s">
        <v>6</v>
      </c>
      <c r="AA532" s="35" t="s">
        <v>1</v>
      </c>
      <c r="AB532" s="35" t="s">
        <v>1</v>
      </c>
      <c r="AC532" s="27" t="s">
        <v>105</v>
      </c>
    </row>
    <row r="533" spans="1:29">
      <c r="A533" s="35" t="s">
        <v>196</v>
      </c>
      <c r="B533" s="35" t="s">
        <v>180</v>
      </c>
      <c r="C533" s="35" t="s">
        <v>60</v>
      </c>
      <c r="D533" s="36">
        <v>600</v>
      </c>
      <c r="E533" s="12">
        <v>72.233327276031218</v>
      </c>
      <c r="F533" s="21">
        <f t="shared" si="33"/>
        <v>16.693724122506623</v>
      </c>
      <c r="G533" s="35">
        <v>0</v>
      </c>
      <c r="H533" s="35">
        <v>0</v>
      </c>
      <c r="I533" s="35">
        <v>0</v>
      </c>
      <c r="J533" s="35">
        <v>0</v>
      </c>
      <c r="K533" s="35">
        <v>0</v>
      </c>
      <c r="L533" s="36">
        <v>447</v>
      </c>
      <c r="M533" s="35">
        <v>4.5199999999999996</v>
      </c>
      <c r="N533" s="21">
        <v>40.447427293064877</v>
      </c>
      <c r="O533" s="12">
        <v>0</v>
      </c>
      <c r="P533" s="35">
        <v>10</v>
      </c>
      <c r="Q533" s="35">
        <v>100</v>
      </c>
      <c r="R533" s="35">
        <v>900</v>
      </c>
      <c r="S533" s="35">
        <v>60</v>
      </c>
      <c r="T533" s="21">
        <f>12.50526*(1-E533%)</f>
        <v>3.4722946174813778</v>
      </c>
      <c r="U533" s="21">
        <v>0.20799999999999999</v>
      </c>
      <c r="V533" s="37">
        <v>5.44</v>
      </c>
      <c r="W533" s="37">
        <v>200.97</v>
      </c>
      <c r="X533" s="35" t="s">
        <v>1</v>
      </c>
      <c r="Y533" s="23" t="s">
        <v>6</v>
      </c>
      <c r="Z533" s="21" t="s">
        <v>6</v>
      </c>
      <c r="AA533" s="35" t="s">
        <v>1</v>
      </c>
      <c r="AB533" s="35" t="s">
        <v>1</v>
      </c>
      <c r="AC533" s="27" t="s">
        <v>105</v>
      </c>
    </row>
    <row r="534" spans="1:29">
      <c r="A534" s="35" t="s">
        <v>196</v>
      </c>
      <c r="B534" s="35" t="s">
        <v>180</v>
      </c>
      <c r="C534" s="35" t="s">
        <v>60</v>
      </c>
      <c r="D534" s="36">
        <v>600</v>
      </c>
      <c r="E534" s="12">
        <v>72.233327276031218</v>
      </c>
      <c r="F534" s="21">
        <f t="shared" si="33"/>
        <v>16.796969284589185</v>
      </c>
      <c r="G534" s="35">
        <v>0</v>
      </c>
      <c r="H534" s="35">
        <v>0</v>
      </c>
      <c r="I534" s="35">
        <v>0</v>
      </c>
      <c r="J534" s="35">
        <v>0</v>
      </c>
      <c r="K534" s="35">
        <v>0</v>
      </c>
      <c r="L534" s="36">
        <v>447</v>
      </c>
      <c r="M534" s="35">
        <v>4.5199999999999996</v>
      </c>
      <c r="N534" s="21">
        <v>40.447427293064877</v>
      </c>
      <c r="O534" s="12">
        <v>0</v>
      </c>
      <c r="P534" s="35">
        <v>10</v>
      </c>
      <c r="Q534" s="35">
        <v>100</v>
      </c>
      <c r="R534" s="35">
        <v>900</v>
      </c>
      <c r="S534" s="35">
        <v>70</v>
      </c>
      <c r="T534" s="21">
        <f>13.49*(1-E534%)</f>
        <v>3.745724150463388</v>
      </c>
      <c r="U534" s="21">
        <v>0.223</v>
      </c>
      <c r="V534" s="37">
        <v>2.74</v>
      </c>
      <c r="W534" s="37">
        <v>171.41</v>
      </c>
      <c r="X534" s="35" t="s">
        <v>1</v>
      </c>
      <c r="Y534" s="23" t="s">
        <v>6</v>
      </c>
      <c r="Z534" s="21" t="s">
        <v>6</v>
      </c>
      <c r="AA534" s="35" t="s">
        <v>1</v>
      </c>
      <c r="AB534" s="35" t="s">
        <v>1</v>
      </c>
      <c r="AC534" s="27" t="s">
        <v>105</v>
      </c>
    </row>
    <row r="535" spans="1:29">
      <c r="A535" s="35" t="s">
        <v>196</v>
      </c>
      <c r="B535" s="35" t="s">
        <v>180</v>
      </c>
      <c r="C535" s="35" t="s">
        <v>60</v>
      </c>
      <c r="D535" s="36">
        <v>600</v>
      </c>
      <c r="E535" s="12">
        <v>72.233327276031218</v>
      </c>
      <c r="F535" s="21">
        <f t="shared" si="33"/>
        <v>16.558418246366745</v>
      </c>
      <c r="G535" s="35">
        <v>0</v>
      </c>
      <c r="H535" s="35">
        <v>0</v>
      </c>
      <c r="I535" s="35">
        <v>0</v>
      </c>
      <c r="J535" s="35">
        <v>0</v>
      </c>
      <c r="K535" s="35">
        <v>0</v>
      </c>
      <c r="L535" s="36">
        <v>447</v>
      </c>
      <c r="M535" s="35">
        <v>4.5199999999999996</v>
      </c>
      <c r="N535" s="21">
        <v>40.447427293064877</v>
      </c>
      <c r="O535" s="12">
        <v>0</v>
      </c>
      <c r="P535" s="35">
        <v>10</v>
      </c>
      <c r="Q535" s="35">
        <v>100</v>
      </c>
      <c r="R535" s="35">
        <v>900</v>
      </c>
      <c r="S535" s="35">
        <v>90</v>
      </c>
      <c r="T535" s="21">
        <f>14.67*(1-E535%)</f>
        <v>4.0733708886062194</v>
      </c>
      <c r="U535" s="21">
        <v>0.246</v>
      </c>
      <c r="V535" s="37">
        <v>5.17</v>
      </c>
      <c r="W535" s="37">
        <v>56.46</v>
      </c>
      <c r="X535" s="35" t="s">
        <v>1</v>
      </c>
      <c r="Y535" s="23" t="s">
        <v>6</v>
      </c>
      <c r="Z535" s="21" t="s">
        <v>6</v>
      </c>
      <c r="AA535" s="35" t="s">
        <v>1</v>
      </c>
      <c r="AB535" s="35" t="s">
        <v>1</v>
      </c>
      <c r="AC535" s="27" t="s">
        <v>105</v>
      </c>
    </row>
    <row r="536" spans="1:29" ht="15.6">
      <c r="A536" s="35" t="s">
        <v>272</v>
      </c>
      <c r="B536" s="35" t="s">
        <v>180</v>
      </c>
      <c r="C536" s="35" t="s">
        <v>60</v>
      </c>
      <c r="D536" s="36">
        <v>600</v>
      </c>
      <c r="E536" s="12">
        <v>29.799999999999997</v>
      </c>
      <c r="F536" s="21">
        <v>6.93</v>
      </c>
      <c r="G536" s="35">
        <v>0</v>
      </c>
      <c r="H536" s="35">
        <v>0</v>
      </c>
      <c r="I536" s="35">
        <v>0</v>
      </c>
      <c r="J536" s="35">
        <v>0</v>
      </c>
      <c r="K536" s="35">
        <v>0</v>
      </c>
      <c r="L536" s="36">
        <v>234</v>
      </c>
      <c r="M536" s="35">
        <v>1.17</v>
      </c>
      <c r="N536" s="21">
        <v>17.3</v>
      </c>
      <c r="O536" s="12">
        <v>0</v>
      </c>
      <c r="P536" s="35">
        <v>10</v>
      </c>
      <c r="Q536" s="35">
        <v>100</v>
      </c>
      <c r="R536" s="35">
        <v>900</v>
      </c>
      <c r="S536" s="35">
        <v>25</v>
      </c>
      <c r="T536" s="35">
        <v>1.41</v>
      </c>
      <c r="U536" s="21">
        <v>0.2</v>
      </c>
      <c r="V536" s="37" t="s">
        <v>1</v>
      </c>
      <c r="W536" s="37" t="s">
        <v>1</v>
      </c>
      <c r="X536" s="35" t="s">
        <v>5</v>
      </c>
      <c r="Y536" s="23" t="s">
        <v>6</v>
      </c>
      <c r="Z536" s="21" t="s">
        <v>280</v>
      </c>
      <c r="AA536" s="35" t="s">
        <v>5</v>
      </c>
      <c r="AB536" s="35" t="s">
        <v>1</v>
      </c>
      <c r="AC536" s="27" t="s">
        <v>106</v>
      </c>
    </row>
    <row r="537" spans="1:29" ht="15.6">
      <c r="A537" s="35" t="s">
        <v>272</v>
      </c>
      <c r="B537" s="35" t="s">
        <v>180</v>
      </c>
      <c r="C537" s="35" t="s">
        <v>60</v>
      </c>
      <c r="D537" s="36">
        <v>600</v>
      </c>
      <c r="E537" s="12">
        <v>37.200000000000003</v>
      </c>
      <c r="F537" s="21">
        <v>8.66</v>
      </c>
      <c r="G537" s="35">
        <v>0</v>
      </c>
      <c r="H537" s="35">
        <v>0</v>
      </c>
      <c r="I537" s="35">
        <v>0</v>
      </c>
      <c r="J537" s="35">
        <v>0</v>
      </c>
      <c r="K537" s="35">
        <v>0</v>
      </c>
      <c r="L537" s="36">
        <v>234</v>
      </c>
      <c r="M537" s="35">
        <v>1.17</v>
      </c>
      <c r="N537" s="21">
        <v>17.3</v>
      </c>
      <c r="O537" s="12">
        <v>0</v>
      </c>
      <c r="P537" s="35">
        <v>10</v>
      </c>
      <c r="Q537" s="35">
        <v>100</v>
      </c>
      <c r="R537" s="35">
        <v>900</v>
      </c>
      <c r="S537" s="35">
        <v>25</v>
      </c>
      <c r="T537" s="35">
        <v>1.73</v>
      </c>
      <c r="U537" s="21">
        <v>0.2</v>
      </c>
      <c r="V537" s="37" t="s">
        <v>1</v>
      </c>
      <c r="W537" s="37" t="s">
        <v>1</v>
      </c>
      <c r="X537" s="35">
        <v>110</v>
      </c>
      <c r="Y537" s="23" t="s">
        <v>6</v>
      </c>
      <c r="Z537" s="21">
        <v>22.5</v>
      </c>
      <c r="AA537" s="35">
        <v>3</v>
      </c>
      <c r="AB537" s="35" t="s">
        <v>1</v>
      </c>
      <c r="AC537" s="27" t="s">
        <v>106</v>
      </c>
    </row>
    <row r="538" spans="1:29" ht="15.6">
      <c r="A538" s="35" t="s">
        <v>272</v>
      </c>
      <c r="B538" s="35" t="s">
        <v>180</v>
      </c>
      <c r="C538" s="35" t="s">
        <v>60</v>
      </c>
      <c r="D538" s="36">
        <v>600</v>
      </c>
      <c r="E538" s="12">
        <v>48.1</v>
      </c>
      <c r="F538" s="21">
        <v>11.2</v>
      </c>
      <c r="G538" s="35">
        <v>0</v>
      </c>
      <c r="H538" s="35">
        <v>0</v>
      </c>
      <c r="I538" s="35">
        <v>0</v>
      </c>
      <c r="J538" s="35">
        <v>0</v>
      </c>
      <c r="K538" s="35">
        <v>0</v>
      </c>
      <c r="L538" s="36">
        <v>234</v>
      </c>
      <c r="M538" s="35">
        <v>1.17</v>
      </c>
      <c r="N538" s="21">
        <v>17.3</v>
      </c>
      <c r="O538" s="12">
        <v>0</v>
      </c>
      <c r="P538" s="35">
        <v>10</v>
      </c>
      <c r="Q538" s="35">
        <v>100</v>
      </c>
      <c r="R538" s="35">
        <v>900</v>
      </c>
      <c r="S538" s="35">
        <v>25</v>
      </c>
      <c r="T538" s="35">
        <v>1.95</v>
      </c>
      <c r="U538" s="21">
        <v>0.17</v>
      </c>
      <c r="V538" s="37" t="s">
        <v>5</v>
      </c>
      <c r="W538" s="37" t="s">
        <v>5</v>
      </c>
      <c r="X538" s="35" t="s">
        <v>5</v>
      </c>
      <c r="Y538" s="23" t="s">
        <v>6</v>
      </c>
      <c r="Z538" s="21" t="s">
        <v>280</v>
      </c>
      <c r="AA538" s="35" t="s">
        <v>5</v>
      </c>
      <c r="AB538" s="35" t="s">
        <v>1</v>
      </c>
      <c r="AC538" s="27" t="s">
        <v>106</v>
      </c>
    </row>
    <row r="539" spans="1:29" ht="15.6">
      <c r="A539" s="35" t="s">
        <v>272</v>
      </c>
      <c r="B539" s="35" t="s">
        <v>180</v>
      </c>
      <c r="C539" s="35" t="s">
        <v>60</v>
      </c>
      <c r="D539" s="36">
        <v>600</v>
      </c>
      <c r="E539" s="12">
        <v>29.799999999999997</v>
      </c>
      <c r="F539" s="21">
        <v>6.93</v>
      </c>
      <c r="G539" s="35">
        <v>0</v>
      </c>
      <c r="H539" s="35">
        <v>0</v>
      </c>
      <c r="I539" s="35">
        <v>0</v>
      </c>
      <c r="J539" s="35">
        <v>0</v>
      </c>
      <c r="K539" s="35">
        <v>0</v>
      </c>
      <c r="L539" s="36">
        <v>234</v>
      </c>
      <c r="M539" s="35">
        <v>1.17</v>
      </c>
      <c r="N539" s="21">
        <v>17.3</v>
      </c>
      <c r="O539" s="12">
        <v>0</v>
      </c>
      <c r="P539" s="35">
        <v>0.04</v>
      </c>
      <c r="Q539" s="35">
        <v>100</v>
      </c>
      <c r="R539" s="35">
        <v>900</v>
      </c>
      <c r="S539" s="35">
        <v>25</v>
      </c>
      <c r="T539" s="35">
        <v>1.03</v>
      </c>
      <c r="U539" s="21">
        <v>0.15</v>
      </c>
      <c r="V539" s="37" t="s">
        <v>5</v>
      </c>
      <c r="W539" s="37" t="s">
        <v>5</v>
      </c>
      <c r="X539" s="35" t="s">
        <v>5</v>
      </c>
      <c r="Y539" s="23" t="s">
        <v>6</v>
      </c>
      <c r="Z539" s="21" t="s">
        <v>280</v>
      </c>
      <c r="AA539" s="35" t="s">
        <v>5</v>
      </c>
      <c r="AB539" s="35" t="s">
        <v>1</v>
      </c>
      <c r="AC539" s="27" t="s">
        <v>106</v>
      </c>
    </row>
    <row r="540" spans="1:29" ht="15.6">
      <c r="A540" s="35" t="s">
        <v>272</v>
      </c>
      <c r="B540" s="35" t="s">
        <v>180</v>
      </c>
      <c r="C540" s="35" t="s">
        <v>60</v>
      </c>
      <c r="D540" s="36">
        <v>600</v>
      </c>
      <c r="E540" s="12">
        <v>37.200000000000003</v>
      </c>
      <c r="F540" s="21">
        <v>8.66</v>
      </c>
      <c r="G540" s="35">
        <v>0</v>
      </c>
      <c r="H540" s="35">
        <v>0</v>
      </c>
      <c r="I540" s="35">
        <v>0</v>
      </c>
      <c r="J540" s="35">
        <v>0</v>
      </c>
      <c r="K540" s="35">
        <v>0</v>
      </c>
      <c r="L540" s="36">
        <v>234</v>
      </c>
      <c r="M540" s="35">
        <v>1.17</v>
      </c>
      <c r="N540" s="21">
        <v>17.3</v>
      </c>
      <c r="O540" s="12">
        <v>0</v>
      </c>
      <c r="P540" s="35">
        <v>0.04</v>
      </c>
      <c r="Q540" s="35">
        <v>100</v>
      </c>
      <c r="R540" s="35">
        <v>900</v>
      </c>
      <c r="S540" s="35">
        <v>25</v>
      </c>
      <c r="T540" s="35">
        <v>1.33</v>
      </c>
      <c r="U540" s="21">
        <v>0.15</v>
      </c>
      <c r="V540" s="37" t="s">
        <v>1</v>
      </c>
      <c r="W540" s="37" t="s">
        <v>1</v>
      </c>
      <c r="X540" s="35" t="s">
        <v>5</v>
      </c>
      <c r="Y540" s="23" t="s">
        <v>6</v>
      </c>
      <c r="Z540" s="21" t="s">
        <v>280</v>
      </c>
      <c r="AA540" s="35" t="s">
        <v>5</v>
      </c>
      <c r="AB540" s="35" t="s">
        <v>1</v>
      </c>
      <c r="AC540" s="27" t="s">
        <v>106</v>
      </c>
    </row>
    <row r="541" spans="1:29" ht="15.6">
      <c r="A541" s="35" t="s">
        <v>272</v>
      </c>
      <c r="B541" s="35" t="s">
        <v>180</v>
      </c>
      <c r="C541" s="35" t="s">
        <v>60</v>
      </c>
      <c r="D541" s="36">
        <v>600</v>
      </c>
      <c r="E541" s="12">
        <v>48.1</v>
      </c>
      <c r="F541" s="21">
        <v>11.2</v>
      </c>
      <c r="G541" s="35">
        <v>0</v>
      </c>
      <c r="H541" s="35">
        <v>0</v>
      </c>
      <c r="I541" s="35">
        <v>0</v>
      </c>
      <c r="J541" s="35">
        <v>0</v>
      </c>
      <c r="K541" s="35">
        <v>0</v>
      </c>
      <c r="L541" s="36">
        <v>234</v>
      </c>
      <c r="M541" s="35">
        <v>1.17</v>
      </c>
      <c r="N541" s="21">
        <v>17.3</v>
      </c>
      <c r="O541" s="12">
        <v>0</v>
      </c>
      <c r="P541" s="35">
        <v>0.04</v>
      </c>
      <c r="Q541" s="35">
        <v>100</v>
      </c>
      <c r="R541" s="35">
        <v>900</v>
      </c>
      <c r="S541" s="35">
        <v>25</v>
      </c>
      <c r="T541" s="35">
        <v>1.74</v>
      </c>
      <c r="U541" s="21">
        <v>0.16</v>
      </c>
      <c r="V541" s="37" t="s">
        <v>5</v>
      </c>
      <c r="W541" s="37" t="s">
        <v>5</v>
      </c>
      <c r="X541" s="35" t="s">
        <v>5</v>
      </c>
      <c r="Y541" s="23" t="s">
        <v>6</v>
      </c>
      <c r="Z541" s="21" t="s">
        <v>280</v>
      </c>
      <c r="AA541" s="35" t="s">
        <v>5</v>
      </c>
      <c r="AB541" s="35" t="s">
        <v>1</v>
      </c>
      <c r="AC541" s="27" t="s">
        <v>106</v>
      </c>
    </row>
    <row r="542" spans="1:29" ht="12" customHeight="1">
      <c r="A542" s="35" t="s">
        <v>8</v>
      </c>
      <c r="B542" s="35" t="s">
        <v>180</v>
      </c>
      <c r="C542" s="35" t="s">
        <v>60</v>
      </c>
      <c r="D542" s="36">
        <v>600</v>
      </c>
      <c r="E542" s="12">
        <v>24.8</v>
      </c>
      <c r="F542" s="21">
        <v>5.76</v>
      </c>
      <c r="G542" s="35">
        <v>0</v>
      </c>
      <c r="H542" s="35">
        <v>0</v>
      </c>
      <c r="I542" s="35">
        <v>0</v>
      </c>
      <c r="J542" s="35">
        <v>0</v>
      </c>
      <c r="K542" s="35">
        <v>0</v>
      </c>
      <c r="L542" s="36">
        <v>841</v>
      </c>
      <c r="M542" s="35">
        <v>1.08</v>
      </c>
      <c r="N542" s="21">
        <v>6.8</v>
      </c>
      <c r="O542" s="12">
        <v>0</v>
      </c>
      <c r="P542" s="35">
        <v>10</v>
      </c>
      <c r="Q542" s="35">
        <v>100</v>
      </c>
      <c r="R542" s="35">
        <v>900</v>
      </c>
      <c r="S542" s="35">
        <v>25</v>
      </c>
      <c r="T542" s="35">
        <v>0.85</v>
      </c>
      <c r="U542" s="21">
        <v>0.06</v>
      </c>
      <c r="V542" s="37" t="s">
        <v>5</v>
      </c>
      <c r="W542" s="37" t="s">
        <v>5</v>
      </c>
      <c r="X542" s="35" t="s">
        <v>5</v>
      </c>
      <c r="Y542" s="23" t="s">
        <v>6</v>
      </c>
      <c r="Z542" s="21" t="s">
        <v>280</v>
      </c>
      <c r="AA542" s="35" t="s">
        <v>5</v>
      </c>
      <c r="AB542" s="35" t="s">
        <v>1</v>
      </c>
      <c r="AC542" s="27" t="s">
        <v>106</v>
      </c>
    </row>
    <row r="543" spans="1:29">
      <c r="A543" s="35" t="s">
        <v>8</v>
      </c>
      <c r="B543" s="35" t="s">
        <v>180</v>
      </c>
      <c r="C543" s="35" t="s">
        <v>60</v>
      </c>
      <c r="D543" s="36">
        <v>600</v>
      </c>
      <c r="E543" s="12">
        <v>39.900000000000006</v>
      </c>
      <c r="F543" s="21">
        <v>9.23</v>
      </c>
      <c r="G543" s="35">
        <v>0</v>
      </c>
      <c r="H543" s="35">
        <v>0</v>
      </c>
      <c r="I543" s="35">
        <v>0</v>
      </c>
      <c r="J543" s="35">
        <v>0</v>
      </c>
      <c r="K543" s="35">
        <v>0</v>
      </c>
      <c r="L543" s="36">
        <v>841</v>
      </c>
      <c r="M543" s="35">
        <v>1.08</v>
      </c>
      <c r="N543" s="21">
        <v>6.8</v>
      </c>
      <c r="O543" s="12">
        <v>0</v>
      </c>
      <c r="P543" s="35">
        <v>10</v>
      </c>
      <c r="Q543" s="35">
        <v>100</v>
      </c>
      <c r="R543" s="35">
        <v>900</v>
      </c>
      <c r="S543" s="35">
        <v>25</v>
      </c>
      <c r="T543" s="35">
        <v>1.62</v>
      </c>
      <c r="U543" s="21">
        <v>0.06</v>
      </c>
      <c r="V543" s="37" t="s">
        <v>5</v>
      </c>
      <c r="W543" s="37" t="s">
        <v>5</v>
      </c>
      <c r="X543" s="35">
        <v>110</v>
      </c>
      <c r="Y543" s="23" t="s">
        <v>6</v>
      </c>
      <c r="Z543" s="21">
        <v>20.7</v>
      </c>
      <c r="AA543" s="35">
        <v>3</v>
      </c>
      <c r="AB543" s="35" t="s">
        <v>1</v>
      </c>
      <c r="AC543" s="27" t="s">
        <v>106</v>
      </c>
    </row>
    <row r="544" spans="1:29" s="44" customFormat="1" ht="13.8">
      <c r="A544" s="35" t="s">
        <v>8</v>
      </c>
      <c r="B544" s="35" t="s">
        <v>180</v>
      </c>
      <c r="C544" s="35" t="s">
        <v>60</v>
      </c>
      <c r="D544" s="36">
        <v>600</v>
      </c>
      <c r="E544" s="12">
        <v>24.8</v>
      </c>
      <c r="F544" s="21">
        <v>5.76</v>
      </c>
      <c r="G544" s="35">
        <v>0</v>
      </c>
      <c r="H544" s="35">
        <v>0</v>
      </c>
      <c r="I544" s="35">
        <v>0</v>
      </c>
      <c r="J544" s="35">
        <v>0</v>
      </c>
      <c r="K544" s="35">
        <v>0</v>
      </c>
      <c r="L544" s="36">
        <v>841</v>
      </c>
      <c r="M544" s="35">
        <v>1.08</v>
      </c>
      <c r="N544" s="21">
        <v>6.8</v>
      </c>
      <c r="O544" s="12">
        <v>0</v>
      </c>
      <c r="P544" s="35">
        <v>0.04</v>
      </c>
      <c r="Q544" s="35">
        <v>100</v>
      </c>
      <c r="R544" s="35">
        <v>900</v>
      </c>
      <c r="S544" s="35">
        <v>25</v>
      </c>
      <c r="T544" s="35">
        <v>0.32</v>
      </c>
      <c r="U544" s="21">
        <v>0.11</v>
      </c>
      <c r="V544" s="37" t="s">
        <v>1</v>
      </c>
      <c r="W544" s="37" t="s">
        <v>1</v>
      </c>
      <c r="X544" s="35" t="s">
        <v>5</v>
      </c>
      <c r="Y544" s="23" t="s">
        <v>6</v>
      </c>
      <c r="Z544" s="21" t="s">
        <v>280</v>
      </c>
      <c r="AA544" s="35" t="s">
        <v>5</v>
      </c>
      <c r="AB544" s="35" t="s">
        <v>1</v>
      </c>
      <c r="AC544" s="27" t="s">
        <v>106</v>
      </c>
    </row>
    <row r="545" spans="1:29" s="44" customFormat="1" ht="13.8">
      <c r="A545" s="35" t="s">
        <v>8</v>
      </c>
      <c r="B545" s="35" t="s">
        <v>180</v>
      </c>
      <c r="C545" s="35" t="s">
        <v>60</v>
      </c>
      <c r="D545" s="36">
        <v>600</v>
      </c>
      <c r="E545" s="12">
        <v>39.900000000000006</v>
      </c>
      <c r="F545" s="21">
        <v>9.23</v>
      </c>
      <c r="G545" s="35">
        <v>0</v>
      </c>
      <c r="H545" s="35">
        <v>0</v>
      </c>
      <c r="I545" s="35">
        <v>0</v>
      </c>
      <c r="J545" s="35">
        <v>0</v>
      </c>
      <c r="K545" s="35">
        <v>0</v>
      </c>
      <c r="L545" s="36">
        <v>841</v>
      </c>
      <c r="M545" s="35">
        <v>1.08</v>
      </c>
      <c r="N545" s="21">
        <v>6.8</v>
      </c>
      <c r="O545" s="12">
        <v>0</v>
      </c>
      <c r="P545" s="35">
        <v>0.04</v>
      </c>
      <c r="Q545" s="35">
        <v>100</v>
      </c>
      <c r="R545" s="35">
        <v>900</v>
      </c>
      <c r="S545" s="35">
        <v>25</v>
      </c>
      <c r="T545" s="35">
        <v>1.05</v>
      </c>
      <c r="U545" s="21">
        <v>0.11</v>
      </c>
      <c r="V545" s="37" t="s">
        <v>1</v>
      </c>
      <c r="W545" s="37" t="s">
        <v>1</v>
      </c>
      <c r="X545" s="35" t="s">
        <v>1</v>
      </c>
      <c r="Y545" s="23" t="s">
        <v>6</v>
      </c>
      <c r="Z545" s="21" t="s">
        <v>6</v>
      </c>
      <c r="AA545" s="35" t="s">
        <v>5</v>
      </c>
      <c r="AB545" s="35" t="s">
        <v>1</v>
      </c>
      <c r="AC545" s="27" t="s">
        <v>106</v>
      </c>
    </row>
    <row r="546" spans="1:29" s="44" customFormat="1" ht="15.45" customHeight="1">
      <c r="A546" s="35" t="s">
        <v>8</v>
      </c>
      <c r="B546" s="35" t="s">
        <v>180</v>
      </c>
      <c r="C546" s="35" t="s">
        <v>110</v>
      </c>
      <c r="D546" s="35">
        <v>1020</v>
      </c>
      <c r="E546" s="12">
        <v>24</v>
      </c>
      <c r="F546" s="21">
        <f t="shared" ref="F546:F566" si="34">T546/U546</f>
        <v>5.3211143324824333</v>
      </c>
      <c r="G546" s="35">
        <v>0</v>
      </c>
      <c r="H546" s="35">
        <v>0</v>
      </c>
      <c r="I546" s="35">
        <v>0</v>
      </c>
      <c r="J546" s="35">
        <v>0</v>
      </c>
      <c r="K546" s="35">
        <v>0</v>
      </c>
      <c r="L546" s="36">
        <v>816</v>
      </c>
      <c r="M546" s="35">
        <v>0.76</v>
      </c>
      <c r="N546" s="21">
        <v>3.7254901960784315</v>
      </c>
      <c r="O546" s="12">
        <v>0</v>
      </c>
      <c r="P546" s="35">
        <v>10</v>
      </c>
      <c r="Q546" s="35" t="s">
        <v>1</v>
      </c>
      <c r="R546" s="35">
        <v>360</v>
      </c>
      <c r="S546" s="35">
        <v>30</v>
      </c>
      <c r="T546" s="21">
        <v>0.63828622620800901</v>
      </c>
      <c r="U546" s="21">
        <v>0.11995348837209301</v>
      </c>
      <c r="V546" s="37">
        <v>1.1499999999999999</v>
      </c>
      <c r="W546" s="37">
        <v>11.78</v>
      </c>
      <c r="X546" s="35" t="s">
        <v>1</v>
      </c>
      <c r="Y546" s="23" t="s">
        <v>6</v>
      </c>
      <c r="Z546" s="21" t="s">
        <v>6</v>
      </c>
      <c r="AA546" s="35" t="s">
        <v>1</v>
      </c>
      <c r="AB546" s="35" t="s">
        <v>1</v>
      </c>
      <c r="AC546" s="1" t="s">
        <v>184</v>
      </c>
    </row>
    <row r="547" spans="1:29" s="44" customFormat="1" ht="13.8">
      <c r="A547" s="35" t="s">
        <v>8</v>
      </c>
      <c r="B547" s="35" t="s">
        <v>180</v>
      </c>
      <c r="C547" s="35" t="s">
        <v>110</v>
      </c>
      <c r="D547" s="35">
        <v>1020</v>
      </c>
      <c r="E547" s="12">
        <v>28.999999999999996</v>
      </c>
      <c r="F547" s="21">
        <f t="shared" si="34"/>
        <v>6.9737589159775935</v>
      </c>
      <c r="G547" s="35">
        <v>0</v>
      </c>
      <c r="H547" s="35">
        <v>0</v>
      </c>
      <c r="I547" s="35">
        <v>0</v>
      </c>
      <c r="J547" s="35">
        <v>0</v>
      </c>
      <c r="K547" s="35">
        <v>0</v>
      </c>
      <c r="L547" s="36">
        <v>816</v>
      </c>
      <c r="M547" s="35">
        <v>0.76</v>
      </c>
      <c r="N547" s="21">
        <v>3.7254901960784315</v>
      </c>
      <c r="O547" s="12">
        <v>0</v>
      </c>
      <c r="P547" s="35">
        <v>10</v>
      </c>
      <c r="Q547" s="35" t="s">
        <v>1</v>
      </c>
      <c r="R547" s="35">
        <v>360</v>
      </c>
      <c r="S547" s="35">
        <v>30</v>
      </c>
      <c r="T547" s="21">
        <v>0.97567752647723704</v>
      </c>
      <c r="U547" s="21">
        <v>0.13990697674418601</v>
      </c>
      <c r="V547" s="37" t="s">
        <v>1</v>
      </c>
      <c r="W547" s="37" t="s">
        <v>1</v>
      </c>
      <c r="X547" s="35" t="s">
        <v>1</v>
      </c>
      <c r="Y547" s="23" t="s">
        <v>6</v>
      </c>
      <c r="Z547" s="21" t="s">
        <v>6</v>
      </c>
      <c r="AA547" s="35" t="s">
        <v>1</v>
      </c>
      <c r="AB547" s="35" t="s">
        <v>1</v>
      </c>
      <c r="AC547" s="27" t="s">
        <v>107</v>
      </c>
    </row>
    <row r="548" spans="1:29" s="44" customFormat="1" ht="13.8">
      <c r="A548" s="35" t="s">
        <v>8</v>
      </c>
      <c r="B548" s="35" t="s">
        <v>180</v>
      </c>
      <c r="C548" s="35" t="s">
        <v>110</v>
      </c>
      <c r="D548" s="35">
        <v>1020</v>
      </c>
      <c r="E548" s="12">
        <v>37</v>
      </c>
      <c r="F548" s="21">
        <f t="shared" si="34"/>
        <v>8.7908665761637952</v>
      </c>
      <c r="G548" s="35">
        <v>0</v>
      </c>
      <c r="H548" s="35">
        <v>0</v>
      </c>
      <c r="I548" s="35">
        <v>0</v>
      </c>
      <c r="J548" s="35">
        <v>0</v>
      </c>
      <c r="K548" s="35">
        <v>0</v>
      </c>
      <c r="L548" s="36">
        <v>816</v>
      </c>
      <c r="M548" s="35">
        <v>0.76</v>
      </c>
      <c r="N548" s="21">
        <v>3.7254901960784315</v>
      </c>
      <c r="O548" s="12">
        <v>0</v>
      </c>
      <c r="P548" s="35">
        <v>10</v>
      </c>
      <c r="Q548" s="35" t="s">
        <v>1</v>
      </c>
      <c r="R548" s="35">
        <v>360</v>
      </c>
      <c r="S548" s="35">
        <v>30</v>
      </c>
      <c r="T548" s="21">
        <v>1.2299035656325901</v>
      </c>
      <c r="U548" s="21">
        <v>0.13990697674418601</v>
      </c>
      <c r="V548" s="37">
        <v>2.87</v>
      </c>
      <c r="W548" s="37">
        <v>131</v>
      </c>
      <c r="X548" s="35">
        <v>120</v>
      </c>
      <c r="Y548" s="23" t="s">
        <v>6</v>
      </c>
      <c r="Z548" s="21">
        <v>16</v>
      </c>
      <c r="AA548" s="35">
        <v>5</v>
      </c>
      <c r="AB548" s="35">
        <v>99</v>
      </c>
      <c r="AC548" s="27" t="s">
        <v>107</v>
      </c>
    </row>
    <row r="549" spans="1:29" s="44" customFormat="1" ht="13.8">
      <c r="A549" s="35" t="s">
        <v>8</v>
      </c>
      <c r="B549" s="35" t="s">
        <v>180</v>
      </c>
      <c r="C549" s="35" t="s">
        <v>110</v>
      </c>
      <c r="D549" s="35">
        <v>1020</v>
      </c>
      <c r="E549" s="12">
        <v>41</v>
      </c>
      <c r="F549" s="21">
        <f t="shared" si="34"/>
        <v>9.4496703141395795</v>
      </c>
      <c r="G549" s="35">
        <v>0</v>
      </c>
      <c r="H549" s="35">
        <v>0</v>
      </c>
      <c r="I549" s="35">
        <v>0</v>
      </c>
      <c r="J549" s="35">
        <v>0</v>
      </c>
      <c r="K549" s="35">
        <v>0</v>
      </c>
      <c r="L549" s="36">
        <v>816</v>
      </c>
      <c r="M549" s="35">
        <v>0.76</v>
      </c>
      <c r="N549" s="21">
        <v>3.7254901960784315</v>
      </c>
      <c r="O549" s="12">
        <v>0</v>
      </c>
      <c r="P549" s="35">
        <v>10</v>
      </c>
      <c r="Q549" s="35" t="s">
        <v>1</v>
      </c>
      <c r="R549" s="35">
        <v>360</v>
      </c>
      <c r="S549" s="35">
        <v>30</v>
      </c>
      <c r="T549" s="21">
        <v>1.2271385821896601</v>
      </c>
      <c r="U549" s="21">
        <v>0.12986046511627899</v>
      </c>
      <c r="V549" s="37" t="s">
        <v>1</v>
      </c>
      <c r="W549" s="37" t="s">
        <v>1</v>
      </c>
      <c r="X549" s="35" t="s">
        <v>1</v>
      </c>
      <c r="Y549" s="23" t="s">
        <v>6</v>
      </c>
      <c r="Z549" s="21" t="s">
        <v>6</v>
      </c>
      <c r="AA549" s="35" t="s">
        <v>1</v>
      </c>
      <c r="AB549" s="35" t="s">
        <v>1</v>
      </c>
      <c r="AC549" s="27" t="s">
        <v>107</v>
      </c>
    </row>
    <row r="550" spans="1:29" s="44" customFormat="1" ht="13.8">
      <c r="A550" s="35" t="s">
        <v>8</v>
      </c>
      <c r="B550" s="35" t="s">
        <v>180</v>
      </c>
      <c r="C550" s="35" t="s">
        <v>110</v>
      </c>
      <c r="D550" s="35">
        <v>1020</v>
      </c>
      <c r="E550" s="12">
        <v>48</v>
      </c>
      <c r="F550" s="21">
        <f t="shared" si="34"/>
        <v>11.098210239439714</v>
      </c>
      <c r="G550" s="35">
        <v>0</v>
      </c>
      <c r="H550" s="35">
        <v>0</v>
      </c>
      <c r="I550" s="35">
        <v>0</v>
      </c>
      <c r="J550" s="35">
        <v>0</v>
      </c>
      <c r="K550" s="35">
        <v>0</v>
      </c>
      <c r="L550" s="36">
        <v>816</v>
      </c>
      <c r="M550" s="35">
        <v>0.76</v>
      </c>
      <c r="N550" s="21">
        <v>3.7254901960784315</v>
      </c>
      <c r="O550" s="12">
        <v>0</v>
      </c>
      <c r="P550" s="35">
        <v>10</v>
      </c>
      <c r="Q550" s="35" t="s">
        <v>1</v>
      </c>
      <c r="R550" s="35">
        <v>360</v>
      </c>
      <c r="S550" s="35">
        <v>30</v>
      </c>
      <c r="T550" s="21">
        <v>1.1082724364687</v>
      </c>
      <c r="U550" s="21">
        <v>9.9860465116278996E-2</v>
      </c>
      <c r="V550" s="37">
        <v>6.9</v>
      </c>
      <c r="W550" s="37">
        <v>145</v>
      </c>
      <c r="X550" s="35" t="s">
        <v>1</v>
      </c>
      <c r="Y550" s="23" t="s">
        <v>6</v>
      </c>
      <c r="Z550" s="21" t="s">
        <v>6</v>
      </c>
      <c r="AA550" s="35" t="s">
        <v>1</v>
      </c>
      <c r="AB550" s="35" t="s">
        <v>1</v>
      </c>
      <c r="AC550" s="27" t="s">
        <v>107</v>
      </c>
    </row>
    <row r="551" spans="1:29" s="44" customFormat="1" ht="13.8">
      <c r="A551" s="35" t="s">
        <v>8</v>
      </c>
      <c r="B551" s="35" t="s">
        <v>180</v>
      </c>
      <c r="C551" s="35" t="s">
        <v>110</v>
      </c>
      <c r="D551" s="35">
        <v>1020</v>
      </c>
      <c r="E551" s="12">
        <v>24</v>
      </c>
      <c r="F551" s="21">
        <f t="shared" si="34"/>
        <v>5.5192070801826807</v>
      </c>
      <c r="G551" s="35">
        <v>0</v>
      </c>
      <c r="H551" s="35">
        <v>0</v>
      </c>
      <c r="I551" s="35">
        <v>0</v>
      </c>
      <c r="J551" s="35">
        <v>0</v>
      </c>
      <c r="K551" s="35">
        <v>0</v>
      </c>
      <c r="L551" s="36">
        <v>816</v>
      </c>
      <c r="M551" s="35">
        <v>0.76</v>
      </c>
      <c r="N551" s="21">
        <v>3.7254901960784315</v>
      </c>
      <c r="O551" s="12">
        <v>0</v>
      </c>
      <c r="P551" s="35">
        <v>0.04</v>
      </c>
      <c r="Q551" s="35" t="s">
        <v>1</v>
      </c>
      <c r="R551" s="35">
        <v>360</v>
      </c>
      <c r="S551" s="35">
        <v>30</v>
      </c>
      <c r="T551" s="21">
        <v>0.14172494172494099</v>
      </c>
      <c r="U551" s="21">
        <v>2.5678496868475901E-2</v>
      </c>
      <c r="V551" s="37">
        <v>8.0399999999999991</v>
      </c>
      <c r="W551" s="37">
        <v>61.2</v>
      </c>
      <c r="X551" s="35" t="s">
        <v>1</v>
      </c>
      <c r="Y551" s="23" t="s">
        <v>6</v>
      </c>
      <c r="Z551" s="21" t="s">
        <v>6</v>
      </c>
      <c r="AA551" s="35" t="s">
        <v>1</v>
      </c>
      <c r="AB551" s="35" t="s">
        <v>1</v>
      </c>
      <c r="AC551" s="27" t="s">
        <v>107</v>
      </c>
    </row>
    <row r="552" spans="1:29" s="44" customFormat="1" ht="13.8">
      <c r="A552" s="35" t="s">
        <v>8</v>
      </c>
      <c r="B552" s="35" t="s">
        <v>180</v>
      </c>
      <c r="C552" s="35" t="s">
        <v>110</v>
      </c>
      <c r="D552" s="35">
        <v>1020</v>
      </c>
      <c r="E552" s="12">
        <v>28.999999999999996</v>
      </c>
      <c r="F552" s="21">
        <f t="shared" si="34"/>
        <v>6.6821784618394737</v>
      </c>
      <c r="G552" s="35">
        <v>0</v>
      </c>
      <c r="H552" s="35">
        <v>0</v>
      </c>
      <c r="I552" s="35">
        <v>0</v>
      </c>
      <c r="J552" s="35">
        <v>0</v>
      </c>
      <c r="K552" s="35">
        <v>0</v>
      </c>
      <c r="L552" s="36">
        <v>816</v>
      </c>
      <c r="M552" s="35">
        <v>0.76</v>
      </c>
      <c r="N552" s="21">
        <v>3.7254901960784315</v>
      </c>
      <c r="O552" s="12">
        <v>0</v>
      </c>
      <c r="P552" s="35">
        <v>0.04</v>
      </c>
      <c r="Q552" s="35" t="s">
        <v>1</v>
      </c>
      <c r="R552" s="35">
        <v>360</v>
      </c>
      <c r="S552" s="35">
        <v>30</v>
      </c>
      <c r="T552" s="21">
        <v>0.34568764568764498</v>
      </c>
      <c r="U552" s="21">
        <v>5.1732776617954002E-2</v>
      </c>
      <c r="V552" s="37" t="s">
        <v>1</v>
      </c>
      <c r="W552" s="37" t="s">
        <v>1</v>
      </c>
      <c r="X552" s="35" t="s">
        <v>1</v>
      </c>
      <c r="Y552" s="23" t="s">
        <v>6</v>
      </c>
      <c r="Z552" s="21" t="s">
        <v>6</v>
      </c>
      <c r="AA552" s="35" t="s">
        <v>1</v>
      </c>
      <c r="AB552" s="35" t="s">
        <v>1</v>
      </c>
      <c r="AC552" s="27" t="s">
        <v>107</v>
      </c>
    </row>
    <row r="553" spans="1:29" s="44" customFormat="1" ht="13.8">
      <c r="A553" s="35" t="s">
        <v>8</v>
      </c>
      <c r="B553" s="35" t="s">
        <v>180</v>
      </c>
      <c r="C553" s="35" t="s">
        <v>110</v>
      </c>
      <c r="D553" s="35">
        <v>1020</v>
      </c>
      <c r="E553" s="12">
        <v>37</v>
      </c>
      <c r="F553" s="21">
        <f t="shared" si="34"/>
        <v>8.613661744321508</v>
      </c>
      <c r="G553" s="35">
        <v>0</v>
      </c>
      <c r="H553" s="35">
        <v>0</v>
      </c>
      <c r="I553" s="35">
        <v>0</v>
      </c>
      <c r="J553" s="35">
        <v>0</v>
      </c>
      <c r="K553" s="35">
        <v>0</v>
      </c>
      <c r="L553" s="36">
        <v>816</v>
      </c>
      <c r="M553" s="35">
        <v>0.76</v>
      </c>
      <c r="N553" s="21">
        <v>3.7254901960784315</v>
      </c>
      <c r="O553" s="12">
        <v>0</v>
      </c>
      <c r="P553" s="35">
        <v>0.04</v>
      </c>
      <c r="Q553" s="35" t="s">
        <v>1</v>
      </c>
      <c r="R553" s="35">
        <v>360</v>
      </c>
      <c r="S553" s="35">
        <v>30</v>
      </c>
      <c r="T553" s="21">
        <v>0.83403263403263295</v>
      </c>
      <c r="U553" s="21">
        <v>9.6826722338204496E-2</v>
      </c>
      <c r="V553" s="37">
        <v>14.8</v>
      </c>
      <c r="W553" s="37">
        <v>206.2</v>
      </c>
      <c r="X553" s="35" t="s">
        <v>1</v>
      </c>
      <c r="Y553" s="23" t="s">
        <v>6</v>
      </c>
      <c r="Z553" s="21" t="s">
        <v>6</v>
      </c>
      <c r="AA553" s="35" t="s">
        <v>1</v>
      </c>
      <c r="AB553" s="35" t="s">
        <v>1</v>
      </c>
      <c r="AC553" s="27" t="s">
        <v>107</v>
      </c>
    </row>
    <row r="554" spans="1:29" s="44" customFormat="1" ht="13.8">
      <c r="A554" s="35" t="s">
        <v>8</v>
      </c>
      <c r="B554" s="35" t="s">
        <v>180</v>
      </c>
      <c r="C554" s="35" t="s">
        <v>110</v>
      </c>
      <c r="D554" s="35">
        <v>1020</v>
      </c>
      <c r="E554" s="12">
        <v>41</v>
      </c>
      <c r="F554" s="21">
        <f t="shared" si="34"/>
        <v>9.4926044019308229</v>
      </c>
      <c r="G554" s="35">
        <v>0</v>
      </c>
      <c r="H554" s="35">
        <v>0</v>
      </c>
      <c r="I554" s="35">
        <v>0</v>
      </c>
      <c r="J554" s="35">
        <v>0</v>
      </c>
      <c r="K554" s="35">
        <v>0</v>
      </c>
      <c r="L554" s="36">
        <v>816</v>
      </c>
      <c r="M554" s="35">
        <v>0.76</v>
      </c>
      <c r="N554" s="21">
        <v>3.7254901960784315</v>
      </c>
      <c r="O554" s="12">
        <v>0</v>
      </c>
      <c r="P554" s="35">
        <v>0.04</v>
      </c>
      <c r="Q554" s="35" t="s">
        <v>1</v>
      </c>
      <c r="R554" s="35">
        <v>360</v>
      </c>
      <c r="S554" s="35">
        <v>30</v>
      </c>
      <c r="T554" s="21">
        <v>0.91794871794871702</v>
      </c>
      <c r="U554" s="21">
        <v>9.6701461377870501E-2</v>
      </c>
      <c r="V554" s="37" t="s">
        <v>1</v>
      </c>
      <c r="W554" s="37" t="s">
        <v>1</v>
      </c>
      <c r="X554" s="35" t="s">
        <v>1</v>
      </c>
      <c r="Y554" s="23" t="s">
        <v>6</v>
      </c>
      <c r="Z554" s="21" t="s">
        <v>6</v>
      </c>
      <c r="AA554" s="35" t="s">
        <v>1</v>
      </c>
      <c r="AB554" s="35" t="s">
        <v>1</v>
      </c>
      <c r="AC554" s="27" t="s">
        <v>107</v>
      </c>
    </row>
    <row r="555" spans="1:29" s="44" customFormat="1" ht="13.8">
      <c r="A555" s="35" t="s">
        <v>8</v>
      </c>
      <c r="B555" s="35" t="s">
        <v>180</v>
      </c>
      <c r="C555" s="35" t="s">
        <v>110</v>
      </c>
      <c r="D555" s="35">
        <v>1020</v>
      </c>
      <c r="E555" s="12">
        <v>48</v>
      </c>
      <c r="F555" s="21">
        <f t="shared" si="34"/>
        <v>11.14188546929654</v>
      </c>
      <c r="G555" s="35">
        <v>0</v>
      </c>
      <c r="H555" s="35">
        <v>0</v>
      </c>
      <c r="I555" s="35">
        <v>0</v>
      </c>
      <c r="J555" s="35">
        <v>0</v>
      </c>
      <c r="K555" s="35">
        <v>0</v>
      </c>
      <c r="L555" s="36">
        <v>816</v>
      </c>
      <c r="M555" s="35">
        <v>0.76</v>
      </c>
      <c r="N555" s="21">
        <v>3.7254901960784315</v>
      </c>
      <c r="O555" s="12">
        <v>0</v>
      </c>
      <c r="P555" s="35">
        <v>0.04</v>
      </c>
      <c r="Q555" s="35" t="s">
        <v>1</v>
      </c>
      <c r="R555" s="35">
        <v>360</v>
      </c>
      <c r="S555" s="35">
        <v>30</v>
      </c>
      <c r="T555" s="21">
        <v>1.0997668997668899</v>
      </c>
      <c r="U555" s="21">
        <v>9.8705636743215003E-2</v>
      </c>
      <c r="V555" s="37">
        <v>17.5</v>
      </c>
      <c r="W555" s="37">
        <v>255.7</v>
      </c>
      <c r="X555" s="35" t="s">
        <v>1</v>
      </c>
      <c r="Y555" s="23" t="s">
        <v>6</v>
      </c>
      <c r="Z555" s="21" t="s">
        <v>6</v>
      </c>
      <c r="AA555" s="35" t="s">
        <v>1</v>
      </c>
      <c r="AB555" s="35" t="s">
        <v>1</v>
      </c>
      <c r="AC555" s="27" t="s">
        <v>107</v>
      </c>
    </row>
    <row r="556" spans="1:29" s="44" customFormat="1" ht="13.8">
      <c r="A556" s="35" t="s">
        <v>8</v>
      </c>
      <c r="B556" s="35" t="s">
        <v>108</v>
      </c>
      <c r="C556" s="35" t="s">
        <v>109</v>
      </c>
      <c r="D556" s="36">
        <v>306</v>
      </c>
      <c r="E556" s="12">
        <v>20</v>
      </c>
      <c r="F556" s="21">
        <f t="shared" si="34"/>
        <v>5.5182013747841259</v>
      </c>
      <c r="G556" s="35">
        <v>0</v>
      </c>
      <c r="H556" s="35">
        <v>0</v>
      </c>
      <c r="I556" s="35">
        <v>0</v>
      </c>
      <c r="J556" s="35">
        <v>0</v>
      </c>
      <c r="K556" s="35">
        <v>0</v>
      </c>
      <c r="L556" s="36">
        <v>816</v>
      </c>
      <c r="M556" s="35">
        <v>0.76</v>
      </c>
      <c r="N556" s="21">
        <v>3.7254901960784315</v>
      </c>
      <c r="O556" s="12">
        <v>0</v>
      </c>
      <c r="P556" s="35">
        <v>10</v>
      </c>
      <c r="Q556" s="35" t="s">
        <v>1</v>
      </c>
      <c r="R556" s="35">
        <v>360</v>
      </c>
      <c r="S556" s="35">
        <v>30</v>
      </c>
      <c r="T556" s="21">
        <v>0.286176489901595</v>
      </c>
      <c r="U556" s="21">
        <v>5.1860465116279002E-2</v>
      </c>
      <c r="V556" s="37" t="s">
        <v>1</v>
      </c>
      <c r="W556" s="37" t="s">
        <v>1</v>
      </c>
      <c r="X556" s="35" t="s">
        <v>1</v>
      </c>
      <c r="Y556" s="23" t="s">
        <v>6</v>
      </c>
      <c r="Z556" s="21" t="s">
        <v>6</v>
      </c>
      <c r="AA556" s="35" t="s">
        <v>1</v>
      </c>
      <c r="AB556" s="35" t="s">
        <v>1</v>
      </c>
      <c r="AC556" s="27" t="s">
        <v>107</v>
      </c>
    </row>
    <row r="557" spans="1:29" s="44" customFormat="1" ht="13.8">
      <c r="A557" s="35" t="s">
        <v>8</v>
      </c>
      <c r="B557" s="35" t="s">
        <v>108</v>
      </c>
      <c r="C557" s="35" t="s">
        <v>109</v>
      </c>
      <c r="D557" s="36">
        <v>306</v>
      </c>
      <c r="E557" s="12">
        <v>28.000000000000004</v>
      </c>
      <c r="F557" s="21">
        <f t="shared" si="34"/>
        <v>7.7365050360038383</v>
      </c>
      <c r="G557" s="35">
        <v>0</v>
      </c>
      <c r="H557" s="35">
        <v>0</v>
      </c>
      <c r="I557" s="35">
        <v>0</v>
      </c>
      <c r="J557" s="35">
        <v>0</v>
      </c>
      <c r="K557" s="35">
        <v>0</v>
      </c>
      <c r="L557" s="36">
        <v>816</v>
      </c>
      <c r="M557" s="35">
        <v>0.76</v>
      </c>
      <c r="N557" s="21">
        <v>3.7254901960784315</v>
      </c>
      <c r="O557" s="12">
        <v>0</v>
      </c>
      <c r="P557" s="35">
        <v>10</v>
      </c>
      <c r="Q557" s="35" t="s">
        <v>1</v>
      </c>
      <c r="R557" s="35">
        <v>360</v>
      </c>
      <c r="S557" s="35">
        <v>30</v>
      </c>
      <c r="T557" s="21">
        <v>0.49405680997363999</v>
      </c>
      <c r="U557" s="21">
        <v>6.3860465116279005E-2</v>
      </c>
      <c r="V557" s="37">
        <v>1.56</v>
      </c>
      <c r="W557" s="37">
        <v>12.85</v>
      </c>
      <c r="X557" s="35" t="s">
        <v>1</v>
      </c>
      <c r="Y557" s="23" t="s">
        <v>6</v>
      </c>
      <c r="Z557" s="21" t="s">
        <v>6</v>
      </c>
      <c r="AA557" s="35" t="s">
        <v>1</v>
      </c>
      <c r="AB557" s="35" t="s">
        <v>1</v>
      </c>
      <c r="AC557" s="27" t="s">
        <v>107</v>
      </c>
    </row>
    <row r="558" spans="1:29" s="44" customFormat="1" ht="13.8">
      <c r="A558" s="35" t="s">
        <v>8</v>
      </c>
      <c r="B558" s="35" t="s">
        <v>108</v>
      </c>
      <c r="C558" s="35" t="s">
        <v>109</v>
      </c>
      <c r="D558" s="36">
        <v>306</v>
      </c>
      <c r="E558" s="12">
        <v>38</v>
      </c>
      <c r="F558" s="21">
        <f t="shared" si="34"/>
        <v>10.499685977438203</v>
      </c>
      <c r="G558" s="35">
        <v>0</v>
      </c>
      <c r="H558" s="35">
        <v>0</v>
      </c>
      <c r="I558" s="35">
        <v>0</v>
      </c>
      <c r="J558" s="35">
        <v>0</v>
      </c>
      <c r="K558" s="35">
        <v>0</v>
      </c>
      <c r="L558" s="36">
        <v>816</v>
      </c>
      <c r="M558" s="35">
        <v>0.76</v>
      </c>
      <c r="N558" s="21">
        <v>3.7254901960784315</v>
      </c>
      <c r="O558" s="12">
        <v>0</v>
      </c>
      <c r="P558" s="35">
        <v>10</v>
      </c>
      <c r="Q558" s="35" t="s">
        <v>1</v>
      </c>
      <c r="R558" s="35">
        <v>360</v>
      </c>
      <c r="S558" s="35">
        <v>30</v>
      </c>
      <c r="T558" s="21">
        <v>0.92250729355259298</v>
      </c>
      <c r="U558" s="21">
        <v>8.7860465116278999E-2</v>
      </c>
      <c r="V558" s="37">
        <v>1.56</v>
      </c>
      <c r="W558" s="37">
        <v>33.159999999999997</v>
      </c>
      <c r="X558" s="35" t="s">
        <v>1</v>
      </c>
      <c r="Y558" s="23" t="s">
        <v>6</v>
      </c>
      <c r="Z558" s="21" t="s">
        <v>6</v>
      </c>
      <c r="AA558" s="35" t="s">
        <v>1</v>
      </c>
      <c r="AB558" s="35" t="s">
        <v>1</v>
      </c>
      <c r="AC558" s="27" t="s">
        <v>107</v>
      </c>
    </row>
    <row r="559" spans="1:29" s="44" customFormat="1" ht="13.8">
      <c r="A559" s="35" t="s">
        <v>8</v>
      </c>
      <c r="B559" s="35" t="s">
        <v>108</v>
      </c>
      <c r="C559" s="35" t="s">
        <v>109</v>
      </c>
      <c r="D559" s="36">
        <v>306</v>
      </c>
      <c r="E559" s="12">
        <v>41</v>
      </c>
      <c r="F559" s="21">
        <f t="shared" si="34"/>
        <v>11.490598911282996</v>
      </c>
      <c r="G559" s="35">
        <v>0</v>
      </c>
      <c r="H559" s="35">
        <v>0</v>
      </c>
      <c r="I559" s="35">
        <v>0</v>
      </c>
      <c r="J559" s="35">
        <v>0</v>
      </c>
      <c r="K559" s="35">
        <v>0</v>
      </c>
      <c r="L559" s="36">
        <v>816</v>
      </c>
      <c r="M559" s="35">
        <v>0.76</v>
      </c>
      <c r="N559" s="21">
        <v>3.7254901960784315</v>
      </c>
      <c r="O559" s="12">
        <v>0</v>
      </c>
      <c r="P559" s="35">
        <v>10</v>
      </c>
      <c r="Q559" s="35" t="s">
        <v>1</v>
      </c>
      <c r="R559" s="35">
        <v>360</v>
      </c>
      <c r="S559" s="35">
        <v>30</v>
      </c>
      <c r="T559" s="21">
        <v>1.03201611617151</v>
      </c>
      <c r="U559" s="21">
        <v>8.9813953488372095E-2</v>
      </c>
      <c r="V559" s="37" t="s">
        <v>1</v>
      </c>
      <c r="W559" s="37" t="s">
        <v>1</v>
      </c>
      <c r="X559" s="35" t="s">
        <v>1</v>
      </c>
      <c r="Y559" s="23" t="s">
        <v>6</v>
      </c>
      <c r="Z559" s="21" t="s">
        <v>6</v>
      </c>
      <c r="AA559" s="35" t="s">
        <v>1</v>
      </c>
      <c r="AB559" s="35" t="s">
        <v>1</v>
      </c>
      <c r="AC559" s="27" t="s">
        <v>107</v>
      </c>
    </row>
    <row r="560" spans="1:29" s="44" customFormat="1" ht="13.8">
      <c r="A560" s="35" t="s">
        <v>8</v>
      </c>
      <c r="B560" s="35" t="s">
        <v>108</v>
      </c>
      <c r="C560" s="35" t="s">
        <v>109</v>
      </c>
      <c r="D560" s="36">
        <v>306</v>
      </c>
      <c r="E560" s="12">
        <v>50</v>
      </c>
      <c r="F560" s="21">
        <f t="shared" si="34"/>
        <v>14.725295223212802</v>
      </c>
      <c r="G560" s="35">
        <v>0</v>
      </c>
      <c r="H560" s="35">
        <v>0</v>
      </c>
      <c r="I560" s="35">
        <v>0</v>
      </c>
      <c r="J560" s="35">
        <v>0</v>
      </c>
      <c r="K560" s="35">
        <v>0</v>
      </c>
      <c r="L560" s="36">
        <v>816</v>
      </c>
      <c r="M560" s="35">
        <v>0.76</v>
      </c>
      <c r="N560" s="21">
        <v>3.7254901960784315</v>
      </c>
      <c r="O560" s="12">
        <v>0</v>
      </c>
      <c r="P560" s="35">
        <v>10</v>
      </c>
      <c r="Q560" s="35" t="s">
        <v>1</v>
      </c>
      <c r="R560" s="35">
        <v>360</v>
      </c>
      <c r="S560" s="35">
        <v>30</v>
      </c>
      <c r="T560" s="21">
        <v>1.1910366694496299</v>
      </c>
      <c r="U560" s="21">
        <v>8.0883720930232494E-2</v>
      </c>
      <c r="V560" s="37">
        <v>1.56</v>
      </c>
      <c r="W560" s="37">
        <v>37.15</v>
      </c>
      <c r="X560" s="35">
        <v>120</v>
      </c>
      <c r="Y560" s="23" t="s">
        <v>6</v>
      </c>
      <c r="Z560" s="21">
        <v>56.000000000000007</v>
      </c>
      <c r="AA560" s="35">
        <v>5</v>
      </c>
      <c r="AB560" s="35">
        <v>70</v>
      </c>
      <c r="AC560" s="27" t="s">
        <v>107</v>
      </c>
    </row>
    <row r="561" spans="1:29" s="44" customFormat="1" ht="13.8">
      <c r="A561" s="35" t="s">
        <v>8</v>
      </c>
      <c r="B561" s="35" t="s">
        <v>108</v>
      </c>
      <c r="C561" s="35" t="s">
        <v>109</v>
      </c>
      <c r="D561" s="36">
        <v>306</v>
      </c>
      <c r="E561" s="12">
        <v>50</v>
      </c>
      <c r="F561" s="21">
        <f t="shared" si="34"/>
        <v>14.725295223212802</v>
      </c>
      <c r="G561" s="35">
        <v>0</v>
      </c>
      <c r="H561" s="35">
        <v>0</v>
      </c>
      <c r="I561" s="35">
        <v>0</v>
      </c>
      <c r="J561" s="35">
        <v>0</v>
      </c>
      <c r="K561" s="35">
        <v>0</v>
      </c>
      <c r="L561" s="36">
        <v>816</v>
      </c>
      <c r="M561" s="35">
        <v>0.76</v>
      </c>
      <c r="N561" s="21">
        <v>3.7254901960784315</v>
      </c>
      <c r="O561" s="12">
        <v>0</v>
      </c>
      <c r="P561" s="35">
        <v>10</v>
      </c>
      <c r="Q561" s="35" t="s">
        <v>1</v>
      </c>
      <c r="R561" s="35">
        <v>360</v>
      </c>
      <c r="S561" s="35">
        <v>30</v>
      </c>
      <c r="T561" s="21">
        <v>1.1910366694496299</v>
      </c>
      <c r="U561" s="21">
        <v>8.0883720930232494E-2</v>
      </c>
      <c r="V561" s="37">
        <v>1.56</v>
      </c>
      <c r="W561" s="37">
        <v>37.15</v>
      </c>
      <c r="X561" s="35">
        <v>100</v>
      </c>
      <c r="Y561" s="23" t="s">
        <v>6</v>
      </c>
      <c r="Z561" s="21">
        <v>18.399999999999999</v>
      </c>
      <c r="AA561" s="35">
        <v>5</v>
      </c>
      <c r="AB561" s="35">
        <v>70</v>
      </c>
      <c r="AC561" s="27" t="s">
        <v>107</v>
      </c>
    </row>
    <row r="562" spans="1:29" s="44" customFormat="1" ht="13.8">
      <c r="A562" s="35" t="s">
        <v>8</v>
      </c>
      <c r="B562" s="35" t="s">
        <v>108</v>
      </c>
      <c r="C562" s="35" t="s">
        <v>109</v>
      </c>
      <c r="D562" s="36">
        <v>306</v>
      </c>
      <c r="E562" s="12">
        <v>20</v>
      </c>
      <c r="F562" s="21">
        <f t="shared" si="34"/>
        <v>5.4045776918117188</v>
      </c>
      <c r="G562" s="35">
        <v>0</v>
      </c>
      <c r="H562" s="35">
        <v>0</v>
      </c>
      <c r="I562" s="35">
        <v>0</v>
      </c>
      <c r="J562" s="35">
        <v>0</v>
      </c>
      <c r="K562" s="35">
        <v>0</v>
      </c>
      <c r="L562" s="36">
        <v>816</v>
      </c>
      <c r="M562" s="35">
        <v>0.76</v>
      </c>
      <c r="N562" s="21">
        <v>3.7254901960784315</v>
      </c>
      <c r="O562" s="12">
        <v>0</v>
      </c>
      <c r="P562" s="35">
        <v>0.04</v>
      </c>
      <c r="Q562" s="35" t="s">
        <v>1</v>
      </c>
      <c r="R562" s="35">
        <v>360</v>
      </c>
      <c r="S562" s="35">
        <v>30</v>
      </c>
      <c r="T562" s="21">
        <v>6.36363636363632E-2</v>
      </c>
      <c r="U562" s="21">
        <v>1.17745302713987E-2</v>
      </c>
      <c r="V562" s="37" t="s">
        <v>5</v>
      </c>
      <c r="W562" s="37" t="s">
        <v>1</v>
      </c>
      <c r="X562" s="35" t="s">
        <v>6</v>
      </c>
      <c r="Y562" s="23" t="s">
        <v>6</v>
      </c>
      <c r="Z562" s="21" t="s">
        <v>6</v>
      </c>
      <c r="AA562" s="35" t="s">
        <v>6</v>
      </c>
      <c r="AB562" s="35" t="s">
        <v>6</v>
      </c>
      <c r="AC562" s="27" t="s">
        <v>107</v>
      </c>
    </row>
    <row r="563" spans="1:29" s="44" customFormat="1" ht="13.8">
      <c r="A563" s="35" t="s">
        <v>8</v>
      </c>
      <c r="B563" s="35" t="s">
        <v>108</v>
      </c>
      <c r="C563" s="35" t="s">
        <v>109</v>
      </c>
      <c r="D563" s="36">
        <v>306</v>
      </c>
      <c r="E563" s="12">
        <v>28.000000000000004</v>
      </c>
      <c r="F563" s="21">
        <f t="shared" si="34"/>
        <v>7.779573014230027</v>
      </c>
      <c r="G563" s="35">
        <v>0</v>
      </c>
      <c r="H563" s="35">
        <v>0</v>
      </c>
      <c r="I563" s="35">
        <v>0</v>
      </c>
      <c r="J563" s="35">
        <v>0</v>
      </c>
      <c r="K563" s="35">
        <v>0</v>
      </c>
      <c r="L563" s="36">
        <v>816</v>
      </c>
      <c r="M563" s="35">
        <v>0.76</v>
      </c>
      <c r="N563" s="21">
        <v>3.7254901960784315</v>
      </c>
      <c r="O563" s="12">
        <v>0</v>
      </c>
      <c r="P563" s="35">
        <v>0.04</v>
      </c>
      <c r="Q563" s="35" t="s">
        <v>1</v>
      </c>
      <c r="R563" s="35">
        <v>360</v>
      </c>
      <c r="S563" s="35">
        <v>30</v>
      </c>
      <c r="T563" s="21">
        <v>0.26993006993006902</v>
      </c>
      <c r="U563" s="21">
        <v>3.4697286012526099E-2</v>
      </c>
      <c r="V563" s="37">
        <v>8.5299999999999994</v>
      </c>
      <c r="W563" s="37">
        <v>46.3</v>
      </c>
      <c r="X563" s="35" t="s">
        <v>6</v>
      </c>
      <c r="Y563" s="23" t="s">
        <v>6</v>
      </c>
      <c r="Z563" s="21" t="s">
        <v>6</v>
      </c>
      <c r="AA563" s="35" t="s">
        <v>6</v>
      </c>
      <c r="AB563" s="35" t="s">
        <v>6</v>
      </c>
      <c r="AC563" s="27" t="s">
        <v>107</v>
      </c>
    </row>
    <row r="564" spans="1:29" s="44" customFormat="1" ht="13.8">
      <c r="A564" s="35" t="s">
        <v>8</v>
      </c>
      <c r="B564" s="35" t="s">
        <v>108</v>
      </c>
      <c r="C564" s="35" t="s">
        <v>109</v>
      </c>
      <c r="D564" s="36">
        <v>306</v>
      </c>
      <c r="E564" s="12">
        <v>38</v>
      </c>
      <c r="F564" s="21">
        <f t="shared" si="34"/>
        <v>10.637997173430238</v>
      </c>
      <c r="G564" s="35">
        <v>0</v>
      </c>
      <c r="H564" s="35">
        <v>0</v>
      </c>
      <c r="I564" s="35">
        <v>0</v>
      </c>
      <c r="J564" s="35">
        <v>0</v>
      </c>
      <c r="K564" s="35">
        <v>0</v>
      </c>
      <c r="L564" s="36">
        <v>816</v>
      </c>
      <c r="M564" s="35">
        <v>0.76</v>
      </c>
      <c r="N564" s="21">
        <v>3.7254901960784315</v>
      </c>
      <c r="O564" s="12">
        <v>0</v>
      </c>
      <c r="P564" s="35">
        <v>0.04</v>
      </c>
      <c r="Q564" s="35" t="s">
        <v>1</v>
      </c>
      <c r="R564" s="35">
        <v>360</v>
      </c>
      <c r="S564" s="35">
        <v>30</v>
      </c>
      <c r="T564" s="21">
        <v>0.507692307692307</v>
      </c>
      <c r="U564" s="21">
        <v>4.7724425887265103E-2</v>
      </c>
      <c r="V564" s="37">
        <v>14.4</v>
      </c>
      <c r="W564" s="37">
        <v>169.3</v>
      </c>
      <c r="X564" s="35" t="s">
        <v>6</v>
      </c>
      <c r="Y564" s="23" t="s">
        <v>6</v>
      </c>
      <c r="Z564" s="21" t="s">
        <v>6</v>
      </c>
      <c r="AA564" s="35" t="s">
        <v>6</v>
      </c>
      <c r="AB564" s="35" t="s">
        <v>6</v>
      </c>
      <c r="AC564" s="27" t="s">
        <v>107</v>
      </c>
    </row>
    <row r="565" spans="1:29" s="44" customFormat="1" ht="13.8">
      <c r="A565" s="35" t="s">
        <v>8</v>
      </c>
      <c r="B565" s="35" t="s">
        <v>108</v>
      </c>
      <c r="C565" s="35" t="s">
        <v>109</v>
      </c>
      <c r="D565" s="36">
        <v>306</v>
      </c>
      <c r="E565" s="12">
        <v>41</v>
      </c>
      <c r="F565" s="21">
        <f t="shared" si="34"/>
        <v>11.381123774070858</v>
      </c>
      <c r="G565" s="35">
        <v>0</v>
      </c>
      <c r="H565" s="35">
        <v>0</v>
      </c>
      <c r="I565" s="35">
        <v>0</v>
      </c>
      <c r="J565" s="35">
        <v>0</v>
      </c>
      <c r="K565" s="35">
        <v>0</v>
      </c>
      <c r="L565" s="36">
        <v>816</v>
      </c>
      <c r="M565" s="35">
        <v>0.76</v>
      </c>
      <c r="N565" s="21">
        <v>3.7254901960784315</v>
      </c>
      <c r="O565" s="12">
        <v>0</v>
      </c>
      <c r="P565" s="35">
        <v>0.04</v>
      </c>
      <c r="Q565" s="35" t="s">
        <v>1</v>
      </c>
      <c r="R565" s="35">
        <v>360</v>
      </c>
      <c r="S565" s="35">
        <v>30</v>
      </c>
      <c r="T565" s="21">
        <v>0.56596736596736497</v>
      </c>
      <c r="U565" s="21">
        <v>4.9728601252609597E-2</v>
      </c>
      <c r="V565" s="37" t="s">
        <v>1</v>
      </c>
      <c r="W565" s="37" t="s">
        <v>1</v>
      </c>
      <c r="X565" s="35" t="s">
        <v>6</v>
      </c>
      <c r="Y565" s="23" t="s">
        <v>6</v>
      </c>
      <c r="Z565" s="21" t="s">
        <v>6</v>
      </c>
      <c r="AA565" s="35" t="s">
        <v>6</v>
      </c>
      <c r="AB565" s="35" t="s">
        <v>6</v>
      </c>
      <c r="AC565" s="27" t="s">
        <v>107</v>
      </c>
    </row>
    <row r="566" spans="1:29" s="44" customFormat="1" ht="13.8">
      <c r="A566" s="35" t="s">
        <v>8</v>
      </c>
      <c r="B566" s="35" t="s">
        <v>108</v>
      </c>
      <c r="C566" s="35" t="s">
        <v>109</v>
      </c>
      <c r="D566" s="36">
        <v>306</v>
      </c>
      <c r="E566" s="12">
        <v>50</v>
      </c>
      <c r="F566" s="21">
        <f t="shared" si="34"/>
        <v>14.252810227022236</v>
      </c>
      <c r="G566" s="35">
        <v>0</v>
      </c>
      <c r="H566" s="35">
        <v>0</v>
      </c>
      <c r="I566" s="35">
        <v>0</v>
      </c>
      <c r="J566" s="35">
        <v>0</v>
      </c>
      <c r="K566" s="35">
        <v>0</v>
      </c>
      <c r="L566" s="36">
        <v>816</v>
      </c>
      <c r="M566" s="35">
        <v>0.76</v>
      </c>
      <c r="N566" s="21">
        <v>3.7254901960784315</v>
      </c>
      <c r="O566" s="12">
        <v>0</v>
      </c>
      <c r="P566" s="35">
        <v>0.04</v>
      </c>
      <c r="Q566" s="35" t="s">
        <v>1</v>
      </c>
      <c r="R566" s="35">
        <v>360</v>
      </c>
      <c r="S566" s="35">
        <v>30</v>
      </c>
      <c r="T566" s="21">
        <v>0.62307692307692197</v>
      </c>
      <c r="U566" s="21">
        <v>4.3716075156576203E-2</v>
      </c>
      <c r="V566" s="37">
        <v>14.4</v>
      </c>
      <c r="W566" s="37">
        <v>236.7</v>
      </c>
      <c r="X566" s="35" t="s">
        <v>6</v>
      </c>
      <c r="Y566" s="23" t="s">
        <v>6</v>
      </c>
      <c r="Z566" s="21" t="s">
        <v>6</v>
      </c>
      <c r="AA566" s="35" t="s">
        <v>6</v>
      </c>
      <c r="AB566" s="35" t="s">
        <v>6</v>
      </c>
      <c r="AC566" s="27" t="s">
        <v>107</v>
      </c>
    </row>
    <row r="567" spans="1:29">
      <c r="A567" s="35" t="s">
        <v>8</v>
      </c>
      <c r="B567" s="35" t="s">
        <v>114</v>
      </c>
      <c r="C567" s="49" t="s">
        <v>115</v>
      </c>
      <c r="D567" s="36">
        <v>700</v>
      </c>
      <c r="E567" s="12">
        <v>8</v>
      </c>
      <c r="F567" s="21">
        <v>0.88888888888888895</v>
      </c>
      <c r="G567" s="35">
        <v>0</v>
      </c>
      <c r="H567" s="35">
        <v>0</v>
      </c>
      <c r="I567" s="35">
        <v>0</v>
      </c>
      <c r="J567" s="35">
        <v>0</v>
      </c>
      <c r="K567" s="35">
        <v>0</v>
      </c>
      <c r="L567" s="36">
        <v>890</v>
      </c>
      <c r="M567" s="35">
        <v>1.01</v>
      </c>
      <c r="N567" s="21">
        <v>4.5393258426966296</v>
      </c>
      <c r="O567" s="12">
        <v>0</v>
      </c>
      <c r="P567" s="35">
        <v>0.04</v>
      </c>
      <c r="Q567" s="35" t="s">
        <v>1</v>
      </c>
      <c r="R567" s="35">
        <v>1080</v>
      </c>
      <c r="S567" s="35">
        <v>35</v>
      </c>
      <c r="T567" s="21">
        <v>6.3399955688638404E-2</v>
      </c>
      <c r="U567" s="21">
        <v>3.7022162251100103E-2</v>
      </c>
      <c r="V567" s="37" t="s">
        <v>6</v>
      </c>
      <c r="W567" s="37" t="s">
        <v>6</v>
      </c>
      <c r="X567" s="35" t="s">
        <v>6</v>
      </c>
      <c r="Y567" s="23" t="s">
        <v>6</v>
      </c>
      <c r="Z567" s="21" t="s">
        <v>6</v>
      </c>
      <c r="AA567" s="35" t="s">
        <v>6</v>
      </c>
      <c r="AB567" s="35" t="s">
        <v>6</v>
      </c>
      <c r="AC567" s="1" t="s">
        <v>121</v>
      </c>
    </row>
    <row r="568" spans="1:29">
      <c r="A568" s="35" t="s">
        <v>8</v>
      </c>
      <c r="B568" s="35" t="s">
        <v>114</v>
      </c>
      <c r="C568" s="49" t="s">
        <v>115</v>
      </c>
      <c r="D568" s="36">
        <v>700</v>
      </c>
      <c r="E568" s="12">
        <v>16</v>
      </c>
      <c r="F568" s="21">
        <v>1.8333333333333333</v>
      </c>
      <c r="G568" s="35">
        <v>0</v>
      </c>
      <c r="H568" s="35">
        <v>0</v>
      </c>
      <c r="I568" s="35">
        <v>0</v>
      </c>
      <c r="J568" s="35">
        <v>0</v>
      </c>
      <c r="K568" s="35">
        <v>0</v>
      </c>
      <c r="L568" s="36">
        <v>890</v>
      </c>
      <c r="M568" s="35">
        <v>1.01</v>
      </c>
      <c r="N568" s="21">
        <v>4.5393258426966296</v>
      </c>
      <c r="O568" s="12">
        <v>0</v>
      </c>
      <c r="P568" s="35">
        <v>0.04</v>
      </c>
      <c r="Q568" s="35" t="s">
        <v>1</v>
      </c>
      <c r="R568" s="35">
        <v>1080</v>
      </c>
      <c r="S568" s="35">
        <v>35</v>
      </c>
      <c r="T568" s="21">
        <v>9.4301425665788099E-2</v>
      </c>
      <c r="U568" s="21">
        <v>3.0644082861235399E-2</v>
      </c>
      <c r="V568" s="37" t="s">
        <v>6</v>
      </c>
      <c r="W568" s="37" t="s">
        <v>6</v>
      </c>
      <c r="X568" s="35" t="s">
        <v>6</v>
      </c>
      <c r="Y568" s="23" t="s">
        <v>6</v>
      </c>
      <c r="Z568" s="21" t="s">
        <v>6</v>
      </c>
      <c r="AA568" s="35" t="s">
        <v>6</v>
      </c>
      <c r="AB568" s="35" t="s">
        <v>6</v>
      </c>
      <c r="AC568" s="1" t="s">
        <v>121</v>
      </c>
    </row>
    <row r="569" spans="1:29">
      <c r="A569" s="35" t="s">
        <v>8</v>
      </c>
      <c r="B569" s="35" t="s">
        <v>114</v>
      </c>
      <c r="C569" s="49" t="s">
        <v>115</v>
      </c>
      <c r="D569" s="36">
        <v>700</v>
      </c>
      <c r="E569" s="12">
        <v>25</v>
      </c>
      <c r="F569" s="21">
        <v>3.2222222222222219</v>
      </c>
      <c r="G569" s="35">
        <v>0</v>
      </c>
      <c r="H569" s="35">
        <v>0</v>
      </c>
      <c r="I569" s="35">
        <v>0</v>
      </c>
      <c r="J569" s="35">
        <v>0</v>
      </c>
      <c r="K569" s="35">
        <v>0</v>
      </c>
      <c r="L569" s="36">
        <v>890</v>
      </c>
      <c r="M569" s="35">
        <v>1.01</v>
      </c>
      <c r="N569" s="21">
        <v>4.5393258426966296</v>
      </c>
      <c r="O569" s="12">
        <v>0</v>
      </c>
      <c r="P569" s="35">
        <v>0.04</v>
      </c>
      <c r="Q569" s="35" t="s">
        <v>1</v>
      </c>
      <c r="R569" s="35">
        <v>1080</v>
      </c>
      <c r="S569" s="35">
        <v>35</v>
      </c>
      <c r="T569" s="21">
        <v>0.24123495576946299</v>
      </c>
      <c r="U569" s="21">
        <v>7.0458101585990598E-2</v>
      </c>
      <c r="V569" s="37" t="s">
        <v>6</v>
      </c>
      <c r="W569" s="37" t="s">
        <v>6</v>
      </c>
      <c r="X569" s="35" t="s">
        <v>6</v>
      </c>
      <c r="Y569" s="23" t="s">
        <v>6</v>
      </c>
      <c r="Z569" s="21" t="s">
        <v>6</v>
      </c>
      <c r="AA569" s="35" t="s">
        <v>6</v>
      </c>
      <c r="AB569" s="35" t="s">
        <v>6</v>
      </c>
      <c r="AC569" s="1" t="s">
        <v>121</v>
      </c>
    </row>
    <row r="570" spans="1:29" ht="14.55" customHeight="1">
      <c r="A570" s="35" t="s">
        <v>8</v>
      </c>
      <c r="B570" s="35" t="s">
        <v>114</v>
      </c>
      <c r="C570" s="49" t="s">
        <v>115</v>
      </c>
      <c r="D570" s="36">
        <v>700</v>
      </c>
      <c r="E570" s="12">
        <v>33</v>
      </c>
      <c r="F570" s="21">
        <v>4.8888888888888893</v>
      </c>
      <c r="G570" s="35">
        <v>0</v>
      </c>
      <c r="H570" s="35">
        <v>0</v>
      </c>
      <c r="I570" s="35">
        <v>0</v>
      </c>
      <c r="J570" s="35">
        <v>0</v>
      </c>
      <c r="K570" s="35">
        <v>0</v>
      </c>
      <c r="L570" s="36">
        <v>890</v>
      </c>
      <c r="M570" s="35">
        <v>1.01</v>
      </c>
      <c r="N570" s="21">
        <v>4.5393258426966296</v>
      </c>
      <c r="O570" s="12">
        <v>0</v>
      </c>
      <c r="P570" s="35">
        <v>0.04</v>
      </c>
      <c r="Q570" s="35" t="s">
        <v>1</v>
      </c>
      <c r="R570" s="35">
        <v>1080</v>
      </c>
      <c r="S570" s="35">
        <v>35</v>
      </c>
      <c r="T570" s="21">
        <v>0.68910539543136595</v>
      </c>
      <c r="U570" s="21">
        <v>0.1161240095624</v>
      </c>
      <c r="V570" s="37" t="s">
        <v>6</v>
      </c>
      <c r="W570" s="37" t="s">
        <v>6</v>
      </c>
      <c r="X570" s="35" t="s">
        <v>6</v>
      </c>
      <c r="Y570" s="23" t="s">
        <v>6</v>
      </c>
      <c r="Z570" s="21" t="s">
        <v>6</v>
      </c>
      <c r="AA570" s="35" t="s">
        <v>6</v>
      </c>
      <c r="AB570" s="35" t="s">
        <v>6</v>
      </c>
      <c r="AC570" s="1" t="s">
        <v>120</v>
      </c>
    </row>
    <row r="571" spans="1:29">
      <c r="A571" s="35" t="s">
        <v>8</v>
      </c>
      <c r="B571" s="35" t="s">
        <v>114</v>
      </c>
      <c r="C571" s="49" t="s">
        <v>115</v>
      </c>
      <c r="D571" s="36">
        <v>700</v>
      </c>
      <c r="E571" s="12">
        <v>43</v>
      </c>
      <c r="F571" s="21">
        <v>7.333333333333333</v>
      </c>
      <c r="G571" s="35">
        <v>0</v>
      </c>
      <c r="H571" s="35">
        <v>0</v>
      </c>
      <c r="I571" s="35">
        <v>0</v>
      </c>
      <c r="J571" s="35">
        <v>0</v>
      </c>
      <c r="K571" s="35">
        <v>0</v>
      </c>
      <c r="L571" s="36">
        <v>890</v>
      </c>
      <c r="M571" s="35">
        <v>1.01</v>
      </c>
      <c r="N571" s="21">
        <v>4.5393258426966296</v>
      </c>
      <c r="O571" s="12">
        <v>0</v>
      </c>
      <c r="P571" s="35">
        <v>0.04</v>
      </c>
      <c r="Q571" s="35" t="s">
        <v>1</v>
      </c>
      <c r="R571" s="35">
        <v>1080</v>
      </c>
      <c r="S571" s="35">
        <v>35</v>
      </c>
      <c r="T571" s="21">
        <v>1.2084540564389801</v>
      </c>
      <c r="U571" s="21">
        <v>0.15799875146791201</v>
      </c>
      <c r="V571" s="37">
        <v>28.74</v>
      </c>
      <c r="W571" s="37">
        <v>210</v>
      </c>
      <c r="X571" s="35" t="s">
        <v>6</v>
      </c>
      <c r="Y571" s="23" t="s">
        <v>6</v>
      </c>
      <c r="Z571" s="21" t="s">
        <v>6</v>
      </c>
      <c r="AA571" s="35" t="s">
        <v>6</v>
      </c>
      <c r="AB571" s="35" t="s">
        <v>6</v>
      </c>
      <c r="AC571" s="1" t="s">
        <v>120</v>
      </c>
    </row>
    <row r="572" spans="1:29">
      <c r="A572" s="35" t="s">
        <v>8</v>
      </c>
      <c r="B572" s="35" t="s">
        <v>114</v>
      </c>
      <c r="C572" s="49" t="s">
        <v>98</v>
      </c>
      <c r="D572" s="36">
        <v>1000</v>
      </c>
      <c r="E572" s="12">
        <v>9</v>
      </c>
      <c r="F572" s="21">
        <v>0.94444444444444442</v>
      </c>
      <c r="G572" s="35">
        <v>0</v>
      </c>
      <c r="H572" s="35">
        <v>0</v>
      </c>
      <c r="I572" s="35">
        <v>0</v>
      </c>
      <c r="J572" s="35">
        <v>0</v>
      </c>
      <c r="K572" s="35">
        <v>0</v>
      </c>
      <c r="L572" s="36">
        <v>890</v>
      </c>
      <c r="M572" s="35">
        <v>1.01</v>
      </c>
      <c r="N572" s="21">
        <v>4.5393258426966296</v>
      </c>
      <c r="O572" s="12">
        <v>0</v>
      </c>
      <c r="P572" s="35">
        <v>10</v>
      </c>
      <c r="Q572" s="35" t="s">
        <v>1</v>
      </c>
      <c r="R572" s="35">
        <v>1080</v>
      </c>
      <c r="S572" s="35">
        <v>35</v>
      </c>
      <c r="T572" s="21">
        <v>7.15633257864558E-2</v>
      </c>
      <c r="U572" s="21">
        <v>4.3117950794285702E-2</v>
      </c>
      <c r="V572" s="37" t="s">
        <v>6</v>
      </c>
      <c r="W572" s="37" t="s">
        <v>6</v>
      </c>
      <c r="X572" s="35" t="s">
        <v>6</v>
      </c>
      <c r="Y572" s="23" t="s">
        <v>6</v>
      </c>
      <c r="Z572" s="21" t="s">
        <v>6</v>
      </c>
      <c r="AA572" s="35" t="s">
        <v>6</v>
      </c>
      <c r="AB572" s="35" t="s">
        <v>6</v>
      </c>
      <c r="AC572" s="1" t="s">
        <v>120</v>
      </c>
    </row>
    <row r="573" spans="1:29">
      <c r="A573" s="35" t="s">
        <v>8</v>
      </c>
      <c r="B573" s="35" t="s">
        <v>114</v>
      </c>
      <c r="C573" s="49" t="s">
        <v>98</v>
      </c>
      <c r="D573" s="36">
        <v>1000</v>
      </c>
      <c r="E573" s="12">
        <v>16</v>
      </c>
      <c r="F573" s="21">
        <v>1.9444444444444444</v>
      </c>
      <c r="G573" s="35">
        <v>0</v>
      </c>
      <c r="H573" s="35">
        <v>0</v>
      </c>
      <c r="I573" s="35">
        <v>0</v>
      </c>
      <c r="J573" s="35">
        <v>0</v>
      </c>
      <c r="K573" s="35">
        <v>0</v>
      </c>
      <c r="L573" s="36">
        <v>890</v>
      </c>
      <c r="M573" s="35">
        <v>1.01</v>
      </c>
      <c r="N573" s="21">
        <v>4.5393258426966296</v>
      </c>
      <c r="O573" s="12">
        <v>0</v>
      </c>
      <c r="P573" s="35">
        <v>0.04</v>
      </c>
      <c r="Q573" s="35" t="s">
        <v>1</v>
      </c>
      <c r="R573" s="35">
        <v>1080</v>
      </c>
      <c r="S573" s="35">
        <v>35</v>
      </c>
      <c r="T573" s="21">
        <v>0.120752741646691</v>
      </c>
      <c r="U573" s="21">
        <v>4.0727229613761497E-2</v>
      </c>
      <c r="V573" s="37" t="s">
        <v>6</v>
      </c>
      <c r="W573" s="37" t="s">
        <v>6</v>
      </c>
      <c r="X573" s="35" t="s">
        <v>6</v>
      </c>
      <c r="Y573" s="23" t="s">
        <v>6</v>
      </c>
      <c r="Z573" s="21" t="s">
        <v>6</v>
      </c>
      <c r="AA573" s="35" t="s">
        <v>6</v>
      </c>
      <c r="AB573" s="35" t="s">
        <v>6</v>
      </c>
      <c r="AC573" s="1" t="s">
        <v>120</v>
      </c>
    </row>
    <row r="574" spans="1:29">
      <c r="A574" s="35" t="s">
        <v>8</v>
      </c>
      <c r="B574" s="35" t="s">
        <v>114</v>
      </c>
      <c r="C574" s="49" t="s">
        <v>98</v>
      </c>
      <c r="D574" s="36">
        <v>1000</v>
      </c>
      <c r="E574" s="12">
        <v>25</v>
      </c>
      <c r="F574" s="21">
        <v>3.2222222222222219</v>
      </c>
      <c r="G574" s="35">
        <v>0</v>
      </c>
      <c r="H574" s="35">
        <v>0</v>
      </c>
      <c r="I574" s="35">
        <v>0</v>
      </c>
      <c r="J574" s="35">
        <v>0</v>
      </c>
      <c r="K574" s="35">
        <v>0</v>
      </c>
      <c r="L574" s="36">
        <v>890</v>
      </c>
      <c r="M574" s="35">
        <v>1.01</v>
      </c>
      <c r="N574" s="21">
        <v>4.5393258426966296</v>
      </c>
      <c r="O574" s="12">
        <v>0</v>
      </c>
      <c r="P574" s="35">
        <v>10</v>
      </c>
      <c r="Q574" s="35" t="s">
        <v>1</v>
      </c>
      <c r="R574" s="35">
        <v>1080</v>
      </c>
      <c r="S574" s="35">
        <v>35</v>
      </c>
      <c r="T574" s="21">
        <v>0.34895625821923498</v>
      </c>
      <c r="U574" s="21">
        <v>7.8667966279954996E-2</v>
      </c>
      <c r="V574" s="37" t="s">
        <v>6</v>
      </c>
      <c r="W574" s="37" t="s">
        <v>6</v>
      </c>
      <c r="X574" s="35" t="s">
        <v>6</v>
      </c>
      <c r="Y574" s="23" t="s">
        <v>6</v>
      </c>
      <c r="Z574" s="21" t="s">
        <v>6</v>
      </c>
      <c r="AA574" s="35" t="s">
        <v>6</v>
      </c>
      <c r="AB574" s="35" t="s">
        <v>6</v>
      </c>
      <c r="AC574" s="1" t="s">
        <v>120</v>
      </c>
    </row>
    <row r="575" spans="1:29">
      <c r="A575" s="35" t="s">
        <v>8</v>
      </c>
      <c r="B575" s="35" t="s">
        <v>114</v>
      </c>
      <c r="C575" s="49" t="s">
        <v>98</v>
      </c>
      <c r="D575" s="36">
        <v>1000</v>
      </c>
      <c r="E575" s="12">
        <v>34</v>
      </c>
      <c r="F575" s="21">
        <v>5</v>
      </c>
      <c r="G575" s="35">
        <v>0</v>
      </c>
      <c r="H575" s="35">
        <v>0</v>
      </c>
      <c r="I575" s="35">
        <v>0</v>
      </c>
      <c r="J575" s="35">
        <v>0</v>
      </c>
      <c r="K575" s="35">
        <v>0</v>
      </c>
      <c r="L575" s="36">
        <v>890</v>
      </c>
      <c r="M575" s="35">
        <v>1.01</v>
      </c>
      <c r="N575" s="21">
        <v>4.5393258426966296</v>
      </c>
      <c r="O575" s="12">
        <v>0</v>
      </c>
      <c r="P575" s="35">
        <v>0.04</v>
      </c>
      <c r="Q575" s="35" t="s">
        <v>1</v>
      </c>
      <c r="R575" s="35">
        <v>1080</v>
      </c>
      <c r="S575" s="35">
        <v>35</v>
      </c>
      <c r="T575" s="21">
        <v>0.71152257074365999</v>
      </c>
      <c r="U575" s="21">
        <v>0.117994468712495</v>
      </c>
      <c r="V575" s="37" t="s">
        <v>6</v>
      </c>
      <c r="W575" s="37" t="s">
        <v>6</v>
      </c>
      <c r="X575" s="35" t="s">
        <v>6</v>
      </c>
      <c r="Y575" s="23" t="s">
        <v>6</v>
      </c>
      <c r="Z575" s="21" t="s">
        <v>6</v>
      </c>
      <c r="AA575" s="35" t="s">
        <v>6</v>
      </c>
      <c r="AB575" s="35" t="s">
        <v>6</v>
      </c>
      <c r="AC575" s="1" t="s">
        <v>120</v>
      </c>
    </row>
    <row r="576" spans="1:29">
      <c r="A576" s="35" t="s">
        <v>8</v>
      </c>
      <c r="B576" s="35" t="s">
        <v>114</v>
      </c>
      <c r="C576" s="49" t="s">
        <v>98</v>
      </c>
      <c r="D576" s="36">
        <v>1000</v>
      </c>
      <c r="E576" s="12">
        <v>44</v>
      </c>
      <c r="F576" s="21">
        <v>7.5555555555555554</v>
      </c>
      <c r="G576" s="35">
        <v>0</v>
      </c>
      <c r="H576" s="35">
        <v>0</v>
      </c>
      <c r="I576" s="35">
        <v>0</v>
      </c>
      <c r="J576" s="35">
        <v>0</v>
      </c>
      <c r="K576" s="35">
        <v>0</v>
      </c>
      <c r="L576" s="36">
        <v>890</v>
      </c>
      <c r="M576" s="35">
        <v>1.01</v>
      </c>
      <c r="N576" s="21">
        <v>4.5393258426966296</v>
      </c>
      <c r="O576" s="12">
        <v>0</v>
      </c>
      <c r="P576" s="35">
        <v>10</v>
      </c>
      <c r="Q576" s="35" t="s">
        <v>1</v>
      </c>
      <c r="R576" s="35">
        <v>1080</v>
      </c>
      <c r="S576" s="35">
        <v>25</v>
      </c>
      <c r="T576" s="21">
        <v>1.5368636021389801</v>
      </c>
      <c r="U576" s="21">
        <v>0.203466872110939</v>
      </c>
      <c r="V576" s="37" t="s">
        <v>6</v>
      </c>
      <c r="W576" s="37" t="s">
        <v>6</v>
      </c>
      <c r="X576" s="35" t="s">
        <v>6</v>
      </c>
      <c r="Y576" s="23" t="s">
        <v>6</v>
      </c>
      <c r="Z576" s="21" t="s">
        <v>6</v>
      </c>
      <c r="AA576" s="35" t="s">
        <v>6</v>
      </c>
      <c r="AB576" s="35">
        <v>105</v>
      </c>
      <c r="AC576" s="1" t="s">
        <v>120</v>
      </c>
    </row>
    <row r="577" spans="1:29">
      <c r="A577" s="35" t="s">
        <v>8</v>
      </c>
      <c r="B577" s="35" t="s">
        <v>114</v>
      </c>
      <c r="C577" s="49" t="s">
        <v>98</v>
      </c>
      <c r="D577" s="36">
        <v>1000</v>
      </c>
      <c r="E577" s="12">
        <v>44</v>
      </c>
      <c r="F577" s="21">
        <v>7.5555555555555554</v>
      </c>
      <c r="G577" s="35">
        <v>0</v>
      </c>
      <c r="H577" s="35">
        <v>0</v>
      </c>
      <c r="I577" s="35">
        <v>0</v>
      </c>
      <c r="J577" s="35">
        <v>0</v>
      </c>
      <c r="K577" s="35">
        <v>0</v>
      </c>
      <c r="L577" s="36">
        <v>890</v>
      </c>
      <c r="M577" s="35">
        <v>1.01</v>
      </c>
      <c r="N577" s="21">
        <v>4.5393258426966296</v>
      </c>
      <c r="O577" s="12">
        <v>0</v>
      </c>
      <c r="P577" s="35">
        <v>0.04</v>
      </c>
      <c r="Q577" s="35" t="s">
        <v>1</v>
      </c>
      <c r="R577" s="35">
        <v>1080</v>
      </c>
      <c r="S577" s="35">
        <v>25</v>
      </c>
      <c r="T577" s="21">
        <v>1.1200000000000001</v>
      </c>
      <c r="U577" s="21">
        <v>0.14707241910631699</v>
      </c>
      <c r="V577" s="37" t="s">
        <v>6</v>
      </c>
      <c r="W577" s="37" t="s">
        <v>6</v>
      </c>
      <c r="X577" s="35" t="s">
        <v>6</v>
      </c>
      <c r="Y577" s="23" t="s">
        <v>6</v>
      </c>
      <c r="Z577" s="21" t="s">
        <v>6</v>
      </c>
      <c r="AA577" s="35" t="s">
        <v>6</v>
      </c>
      <c r="AB577" s="35" t="s">
        <v>6</v>
      </c>
      <c r="AC577" s="1" t="s">
        <v>120</v>
      </c>
    </row>
    <row r="578" spans="1:29">
      <c r="A578" s="35" t="s">
        <v>8</v>
      </c>
      <c r="B578" s="35" t="s">
        <v>114</v>
      </c>
      <c r="C578" s="49" t="s">
        <v>98</v>
      </c>
      <c r="D578" s="36">
        <v>1000</v>
      </c>
      <c r="E578" s="12">
        <v>44</v>
      </c>
      <c r="F578" s="21">
        <v>7.5555555555555554</v>
      </c>
      <c r="G578" s="35">
        <v>0</v>
      </c>
      <c r="H578" s="35">
        <v>0</v>
      </c>
      <c r="I578" s="35">
        <v>0</v>
      </c>
      <c r="J578" s="35">
        <v>0</v>
      </c>
      <c r="K578" s="35">
        <v>0</v>
      </c>
      <c r="L578" s="36">
        <v>890</v>
      </c>
      <c r="M578" s="35">
        <v>1.01</v>
      </c>
      <c r="N578" s="21">
        <v>4.5393258426966296</v>
      </c>
      <c r="O578" s="12">
        <v>0</v>
      </c>
      <c r="P578" s="35">
        <v>10</v>
      </c>
      <c r="Q578" s="35" t="s">
        <v>1</v>
      </c>
      <c r="R578" s="35">
        <v>1080</v>
      </c>
      <c r="S578" s="35">
        <v>35</v>
      </c>
      <c r="T578" s="21">
        <v>1.8</v>
      </c>
      <c r="U578" s="21">
        <v>0.23790446841294299</v>
      </c>
      <c r="V578" s="37" t="s">
        <v>6</v>
      </c>
      <c r="W578" s="37" t="s">
        <v>6</v>
      </c>
      <c r="X578" s="35" t="s">
        <v>6</v>
      </c>
      <c r="Y578" s="23" t="s">
        <v>6</v>
      </c>
      <c r="Z578" s="21" t="s">
        <v>6</v>
      </c>
      <c r="AA578" s="35" t="s">
        <v>6</v>
      </c>
      <c r="AB578" s="35" t="s">
        <v>6</v>
      </c>
      <c r="AC578" s="1" t="s">
        <v>120</v>
      </c>
    </row>
    <row r="579" spans="1:29">
      <c r="A579" s="35" t="s">
        <v>8</v>
      </c>
      <c r="B579" s="35" t="s">
        <v>114</v>
      </c>
      <c r="C579" s="49" t="s">
        <v>98</v>
      </c>
      <c r="D579" s="36">
        <v>1000</v>
      </c>
      <c r="E579" s="12">
        <v>44</v>
      </c>
      <c r="F579" s="21">
        <v>7.5555555555555554</v>
      </c>
      <c r="G579" s="35">
        <v>0</v>
      </c>
      <c r="H579" s="35">
        <v>0</v>
      </c>
      <c r="I579" s="35">
        <v>0</v>
      </c>
      <c r="J579" s="35">
        <v>0</v>
      </c>
      <c r="K579" s="35">
        <v>0</v>
      </c>
      <c r="L579" s="36">
        <v>890</v>
      </c>
      <c r="M579" s="35">
        <v>1.01</v>
      </c>
      <c r="N579" s="21">
        <v>4.5393258426966296</v>
      </c>
      <c r="O579" s="12">
        <v>0</v>
      </c>
      <c r="P579" s="35">
        <v>0.04</v>
      </c>
      <c r="Q579" s="35" t="s">
        <v>1</v>
      </c>
      <c r="R579" s="35">
        <v>1080</v>
      </c>
      <c r="S579" s="35">
        <v>35</v>
      </c>
      <c r="T579" s="21">
        <v>1.26</v>
      </c>
      <c r="U579" s="21">
        <v>0.164088329612471</v>
      </c>
      <c r="V579" s="37">
        <v>28.74</v>
      </c>
      <c r="W579" s="37">
        <v>167.63</v>
      </c>
      <c r="X579" s="35">
        <v>110</v>
      </c>
      <c r="Y579" s="23" t="s">
        <v>6</v>
      </c>
      <c r="Z579" s="21">
        <v>13.63</v>
      </c>
      <c r="AA579" s="35">
        <v>50</v>
      </c>
      <c r="AB579" s="35" t="s">
        <v>6</v>
      </c>
      <c r="AC579" s="1" t="s">
        <v>120</v>
      </c>
    </row>
    <row r="580" spans="1:29">
      <c r="A580" s="35" t="s">
        <v>8</v>
      </c>
      <c r="B580" s="35" t="s">
        <v>114</v>
      </c>
      <c r="C580" s="49" t="s">
        <v>98</v>
      </c>
      <c r="D580" s="36">
        <v>1000</v>
      </c>
      <c r="E580" s="12">
        <v>44</v>
      </c>
      <c r="F580" s="21">
        <v>7.5555555555555554</v>
      </c>
      <c r="G580" s="35">
        <v>0</v>
      </c>
      <c r="H580" s="35">
        <v>0</v>
      </c>
      <c r="I580" s="35">
        <v>0</v>
      </c>
      <c r="J580" s="35">
        <v>0</v>
      </c>
      <c r="K580" s="35">
        <v>0</v>
      </c>
      <c r="L580" s="36">
        <v>890</v>
      </c>
      <c r="M580" s="35">
        <v>1.01</v>
      </c>
      <c r="N580" s="21">
        <v>4.5393258426966296</v>
      </c>
      <c r="O580" s="12">
        <v>0</v>
      </c>
      <c r="P580" s="35">
        <v>10</v>
      </c>
      <c r="Q580" s="35" t="s">
        <v>1</v>
      </c>
      <c r="R580" s="35">
        <v>1080</v>
      </c>
      <c r="S580" s="35">
        <v>45</v>
      </c>
      <c r="T580" s="21">
        <v>1.93</v>
      </c>
      <c r="U580" s="21">
        <v>0.25338983050847402</v>
      </c>
      <c r="V580" s="37" t="s">
        <v>6</v>
      </c>
      <c r="W580" s="37" t="s">
        <v>6</v>
      </c>
      <c r="X580" s="35" t="s">
        <v>6</v>
      </c>
      <c r="Y580" s="23" t="s">
        <v>6</v>
      </c>
      <c r="Z580" s="21" t="s">
        <v>6</v>
      </c>
      <c r="AA580" s="35" t="s">
        <v>6</v>
      </c>
      <c r="AB580" s="35" t="s">
        <v>6</v>
      </c>
      <c r="AC580" s="1" t="s">
        <v>120</v>
      </c>
    </row>
    <row r="581" spans="1:29">
      <c r="A581" s="35" t="s">
        <v>8</v>
      </c>
      <c r="B581" s="35" t="s">
        <v>114</v>
      </c>
      <c r="C581" s="49" t="s">
        <v>98</v>
      </c>
      <c r="D581" s="36">
        <v>1000</v>
      </c>
      <c r="E581" s="12">
        <v>44</v>
      </c>
      <c r="F581" s="21">
        <v>7.5555555555555554</v>
      </c>
      <c r="G581" s="35">
        <v>0</v>
      </c>
      <c r="H581" s="35">
        <v>0</v>
      </c>
      <c r="I581" s="35">
        <v>0</v>
      </c>
      <c r="J581" s="35">
        <v>0</v>
      </c>
      <c r="K581" s="35">
        <v>0</v>
      </c>
      <c r="L581" s="36">
        <v>890</v>
      </c>
      <c r="M581" s="35">
        <v>1.01</v>
      </c>
      <c r="N581" s="21">
        <v>4.5393258426966296</v>
      </c>
      <c r="O581" s="12">
        <v>0</v>
      </c>
      <c r="P581" s="35">
        <v>0.04</v>
      </c>
      <c r="Q581" s="35" t="s">
        <v>1</v>
      </c>
      <c r="R581" s="35">
        <v>1080</v>
      </c>
      <c r="S581" s="35">
        <v>45</v>
      </c>
      <c r="T581" s="35">
        <v>0.42</v>
      </c>
      <c r="U581" s="21">
        <v>5.71648690292757E-2</v>
      </c>
      <c r="V581" s="37" t="s">
        <v>6</v>
      </c>
      <c r="W581" s="37" t="s">
        <v>6</v>
      </c>
      <c r="X581" s="35" t="s">
        <v>6</v>
      </c>
      <c r="Y581" s="23" t="s">
        <v>6</v>
      </c>
      <c r="Z581" s="21" t="s">
        <v>6</v>
      </c>
      <c r="AA581" s="35" t="s">
        <v>6</v>
      </c>
      <c r="AB581" s="35" t="s">
        <v>6</v>
      </c>
      <c r="AC581" s="1" t="s">
        <v>120</v>
      </c>
    </row>
    <row r="582" spans="1:29">
      <c r="A582" s="35" t="s">
        <v>8</v>
      </c>
      <c r="B582" s="35" t="s">
        <v>114</v>
      </c>
      <c r="C582" s="49" t="s">
        <v>98</v>
      </c>
      <c r="D582" s="36">
        <v>1000</v>
      </c>
      <c r="E582" s="12">
        <v>44</v>
      </c>
      <c r="F582" s="21">
        <v>7.5555555555555554</v>
      </c>
      <c r="G582" s="35">
        <v>0</v>
      </c>
      <c r="H582" s="35">
        <v>0</v>
      </c>
      <c r="I582" s="35">
        <v>0</v>
      </c>
      <c r="J582" s="35">
        <v>0</v>
      </c>
      <c r="K582" s="35">
        <v>0</v>
      </c>
      <c r="L582" s="36">
        <v>890</v>
      </c>
      <c r="M582" s="35">
        <v>1.01</v>
      </c>
      <c r="N582" s="21">
        <v>4.5393258426966296</v>
      </c>
      <c r="O582" s="12">
        <v>0</v>
      </c>
      <c r="P582" s="35">
        <v>10</v>
      </c>
      <c r="Q582" s="35" t="s">
        <v>1</v>
      </c>
      <c r="R582" s="35">
        <v>1080</v>
      </c>
      <c r="S582" s="35">
        <v>55</v>
      </c>
      <c r="T582" s="21">
        <v>2.11</v>
      </c>
      <c r="U582" s="21">
        <v>0.27604006163328199</v>
      </c>
      <c r="V582" s="37" t="s">
        <v>6</v>
      </c>
      <c r="W582" s="37" t="s">
        <v>6</v>
      </c>
      <c r="X582" s="35" t="s">
        <v>6</v>
      </c>
      <c r="Y582" s="23" t="s">
        <v>6</v>
      </c>
      <c r="Z582" s="21" t="s">
        <v>6</v>
      </c>
      <c r="AA582" s="35" t="s">
        <v>6</v>
      </c>
      <c r="AB582" s="35" t="s">
        <v>6</v>
      </c>
      <c r="AC582" s="1" t="s">
        <v>120</v>
      </c>
    </row>
    <row r="583" spans="1:29">
      <c r="A583" s="35" t="s">
        <v>8</v>
      </c>
      <c r="B583" s="35" t="s">
        <v>114</v>
      </c>
      <c r="C583" s="49" t="s">
        <v>98</v>
      </c>
      <c r="D583" s="36">
        <v>1000</v>
      </c>
      <c r="E583" s="12">
        <v>44</v>
      </c>
      <c r="F583" s="21">
        <v>7.5555555555555554</v>
      </c>
      <c r="G583" s="35">
        <v>0</v>
      </c>
      <c r="H583" s="35">
        <v>0</v>
      </c>
      <c r="I583" s="35">
        <v>0</v>
      </c>
      <c r="J583" s="35">
        <v>0</v>
      </c>
      <c r="K583" s="35">
        <v>0</v>
      </c>
      <c r="L583" s="36">
        <v>890</v>
      </c>
      <c r="M583" s="35">
        <v>1.01</v>
      </c>
      <c r="N583" s="21">
        <v>4.5393258426966296</v>
      </c>
      <c r="O583" s="12">
        <v>0</v>
      </c>
      <c r="P583" s="35">
        <v>0.04</v>
      </c>
      <c r="Q583" s="35" t="s">
        <v>1</v>
      </c>
      <c r="R583" s="35">
        <v>1080</v>
      </c>
      <c r="S583" s="35">
        <v>55</v>
      </c>
      <c r="T583" s="35">
        <v>0.15</v>
      </c>
      <c r="U583" s="21">
        <v>2.18027734976887E-2</v>
      </c>
      <c r="V583" s="37" t="s">
        <v>6</v>
      </c>
      <c r="W583" s="37" t="s">
        <v>6</v>
      </c>
      <c r="X583" s="35" t="s">
        <v>6</v>
      </c>
      <c r="Y583" s="23" t="s">
        <v>6</v>
      </c>
      <c r="Z583" s="21" t="s">
        <v>6</v>
      </c>
      <c r="AA583" s="35" t="s">
        <v>6</v>
      </c>
      <c r="AB583" s="35" t="s">
        <v>6</v>
      </c>
      <c r="AC583" s="1" t="s">
        <v>120</v>
      </c>
    </row>
    <row r="584" spans="1:29">
      <c r="A584" s="35" t="s">
        <v>7</v>
      </c>
      <c r="B584" s="35" t="s">
        <v>114</v>
      </c>
      <c r="C584" s="49" t="s">
        <v>97</v>
      </c>
      <c r="D584" s="36">
        <v>1000</v>
      </c>
      <c r="E584" s="12">
        <v>44</v>
      </c>
      <c r="F584" s="21">
        <v>7.5555555555555554</v>
      </c>
      <c r="G584" s="35">
        <v>0</v>
      </c>
      <c r="H584" s="35">
        <v>0</v>
      </c>
      <c r="I584" s="35">
        <v>0</v>
      </c>
      <c r="J584" s="35">
        <v>0</v>
      </c>
      <c r="K584" s="35">
        <v>0</v>
      </c>
      <c r="L584" s="36">
        <v>890</v>
      </c>
      <c r="M584" s="35">
        <v>1.01</v>
      </c>
      <c r="N584" s="21">
        <v>4.5393258426966296</v>
      </c>
      <c r="O584" s="12">
        <v>0</v>
      </c>
      <c r="P584" s="35">
        <v>10</v>
      </c>
      <c r="Q584" s="35" t="s">
        <v>1</v>
      </c>
      <c r="R584" s="35">
        <v>1080</v>
      </c>
      <c r="S584" s="35">
        <v>65</v>
      </c>
      <c r="T584" s="21">
        <v>2.02</v>
      </c>
      <c r="U584" s="21">
        <v>0.26587057010785797</v>
      </c>
      <c r="V584" s="37" t="s">
        <v>6</v>
      </c>
      <c r="W584" s="37" t="s">
        <v>6</v>
      </c>
      <c r="X584" s="35" t="s">
        <v>6</v>
      </c>
      <c r="Y584" s="23" t="s">
        <v>6</v>
      </c>
      <c r="Z584" s="21" t="s">
        <v>6</v>
      </c>
      <c r="AA584" s="35" t="s">
        <v>6</v>
      </c>
      <c r="AB584" s="35" t="s">
        <v>6</v>
      </c>
      <c r="AC584" s="1" t="s">
        <v>120</v>
      </c>
    </row>
    <row r="585" spans="1:29">
      <c r="A585" s="35" t="s">
        <v>7</v>
      </c>
      <c r="B585" s="35" t="s">
        <v>114</v>
      </c>
      <c r="C585" s="49" t="s">
        <v>97</v>
      </c>
      <c r="D585" s="36">
        <v>1000</v>
      </c>
      <c r="E585" s="12">
        <v>44</v>
      </c>
      <c r="F585" s="21">
        <v>7.5555555555555554</v>
      </c>
      <c r="G585" s="35">
        <v>0</v>
      </c>
      <c r="H585" s="35">
        <v>0</v>
      </c>
      <c r="I585" s="35">
        <v>0</v>
      </c>
      <c r="J585" s="35">
        <v>0</v>
      </c>
      <c r="K585" s="35">
        <v>0</v>
      </c>
      <c r="L585" s="36">
        <v>890</v>
      </c>
      <c r="M585" s="35">
        <v>1.01</v>
      </c>
      <c r="N585" s="21">
        <v>4.5393258426966296</v>
      </c>
      <c r="O585" s="12">
        <v>0</v>
      </c>
      <c r="P585" s="35">
        <v>0.04</v>
      </c>
      <c r="Q585" s="35" t="s">
        <v>1</v>
      </c>
      <c r="R585" s="35">
        <v>1080</v>
      </c>
      <c r="S585" s="35">
        <v>65</v>
      </c>
      <c r="T585" s="35">
        <v>0</v>
      </c>
      <c r="U585" s="21">
        <v>0</v>
      </c>
      <c r="V585" s="37" t="s">
        <v>6</v>
      </c>
      <c r="W585" s="37" t="s">
        <v>6</v>
      </c>
      <c r="X585" s="35" t="s">
        <v>6</v>
      </c>
      <c r="Y585" s="23" t="s">
        <v>6</v>
      </c>
      <c r="Z585" s="21" t="s">
        <v>6</v>
      </c>
      <c r="AA585" s="35" t="s">
        <v>6</v>
      </c>
      <c r="AB585" s="35" t="s">
        <v>6</v>
      </c>
      <c r="AC585" s="1" t="s">
        <v>120</v>
      </c>
    </row>
    <row r="586" spans="1:29">
      <c r="A586" s="35" t="s">
        <v>7</v>
      </c>
      <c r="B586" s="35" t="s">
        <v>114</v>
      </c>
      <c r="C586" s="49" t="s">
        <v>97</v>
      </c>
      <c r="D586" s="36">
        <v>1000</v>
      </c>
      <c r="E586" s="12">
        <v>44</v>
      </c>
      <c r="F586" s="21">
        <v>7.5555555555555554</v>
      </c>
      <c r="G586" s="35">
        <v>0</v>
      </c>
      <c r="H586" s="35">
        <v>0</v>
      </c>
      <c r="I586" s="35">
        <v>0</v>
      </c>
      <c r="J586" s="35">
        <v>0</v>
      </c>
      <c r="K586" s="35">
        <v>0</v>
      </c>
      <c r="L586" s="36">
        <v>890</v>
      </c>
      <c r="M586" s="35">
        <v>1.01</v>
      </c>
      <c r="N586" s="21">
        <v>4.5393258426966296</v>
      </c>
      <c r="O586" s="12">
        <v>0</v>
      </c>
      <c r="P586" s="35">
        <v>10</v>
      </c>
      <c r="Q586" s="35" t="s">
        <v>1</v>
      </c>
      <c r="R586" s="35">
        <v>1080</v>
      </c>
      <c r="S586" s="35">
        <v>75</v>
      </c>
      <c r="T586" s="35">
        <v>1.8</v>
      </c>
      <c r="U586" s="21">
        <v>0.23790446841294299</v>
      </c>
      <c r="V586" s="37" t="s">
        <v>6</v>
      </c>
      <c r="W586" s="37" t="s">
        <v>6</v>
      </c>
      <c r="X586" s="35" t="s">
        <v>6</v>
      </c>
      <c r="Y586" s="23" t="s">
        <v>6</v>
      </c>
      <c r="Z586" s="21" t="s">
        <v>6</v>
      </c>
      <c r="AA586" s="35" t="s">
        <v>6</v>
      </c>
      <c r="AB586" s="35" t="s">
        <v>6</v>
      </c>
      <c r="AC586" s="1" t="s">
        <v>120</v>
      </c>
    </row>
    <row r="587" spans="1:29">
      <c r="A587" s="35" t="s">
        <v>7</v>
      </c>
      <c r="B587" s="35" t="s">
        <v>114</v>
      </c>
      <c r="C587" s="49" t="s">
        <v>97</v>
      </c>
      <c r="D587" s="36">
        <v>1000</v>
      </c>
      <c r="E587" s="12">
        <v>44</v>
      </c>
      <c r="F587" s="21">
        <v>7.5555555555555554</v>
      </c>
      <c r="G587" s="35">
        <v>0</v>
      </c>
      <c r="H587" s="35">
        <v>0</v>
      </c>
      <c r="I587" s="35">
        <v>0</v>
      </c>
      <c r="J587" s="35">
        <v>0</v>
      </c>
      <c r="K587" s="35">
        <v>0</v>
      </c>
      <c r="L587" s="36">
        <v>890</v>
      </c>
      <c r="M587" s="35">
        <v>1.01</v>
      </c>
      <c r="N587" s="21">
        <v>4.5393258426966296</v>
      </c>
      <c r="O587" s="12">
        <v>0</v>
      </c>
      <c r="P587" s="35">
        <v>0.04</v>
      </c>
      <c r="Q587" s="35" t="s">
        <v>1</v>
      </c>
      <c r="R587" s="35">
        <v>1080</v>
      </c>
      <c r="S587" s="35">
        <v>75</v>
      </c>
      <c r="T587" s="35">
        <v>0</v>
      </c>
      <c r="U587" s="21">
        <v>0</v>
      </c>
      <c r="V587" s="37" t="s">
        <v>6</v>
      </c>
      <c r="W587" s="37" t="s">
        <v>6</v>
      </c>
      <c r="X587" s="35" t="s">
        <v>6</v>
      </c>
      <c r="Y587" s="23" t="s">
        <v>6</v>
      </c>
      <c r="Z587" s="21" t="s">
        <v>6</v>
      </c>
      <c r="AA587" s="35" t="s">
        <v>6</v>
      </c>
      <c r="AB587" s="35" t="s">
        <v>6</v>
      </c>
      <c r="AC587" s="1" t="s">
        <v>120</v>
      </c>
    </row>
    <row r="588" spans="1:29">
      <c r="A588" s="35" t="s">
        <v>7</v>
      </c>
      <c r="B588" s="35" t="s">
        <v>114</v>
      </c>
      <c r="C588" s="49" t="s">
        <v>117</v>
      </c>
      <c r="D588" s="36">
        <v>6700</v>
      </c>
      <c r="E588" s="12">
        <v>12</v>
      </c>
      <c r="F588" s="21">
        <v>1.2777777777777777</v>
      </c>
      <c r="G588" s="35">
        <v>0</v>
      </c>
      <c r="H588" s="35">
        <v>0</v>
      </c>
      <c r="I588" s="35">
        <v>0</v>
      </c>
      <c r="J588" s="35">
        <v>0</v>
      </c>
      <c r="K588" s="35">
        <v>0</v>
      </c>
      <c r="L588" s="36">
        <v>890</v>
      </c>
      <c r="M588" s="35">
        <v>1.01</v>
      </c>
      <c r="N588" s="21">
        <v>4.5393258426966296</v>
      </c>
      <c r="O588" s="12">
        <v>0</v>
      </c>
      <c r="P588" s="35">
        <v>0.04</v>
      </c>
      <c r="Q588" s="35" t="s">
        <v>1</v>
      </c>
      <c r="R588" s="35">
        <v>1080</v>
      </c>
      <c r="S588" s="35">
        <v>35</v>
      </c>
      <c r="T588" s="21">
        <v>6.9663927793398805E-2</v>
      </c>
      <c r="U588" s="21">
        <v>2.9731718844768901E-2</v>
      </c>
      <c r="V588" s="37" t="s">
        <v>6</v>
      </c>
      <c r="W588" s="37" t="s">
        <v>6</v>
      </c>
      <c r="X588" s="35" t="s">
        <v>6</v>
      </c>
      <c r="Y588" s="23" t="s">
        <v>6</v>
      </c>
      <c r="Z588" s="21" t="s">
        <v>6</v>
      </c>
      <c r="AA588" s="35" t="s">
        <v>6</v>
      </c>
      <c r="AB588" s="35" t="s">
        <v>6</v>
      </c>
      <c r="AC588" s="1" t="s">
        <v>120</v>
      </c>
    </row>
    <row r="589" spans="1:29">
      <c r="A589" s="35" t="s">
        <v>7</v>
      </c>
      <c r="B589" s="35" t="s">
        <v>114</v>
      </c>
      <c r="C589" s="49" t="s">
        <v>117</v>
      </c>
      <c r="D589" s="36">
        <v>6700</v>
      </c>
      <c r="E589" s="12">
        <v>22</v>
      </c>
      <c r="F589" s="21">
        <v>2.6666666666666665</v>
      </c>
      <c r="G589" s="35">
        <v>0</v>
      </c>
      <c r="H589" s="35">
        <v>0</v>
      </c>
      <c r="I589" s="35">
        <v>0</v>
      </c>
      <c r="J589" s="35">
        <v>0</v>
      </c>
      <c r="K589" s="35">
        <v>0</v>
      </c>
      <c r="L589" s="36">
        <v>890</v>
      </c>
      <c r="M589" s="35">
        <v>1.01</v>
      </c>
      <c r="N589" s="21">
        <v>4.5393258426966296</v>
      </c>
      <c r="O589" s="12">
        <v>0</v>
      </c>
      <c r="P589" s="35">
        <v>0.04</v>
      </c>
      <c r="Q589" s="35" t="s">
        <v>1</v>
      </c>
      <c r="R589" s="35">
        <v>1080</v>
      </c>
      <c r="S589" s="35">
        <v>35</v>
      </c>
      <c r="T589" s="21">
        <v>0.184093742303753</v>
      </c>
      <c r="U589" s="21">
        <v>4.6321105031551998E-2</v>
      </c>
      <c r="V589" s="37" t="s">
        <v>6</v>
      </c>
      <c r="W589" s="37" t="s">
        <v>6</v>
      </c>
      <c r="X589" s="35" t="s">
        <v>6</v>
      </c>
      <c r="Y589" s="23" t="s">
        <v>6</v>
      </c>
      <c r="Z589" s="21" t="s">
        <v>6</v>
      </c>
      <c r="AA589" s="35" t="s">
        <v>6</v>
      </c>
      <c r="AB589" s="35" t="s">
        <v>6</v>
      </c>
      <c r="AC589" s="1" t="s">
        <v>120</v>
      </c>
    </row>
    <row r="590" spans="1:29">
      <c r="A590" s="35" t="s">
        <v>7</v>
      </c>
      <c r="B590" s="35" t="s">
        <v>114</v>
      </c>
      <c r="C590" s="49" t="s">
        <v>117</v>
      </c>
      <c r="D590" s="36">
        <v>6700</v>
      </c>
      <c r="E590" s="12">
        <v>30</v>
      </c>
      <c r="F590" s="21">
        <v>4.166666666666667</v>
      </c>
      <c r="G590" s="35">
        <v>0</v>
      </c>
      <c r="H590" s="35">
        <v>0</v>
      </c>
      <c r="I590" s="35">
        <v>0</v>
      </c>
      <c r="J590" s="35">
        <v>0</v>
      </c>
      <c r="K590" s="35">
        <v>0</v>
      </c>
      <c r="L590" s="36">
        <v>890</v>
      </c>
      <c r="M590" s="35">
        <v>1.01</v>
      </c>
      <c r="N590" s="21">
        <v>4.5393258426966296</v>
      </c>
      <c r="O590" s="12">
        <v>0</v>
      </c>
      <c r="P590" s="35">
        <v>0.04</v>
      </c>
      <c r="Q590" s="35" t="s">
        <v>1</v>
      </c>
      <c r="R590" s="35">
        <v>1080</v>
      </c>
      <c r="S590" s="35">
        <v>35</v>
      </c>
      <c r="T590" s="21">
        <v>0.48961393012307303</v>
      </c>
      <c r="U590" s="21">
        <v>9.1291166070898502E-2</v>
      </c>
      <c r="V590" s="37" t="s">
        <v>6</v>
      </c>
      <c r="W590" s="37" t="s">
        <v>6</v>
      </c>
      <c r="X590" s="35" t="s">
        <v>6</v>
      </c>
      <c r="Y590" s="23" t="s">
        <v>6</v>
      </c>
      <c r="Z590" s="21" t="s">
        <v>6</v>
      </c>
      <c r="AA590" s="35" t="s">
        <v>6</v>
      </c>
      <c r="AB590" s="35" t="s">
        <v>6</v>
      </c>
      <c r="AC590" s="1" t="s">
        <v>120</v>
      </c>
    </row>
    <row r="591" spans="1:29">
      <c r="A591" s="35" t="s">
        <v>7</v>
      </c>
      <c r="B591" s="35" t="s">
        <v>114</v>
      </c>
      <c r="C591" s="49" t="s">
        <v>117</v>
      </c>
      <c r="D591" s="36">
        <v>6700</v>
      </c>
      <c r="E591" s="12">
        <v>40</v>
      </c>
      <c r="F591" s="21">
        <v>6.5555555555555554</v>
      </c>
      <c r="G591" s="35">
        <v>0</v>
      </c>
      <c r="H591" s="35">
        <v>0</v>
      </c>
      <c r="I591" s="35">
        <v>0</v>
      </c>
      <c r="J591" s="35">
        <v>0</v>
      </c>
      <c r="K591" s="35">
        <v>0</v>
      </c>
      <c r="L591" s="36">
        <v>890</v>
      </c>
      <c r="M591" s="35">
        <v>1.01</v>
      </c>
      <c r="N591" s="21">
        <v>4.5393258426966296</v>
      </c>
      <c r="O591" s="12">
        <v>0</v>
      </c>
      <c r="P591" s="35">
        <v>0.04</v>
      </c>
      <c r="Q591" s="35" t="s">
        <v>1</v>
      </c>
      <c r="R591" s="35">
        <v>1080</v>
      </c>
      <c r="S591" s="35">
        <v>35</v>
      </c>
      <c r="T591" s="21">
        <v>0.88900811962926796</v>
      </c>
      <c r="U591" s="21">
        <v>0.124725411660709</v>
      </c>
      <c r="V591" s="37" t="s">
        <v>6</v>
      </c>
      <c r="W591" s="37" t="s">
        <v>6</v>
      </c>
      <c r="X591" s="35" t="s">
        <v>6</v>
      </c>
      <c r="Y591" s="23" t="s">
        <v>6</v>
      </c>
      <c r="Z591" s="21" t="s">
        <v>6</v>
      </c>
      <c r="AA591" s="35" t="s">
        <v>6</v>
      </c>
      <c r="AB591" s="35" t="s">
        <v>6</v>
      </c>
      <c r="AC591" s="1" t="s">
        <v>120</v>
      </c>
    </row>
    <row r="592" spans="1:29">
      <c r="A592" s="35" t="s">
        <v>7</v>
      </c>
      <c r="B592" s="35" t="s">
        <v>114</v>
      </c>
      <c r="C592" s="49" t="s">
        <v>117</v>
      </c>
      <c r="D592" s="36">
        <v>6700</v>
      </c>
      <c r="E592" s="12">
        <v>49</v>
      </c>
      <c r="F592" s="21">
        <v>9.4444444444444446</v>
      </c>
      <c r="G592" s="35">
        <v>0</v>
      </c>
      <c r="H592" s="35">
        <v>0</v>
      </c>
      <c r="I592" s="35">
        <v>0</v>
      </c>
      <c r="J592" s="35">
        <v>0</v>
      </c>
      <c r="K592" s="35">
        <v>0</v>
      </c>
      <c r="L592" s="36">
        <v>890</v>
      </c>
      <c r="M592" s="35">
        <v>1.01</v>
      </c>
      <c r="N592" s="21">
        <v>4.5393258426966296</v>
      </c>
      <c r="O592" s="12">
        <v>0</v>
      </c>
      <c r="P592" s="35">
        <v>10</v>
      </c>
      <c r="Q592" s="35" t="s">
        <v>1</v>
      </c>
      <c r="R592" s="35">
        <v>1080</v>
      </c>
      <c r="S592" s="35">
        <v>25</v>
      </c>
      <c r="T592" s="21">
        <v>1.36312487280867</v>
      </c>
      <c r="U592" s="21">
        <v>0.14412481592965901</v>
      </c>
      <c r="V592" s="37" t="s">
        <v>6</v>
      </c>
      <c r="W592" s="37" t="s">
        <v>6</v>
      </c>
      <c r="X592" s="35" t="s">
        <v>6</v>
      </c>
      <c r="Y592" s="23" t="s">
        <v>6</v>
      </c>
      <c r="Z592" s="21" t="s">
        <v>6</v>
      </c>
      <c r="AA592" s="35" t="s">
        <v>6</v>
      </c>
      <c r="AB592" s="35" t="s">
        <v>6</v>
      </c>
      <c r="AC592" s="1" t="s">
        <v>120</v>
      </c>
    </row>
    <row r="593" spans="1:29">
      <c r="A593" s="35" t="s">
        <v>7</v>
      </c>
      <c r="B593" s="35" t="s">
        <v>114</v>
      </c>
      <c r="C593" s="49" t="s">
        <v>117</v>
      </c>
      <c r="D593" s="36">
        <v>6700</v>
      </c>
      <c r="E593" s="12">
        <v>49</v>
      </c>
      <c r="F593" s="21">
        <v>9.4444444444444446</v>
      </c>
      <c r="G593" s="35">
        <v>0</v>
      </c>
      <c r="H593" s="35">
        <v>0</v>
      </c>
      <c r="I593" s="35">
        <v>0</v>
      </c>
      <c r="J593" s="35">
        <v>0</v>
      </c>
      <c r="K593" s="35">
        <v>0</v>
      </c>
      <c r="L593" s="36">
        <v>890</v>
      </c>
      <c r="M593" s="35">
        <v>1.01</v>
      </c>
      <c r="N593" s="21">
        <v>4.5393258426966296</v>
      </c>
      <c r="O593" s="12">
        <v>0</v>
      </c>
      <c r="P593" s="35">
        <v>0.04</v>
      </c>
      <c r="Q593" s="35" t="s">
        <v>1</v>
      </c>
      <c r="R593" s="35">
        <v>1080</v>
      </c>
      <c r="S593" s="35">
        <v>25</v>
      </c>
      <c r="T593" s="21">
        <v>0.84770474169258903</v>
      </c>
      <c r="U593" s="21">
        <v>0.10659738523507099</v>
      </c>
      <c r="V593" s="37" t="s">
        <v>6</v>
      </c>
      <c r="W593" s="37" t="s">
        <v>6</v>
      </c>
      <c r="X593" s="35" t="s">
        <v>6</v>
      </c>
      <c r="Y593" s="23" t="s">
        <v>6</v>
      </c>
      <c r="Z593" s="21" t="s">
        <v>6</v>
      </c>
      <c r="AA593" s="35" t="s">
        <v>6</v>
      </c>
      <c r="AB593" s="35" t="s">
        <v>6</v>
      </c>
      <c r="AC593" s="1" t="s">
        <v>120</v>
      </c>
    </row>
    <row r="594" spans="1:29">
      <c r="A594" s="35" t="s">
        <v>7</v>
      </c>
      <c r="B594" s="35" t="s">
        <v>114</v>
      </c>
      <c r="C594" s="49" t="s">
        <v>117</v>
      </c>
      <c r="D594" s="36">
        <v>6700</v>
      </c>
      <c r="E594" s="12">
        <v>49</v>
      </c>
      <c r="F594" s="21">
        <v>9.4444444444444446</v>
      </c>
      <c r="G594" s="35">
        <v>0</v>
      </c>
      <c r="H594" s="35">
        <v>0</v>
      </c>
      <c r="I594" s="35">
        <v>0</v>
      </c>
      <c r="J594" s="35">
        <v>0</v>
      </c>
      <c r="K594" s="35">
        <v>0</v>
      </c>
      <c r="L594" s="36">
        <v>890</v>
      </c>
      <c r="M594" s="35">
        <v>1.01</v>
      </c>
      <c r="N594" s="21">
        <v>4.5393258426966296</v>
      </c>
      <c r="O594" s="12">
        <v>0</v>
      </c>
      <c r="P594" s="35">
        <v>10</v>
      </c>
      <c r="Q594" s="35" t="s">
        <v>1</v>
      </c>
      <c r="R594" s="35">
        <v>1080</v>
      </c>
      <c r="S594" s="35">
        <v>35</v>
      </c>
      <c r="T594" s="21">
        <v>1.54609867866383</v>
      </c>
      <c r="U594" s="21">
        <v>0.17594288002354699</v>
      </c>
      <c r="V594" s="37" t="s">
        <v>6</v>
      </c>
      <c r="W594" s="37" t="s">
        <v>6</v>
      </c>
      <c r="X594" s="35" t="s">
        <v>6</v>
      </c>
      <c r="Y594" s="23" t="s">
        <v>6</v>
      </c>
      <c r="Z594" s="21" t="s">
        <v>6</v>
      </c>
      <c r="AA594" s="35" t="s">
        <v>6</v>
      </c>
      <c r="AB594" s="35" t="s">
        <v>6</v>
      </c>
      <c r="AC594" s="1" t="s">
        <v>120</v>
      </c>
    </row>
    <row r="595" spans="1:29">
      <c r="A595" s="35" t="s">
        <v>7</v>
      </c>
      <c r="B595" s="35" t="s">
        <v>114</v>
      </c>
      <c r="C595" s="49" t="s">
        <v>117</v>
      </c>
      <c r="D595" s="36">
        <v>6700</v>
      </c>
      <c r="E595" s="12">
        <v>49</v>
      </c>
      <c r="F595" s="21">
        <v>9.4444444444444446</v>
      </c>
      <c r="G595" s="35">
        <v>0</v>
      </c>
      <c r="H595" s="35">
        <v>0</v>
      </c>
      <c r="I595" s="35">
        <v>0</v>
      </c>
      <c r="J595" s="35">
        <v>0</v>
      </c>
      <c r="K595" s="35">
        <v>0</v>
      </c>
      <c r="L595" s="36">
        <v>890</v>
      </c>
      <c r="M595" s="35">
        <v>1.01</v>
      </c>
      <c r="N595" s="21">
        <v>4.5393258426966296</v>
      </c>
      <c r="O595" s="12">
        <v>0</v>
      </c>
      <c r="P595" s="35">
        <v>0.04</v>
      </c>
      <c r="Q595" s="35" t="s">
        <v>1</v>
      </c>
      <c r="R595" s="35">
        <v>1080</v>
      </c>
      <c r="S595" s="35">
        <v>35</v>
      </c>
      <c r="T595" s="21">
        <v>1.2073248774068099</v>
      </c>
      <c r="U595" s="21">
        <v>0.1</v>
      </c>
      <c r="V595" s="37">
        <v>38.92</v>
      </c>
      <c r="W595" s="37">
        <v>383.23</v>
      </c>
      <c r="X595" s="35" t="s">
        <v>1</v>
      </c>
      <c r="Y595" s="23" t="s">
        <v>6</v>
      </c>
      <c r="Z595" s="21" t="s">
        <v>6</v>
      </c>
      <c r="AA595" s="35" t="s">
        <v>6</v>
      </c>
      <c r="AB595" s="35" t="s">
        <v>6</v>
      </c>
      <c r="AC595" s="1" t="s">
        <v>120</v>
      </c>
    </row>
    <row r="596" spans="1:29">
      <c r="A596" s="35" t="s">
        <v>7</v>
      </c>
      <c r="B596" s="35" t="s">
        <v>114</v>
      </c>
      <c r="C596" s="49" t="s">
        <v>117</v>
      </c>
      <c r="D596" s="36">
        <v>6700</v>
      </c>
      <c r="E596" s="12">
        <v>49</v>
      </c>
      <c r="F596" s="21">
        <v>9.4444444444444446</v>
      </c>
      <c r="G596" s="35">
        <v>0</v>
      </c>
      <c r="H596" s="35">
        <v>0</v>
      </c>
      <c r="I596" s="35">
        <v>0</v>
      </c>
      <c r="J596" s="35">
        <v>0</v>
      </c>
      <c r="K596" s="35">
        <v>0</v>
      </c>
      <c r="L596" s="36">
        <v>890</v>
      </c>
      <c r="M596" s="35">
        <v>1.01</v>
      </c>
      <c r="N596" s="21">
        <v>4.5393258426966296</v>
      </c>
      <c r="O596" s="12">
        <v>0</v>
      </c>
      <c r="P596" s="35">
        <v>10</v>
      </c>
      <c r="Q596" s="35" t="s">
        <v>1</v>
      </c>
      <c r="R596" s="35">
        <v>1080</v>
      </c>
      <c r="S596" s="35">
        <v>45</v>
      </c>
      <c r="T596" s="21">
        <v>1.9024160900659901</v>
      </c>
      <c r="U596" s="21">
        <v>0.19900000000000001</v>
      </c>
      <c r="V596" s="37" t="s">
        <v>6</v>
      </c>
      <c r="W596" s="37" t="s">
        <v>6</v>
      </c>
      <c r="X596" s="35" t="s">
        <v>6</v>
      </c>
      <c r="Y596" s="23" t="s">
        <v>6</v>
      </c>
      <c r="Z596" s="21" t="s">
        <v>6</v>
      </c>
      <c r="AA596" s="35" t="s">
        <v>6</v>
      </c>
      <c r="AB596" s="35" t="s">
        <v>6</v>
      </c>
      <c r="AC596" s="1" t="s">
        <v>120</v>
      </c>
    </row>
    <row r="597" spans="1:29">
      <c r="A597" s="35" t="s">
        <v>7</v>
      </c>
      <c r="B597" s="35" t="s">
        <v>114</v>
      </c>
      <c r="C597" s="49" t="s">
        <v>117</v>
      </c>
      <c r="D597" s="36">
        <v>6700</v>
      </c>
      <c r="E597" s="12">
        <v>49</v>
      </c>
      <c r="F597" s="21">
        <v>9.4444444444444446</v>
      </c>
      <c r="G597" s="35">
        <v>0</v>
      </c>
      <c r="H597" s="35">
        <v>0</v>
      </c>
      <c r="I597" s="35">
        <v>0</v>
      </c>
      <c r="J597" s="35">
        <v>0</v>
      </c>
      <c r="K597" s="35">
        <v>0</v>
      </c>
      <c r="L597" s="36">
        <v>890</v>
      </c>
      <c r="M597" s="35">
        <v>1.01</v>
      </c>
      <c r="N597" s="21">
        <v>4.5393258426966296</v>
      </c>
      <c r="O597" s="12">
        <v>0</v>
      </c>
      <c r="P597" s="35">
        <v>0.04</v>
      </c>
      <c r="Q597" s="35" t="s">
        <v>1</v>
      </c>
      <c r="R597" s="35">
        <v>1080</v>
      </c>
      <c r="S597" s="35">
        <v>45</v>
      </c>
      <c r="T597" s="21">
        <v>0.80918394045992303</v>
      </c>
      <c r="U597" s="21">
        <v>4.2000000000000003E-2</v>
      </c>
      <c r="V597" s="37" t="s">
        <v>6</v>
      </c>
      <c r="W597" s="37" t="s">
        <v>6</v>
      </c>
      <c r="X597" s="35" t="s">
        <v>6</v>
      </c>
      <c r="Y597" s="23" t="s">
        <v>6</v>
      </c>
      <c r="Z597" s="21" t="s">
        <v>6</v>
      </c>
      <c r="AA597" s="35" t="s">
        <v>6</v>
      </c>
      <c r="AB597" s="35" t="s">
        <v>6</v>
      </c>
      <c r="AC597" s="1" t="s">
        <v>120</v>
      </c>
    </row>
    <row r="598" spans="1:29">
      <c r="A598" s="35" t="s">
        <v>7</v>
      </c>
      <c r="B598" s="35" t="s">
        <v>114</v>
      </c>
      <c r="C598" s="49" t="s">
        <v>117</v>
      </c>
      <c r="D598" s="36">
        <v>6700</v>
      </c>
      <c r="E598" s="12">
        <v>49</v>
      </c>
      <c r="F598" s="21">
        <v>9.4444444444444446</v>
      </c>
      <c r="G598" s="35">
        <v>0</v>
      </c>
      <c r="H598" s="35">
        <v>0</v>
      </c>
      <c r="I598" s="35">
        <v>0</v>
      </c>
      <c r="J598" s="35">
        <v>0</v>
      </c>
      <c r="K598" s="35">
        <v>0</v>
      </c>
      <c r="L598" s="36">
        <v>890</v>
      </c>
      <c r="M598" s="35">
        <v>1.01</v>
      </c>
      <c r="N598" s="21">
        <v>4.5393258426966296</v>
      </c>
      <c r="O598" s="12">
        <v>0</v>
      </c>
      <c r="P598" s="35">
        <v>10</v>
      </c>
      <c r="Q598" s="35" t="s">
        <v>1</v>
      </c>
      <c r="R598" s="35">
        <v>1080</v>
      </c>
      <c r="S598" s="35">
        <v>55</v>
      </c>
      <c r="T598" s="21">
        <v>1.9024160900659901</v>
      </c>
      <c r="U598" s="21">
        <v>0.24262045456227199</v>
      </c>
      <c r="V598" s="37" t="s">
        <v>6</v>
      </c>
      <c r="W598" s="37" t="s">
        <v>6</v>
      </c>
      <c r="X598" s="35" t="s">
        <v>6</v>
      </c>
      <c r="Y598" s="23" t="s">
        <v>6</v>
      </c>
      <c r="Z598" s="21" t="s">
        <v>6</v>
      </c>
      <c r="AA598" s="35" t="s">
        <v>6</v>
      </c>
      <c r="AB598" s="35" t="s">
        <v>6</v>
      </c>
      <c r="AC598" s="1" t="s">
        <v>120</v>
      </c>
    </row>
    <row r="599" spans="1:29">
      <c r="A599" s="35" t="s">
        <v>7</v>
      </c>
      <c r="B599" s="35" t="s">
        <v>114</v>
      </c>
      <c r="C599" s="49" t="s">
        <v>117</v>
      </c>
      <c r="D599" s="36">
        <v>6700</v>
      </c>
      <c r="E599" s="12">
        <v>49</v>
      </c>
      <c r="F599" s="21">
        <v>9.4444444444444446</v>
      </c>
      <c r="G599" s="35">
        <v>0</v>
      </c>
      <c r="H599" s="35">
        <v>0</v>
      </c>
      <c r="I599" s="35">
        <v>0</v>
      </c>
      <c r="J599" s="35">
        <v>0</v>
      </c>
      <c r="K599" s="35">
        <v>0</v>
      </c>
      <c r="L599" s="36">
        <v>890</v>
      </c>
      <c r="M599" s="35">
        <v>1.01</v>
      </c>
      <c r="N599" s="21">
        <v>4.5393258426966296</v>
      </c>
      <c r="O599" s="12">
        <v>0</v>
      </c>
      <c r="P599" s="35">
        <v>0.04</v>
      </c>
      <c r="Q599" s="35" t="s">
        <v>1</v>
      </c>
      <c r="R599" s="35">
        <v>1080</v>
      </c>
      <c r="S599" s="35">
        <v>55</v>
      </c>
      <c r="T599" s="21">
        <v>0.37004680640753501</v>
      </c>
      <c r="U599" s="21">
        <v>2.1000000000000001E-2</v>
      </c>
      <c r="V599" s="37" t="s">
        <v>6</v>
      </c>
      <c r="W599" s="37" t="s">
        <v>6</v>
      </c>
      <c r="X599" s="35" t="s">
        <v>6</v>
      </c>
      <c r="Y599" s="23" t="s">
        <v>6</v>
      </c>
      <c r="Z599" s="21" t="s">
        <v>6</v>
      </c>
      <c r="AA599" s="35" t="s">
        <v>6</v>
      </c>
      <c r="AB599" s="35" t="s">
        <v>6</v>
      </c>
      <c r="AC599" s="1" t="s">
        <v>120</v>
      </c>
    </row>
    <row r="600" spans="1:29">
      <c r="A600" s="35" t="s">
        <v>7</v>
      </c>
      <c r="B600" s="35" t="s">
        <v>114</v>
      </c>
      <c r="C600" s="49" t="s">
        <v>117</v>
      </c>
      <c r="D600" s="36">
        <v>6700</v>
      </c>
      <c r="E600" s="12">
        <v>49</v>
      </c>
      <c r="F600" s="21">
        <v>9.4444444444444446</v>
      </c>
      <c r="G600" s="35">
        <v>0</v>
      </c>
      <c r="H600" s="35">
        <v>0</v>
      </c>
      <c r="I600" s="35">
        <v>0</v>
      </c>
      <c r="J600" s="35">
        <v>0</v>
      </c>
      <c r="K600" s="35">
        <v>0</v>
      </c>
      <c r="L600" s="36">
        <v>890</v>
      </c>
      <c r="M600" s="35">
        <v>1.01</v>
      </c>
      <c r="N600" s="21">
        <v>4.5393258426966296</v>
      </c>
      <c r="O600" s="12">
        <v>0</v>
      </c>
      <c r="P600" s="35">
        <v>10</v>
      </c>
      <c r="Q600" s="35" t="s">
        <v>1</v>
      </c>
      <c r="R600" s="35">
        <v>1080</v>
      </c>
      <c r="S600" s="35">
        <v>65</v>
      </c>
      <c r="T600" s="21">
        <v>2.1238999999999999</v>
      </c>
      <c r="U600" s="21">
        <v>0.26788814278678502</v>
      </c>
      <c r="V600" s="37" t="s">
        <v>6</v>
      </c>
      <c r="W600" s="37" t="s">
        <v>6</v>
      </c>
      <c r="X600" s="35" t="s">
        <v>6</v>
      </c>
      <c r="Y600" s="23" t="s">
        <v>6</v>
      </c>
      <c r="Z600" s="21" t="s">
        <v>6</v>
      </c>
      <c r="AA600" s="35" t="s">
        <v>6</v>
      </c>
      <c r="AB600" s="35" t="s">
        <v>6</v>
      </c>
      <c r="AC600" s="1" t="s">
        <v>120</v>
      </c>
    </row>
    <row r="601" spans="1:29">
      <c r="A601" s="35" t="s">
        <v>7</v>
      </c>
      <c r="B601" s="35" t="s">
        <v>114</v>
      </c>
      <c r="C601" s="49" t="s">
        <v>117</v>
      </c>
      <c r="D601" s="36">
        <v>6700</v>
      </c>
      <c r="E601" s="12">
        <v>49</v>
      </c>
      <c r="F601" s="21">
        <v>9.4444444444444446</v>
      </c>
      <c r="G601" s="35">
        <v>0</v>
      </c>
      <c r="H601" s="35">
        <v>0</v>
      </c>
      <c r="I601" s="35">
        <v>0</v>
      </c>
      <c r="J601" s="35">
        <v>0</v>
      </c>
      <c r="K601" s="35">
        <v>0</v>
      </c>
      <c r="L601" s="36">
        <v>890</v>
      </c>
      <c r="M601" s="35">
        <v>1.01</v>
      </c>
      <c r="N601" s="21">
        <v>4.5393258426966296</v>
      </c>
      <c r="O601" s="12">
        <v>0</v>
      </c>
      <c r="P601" s="35">
        <v>0.04</v>
      </c>
      <c r="Q601" s="35" t="s">
        <v>1</v>
      </c>
      <c r="R601" s="35">
        <v>1080</v>
      </c>
      <c r="S601" s="35">
        <v>65</v>
      </c>
      <c r="T601" s="21">
        <v>0</v>
      </c>
      <c r="U601" s="21">
        <v>0</v>
      </c>
      <c r="V601" s="37" t="s">
        <v>6</v>
      </c>
      <c r="W601" s="37" t="s">
        <v>6</v>
      </c>
      <c r="X601" s="35" t="s">
        <v>6</v>
      </c>
      <c r="Y601" s="23" t="s">
        <v>6</v>
      </c>
      <c r="Z601" s="21" t="s">
        <v>6</v>
      </c>
      <c r="AA601" s="35" t="s">
        <v>6</v>
      </c>
      <c r="AB601" s="35" t="s">
        <v>6</v>
      </c>
      <c r="AC601" s="1" t="s">
        <v>120</v>
      </c>
    </row>
    <row r="602" spans="1:29">
      <c r="A602" s="35" t="s">
        <v>7</v>
      </c>
      <c r="B602" s="35" t="s">
        <v>114</v>
      </c>
      <c r="C602" s="49" t="s">
        <v>116</v>
      </c>
      <c r="D602" s="36">
        <v>6700</v>
      </c>
      <c r="E602" s="12">
        <v>49</v>
      </c>
      <c r="F602" s="21">
        <v>9.4444444444444446</v>
      </c>
      <c r="G602" s="35">
        <v>0</v>
      </c>
      <c r="H602" s="35">
        <v>0</v>
      </c>
      <c r="I602" s="35">
        <v>0</v>
      </c>
      <c r="J602" s="35">
        <v>0</v>
      </c>
      <c r="K602" s="35">
        <v>0</v>
      </c>
      <c r="L602" s="36">
        <v>890</v>
      </c>
      <c r="M602" s="35">
        <v>1.01</v>
      </c>
      <c r="N602" s="21">
        <v>4.5393258426966296</v>
      </c>
      <c r="O602" s="12">
        <v>0</v>
      </c>
      <c r="P602" s="35">
        <v>10</v>
      </c>
      <c r="Q602" s="35" t="s">
        <v>1</v>
      </c>
      <c r="R602" s="35">
        <v>1080</v>
      </c>
      <c r="S602" s="35">
        <v>75</v>
      </c>
      <c r="T602" s="21">
        <v>1.994866</v>
      </c>
      <c r="U602" s="21">
        <v>0.25268091103205098</v>
      </c>
      <c r="V602" s="37" t="s">
        <v>6</v>
      </c>
      <c r="W602" s="37" t="s">
        <v>6</v>
      </c>
      <c r="X602" s="35" t="s">
        <v>6</v>
      </c>
      <c r="Y602" s="23" t="s">
        <v>6</v>
      </c>
      <c r="Z602" s="21" t="s">
        <v>6</v>
      </c>
      <c r="AA602" s="35" t="s">
        <v>6</v>
      </c>
      <c r="AB602" s="35" t="s">
        <v>6</v>
      </c>
      <c r="AC602" s="1" t="s">
        <v>120</v>
      </c>
    </row>
    <row r="603" spans="1:29">
      <c r="A603" s="35" t="s">
        <v>7</v>
      </c>
      <c r="B603" s="35" t="s">
        <v>114</v>
      </c>
      <c r="C603" s="49" t="s">
        <v>116</v>
      </c>
      <c r="D603" s="36">
        <v>6700</v>
      </c>
      <c r="E603" s="12">
        <v>49</v>
      </c>
      <c r="F603" s="21">
        <v>9.4444444444444446</v>
      </c>
      <c r="G603" s="35">
        <v>0</v>
      </c>
      <c r="H603" s="35">
        <v>0</v>
      </c>
      <c r="I603" s="35">
        <v>0</v>
      </c>
      <c r="J603" s="35">
        <v>0</v>
      </c>
      <c r="K603" s="35">
        <v>0</v>
      </c>
      <c r="L603" s="36">
        <v>890</v>
      </c>
      <c r="M603" s="35">
        <v>1.01</v>
      </c>
      <c r="N603" s="21">
        <v>4.5393258426966296</v>
      </c>
      <c r="O603" s="12">
        <v>0</v>
      </c>
      <c r="P603" s="35">
        <v>0.04</v>
      </c>
      <c r="Q603" s="35" t="s">
        <v>1</v>
      </c>
      <c r="R603" s="35">
        <v>1080</v>
      </c>
      <c r="S603" s="35">
        <v>75</v>
      </c>
      <c r="T603" s="35">
        <v>0</v>
      </c>
      <c r="U603" s="21">
        <v>0</v>
      </c>
      <c r="V603" s="37" t="s">
        <v>6</v>
      </c>
      <c r="W603" s="37" t="s">
        <v>6</v>
      </c>
      <c r="X603" s="35" t="s">
        <v>6</v>
      </c>
      <c r="Y603" s="23" t="s">
        <v>6</v>
      </c>
      <c r="Z603" s="21" t="s">
        <v>6</v>
      </c>
      <c r="AA603" s="35" t="s">
        <v>6</v>
      </c>
      <c r="AB603" s="35" t="s">
        <v>6</v>
      </c>
      <c r="AC603" s="1" t="s">
        <v>120</v>
      </c>
    </row>
    <row r="604" spans="1:29">
      <c r="A604" s="35" t="s">
        <v>7</v>
      </c>
      <c r="B604" s="35" t="s">
        <v>114</v>
      </c>
      <c r="C604" s="49" t="s">
        <v>119</v>
      </c>
      <c r="D604" s="36">
        <v>36000</v>
      </c>
      <c r="E604" s="12">
        <v>10</v>
      </c>
      <c r="F604" s="21">
        <v>1.0555555555555556</v>
      </c>
      <c r="G604" s="35">
        <v>0</v>
      </c>
      <c r="H604" s="35">
        <v>0</v>
      </c>
      <c r="I604" s="35">
        <v>0</v>
      </c>
      <c r="J604" s="35">
        <v>0</v>
      </c>
      <c r="K604" s="35">
        <v>0</v>
      </c>
      <c r="L604" s="36">
        <v>890</v>
      </c>
      <c r="M604" s="35">
        <v>1.01</v>
      </c>
      <c r="N604" s="21">
        <v>4.5393258426966296</v>
      </c>
      <c r="O604" s="12">
        <v>0</v>
      </c>
      <c r="P604" s="35">
        <v>0.04</v>
      </c>
      <c r="Q604" s="35" t="s">
        <v>1</v>
      </c>
      <c r="R604" s="35">
        <v>1080</v>
      </c>
      <c r="S604" s="35">
        <v>35</v>
      </c>
      <c r="T604" s="21">
        <v>5.7373705485386603E-2</v>
      </c>
      <c r="U604" s="21">
        <v>2.97430104786362E-2</v>
      </c>
      <c r="V604" s="37" t="s">
        <v>6</v>
      </c>
      <c r="W604" s="37" t="s">
        <v>6</v>
      </c>
      <c r="X604" s="35" t="s">
        <v>6</v>
      </c>
      <c r="Y604" s="23" t="s">
        <v>6</v>
      </c>
      <c r="Z604" s="21" t="s">
        <v>6</v>
      </c>
      <c r="AA604" s="35" t="s">
        <v>6</v>
      </c>
      <c r="AB604" s="35" t="s">
        <v>6</v>
      </c>
      <c r="AC604" s="1" t="s">
        <v>120</v>
      </c>
    </row>
    <row r="605" spans="1:29">
      <c r="A605" s="35" t="s">
        <v>7</v>
      </c>
      <c r="B605" s="35" t="s">
        <v>114</v>
      </c>
      <c r="C605" s="49" t="s">
        <v>119</v>
      </c>
      <c r="D605" s="36">
        <v>36000</v>
      </c>
      <c r="E605" s="12">
        <v>20</v>
      </c>
      <c r="F605" s="21">
        <v>2.5</v>
      </c>
      <c r="G605" s="35">
        <v>0</v>
      </c>
      <c r="H605" s="35">
        <v>0</v>
      </c>
      <c r="I605" s="35">
        <v>0</v>
      </c>
      <c r="J605" s="35">
        <v>0</v>
      </c>
      <c r="K605" s="35">
        <v>0</v>
      </c>
      <c r="L605" s="36">
        <v>890</v>
      </c>
      <c r="M605" s="35">
        <v>1.01</v>
      </c>
      <c r="N605" s="21">
        <v>4.5393258426966296</v>
      </c>
      <c r="O605" s="12">
        <v>0</v>
      </c>
      <c r="P605" s="35">
        <v>0.04</v>
      </c>
      <c r="Q605" s="35" t="s">
        <v>1</v>
      </c>
      <c r="R605" s="35">
        <v>1080</v>
      </c>
      <c r="S605" s="35">
        <v>35</v>
      </c>
      <c r="T605" s="21">
        <v>0.137264904925503</v>
      </c>
      <c r="U605" s="21">
        <v>3.7884560787704302E-2</v>
      </c>
      <c r="V605" s="37" t="s">
        <v>6</v>
      </c>
      <c r="W605" s="37" t="s">
        <v>6</v>
      </c>
      <c r="X605" s="35" t="s">
        <v>6</v>
      </c>
      <c r="Y605" s="23" t="s">
        <v>6</v>
      </c>
      <c r="Z605" s="21" t="s">
        <v>6</v>
      </c>
      <c r="AA605" s="35" t="s">
        <v>6</v>
      </c>
      <c r="AB605" s="35" t="s">
        <v>6</v>
      </c>
      <c r="AC605" s="1" t="s">
        <v>120</v>
      </c>
    </row>
    <row r="606" spans="1:29">
      <c r="A606" s="35" t="s">
        <v>7</v>
      </c>
      <c r="B606" s="35" t="s">
        <v>114</v>
      </c>
      <c r="C606" s="49" t="s">
        <v>119</v>
      </c>
      <c r="D606" s="36">
        <v>36000</v>
      </c>
      <c r="E606" s="12">
        <v>28.000000000000004</v>
      </c>
      <c r="F606" s="21">
        <v>3.8888888888888888</v>
      </c>
      <c r="G606" s="35">
        <v>0</v>
      </c>
      <c r="H606" s="35">
        <v>0</v>
      </c>
      <c r="I606" s="35">
        <v>0</v>
      </c>
      <c r="J606" s="35">
        <v>0</v>
      </c>
      <c r="K606" s="35">
        <v>0</v>
      </c>
      <c r="L606" s="36">
        <v>890</v>
      </c>
      <c r="M606" s="35">
        <v>1.01</v>
      </c>
      <c r="N606" s="21">
        <v>4.5393258426966296</v>
      </c>
      <c r="O606" s="12">
        <v>0</v>
      </c>
      <c r="P606" s="35">
        <v>0.04</v>
      </c>
      <c r="Q606" s="35" t="s">
        <v>1</v>
      </c>
      <c r="R606" s="35">
        <v>1080</v>
      </c>
      <c r="S606" s="35">
        <v>35</v>
      </c>
      <c r="T606" s="21">
        <v>0.37768732723560799</v>
      </c>
      <c r="U606" s="21">
        <v>7.4416101547276403E-2</v>
      </c>
      <c r="V606" s="37" t="s">
        <v>6</v>
      </c>
      <c r="W606" s="37" t="s">
        <v>6</v>
      </c>
      <c r="X606" s="35" t="s">
        <v>6</v>
      </c>
      <c r="Y606" s="23" t="s">
        <v>6</v>
      </c>
      <c r="Z606" s="21" t="s">
        <v>6</v>
      </c>
      <c r="AA606" s="35" t="s">
        <v>6</v>
      </c>
      <c r="AB606" s="35" t="s">
        <v>6</v>
      </c>
      <c r="AC606" s="1" t="s">
        <v>120</v>
      </c>
    </row>
    <row r="607" spans="1:29">
      <c r="A607" s="35" t="s">
        <v>7</v>
      </c>
      <c r="B607" s="35" t="s">
        <v>114</v>
      </c>
      <c r="C607" s="49" t="s">
        <v>119</v>
      </c>
      <c r="D607" s="36">
        <v>36000</v>
      </c>
      <c r="E607" s="12">
        <v>37</v>
      </c>
      <c r="F607" s="21">
        <v>5.7777777777777777</v>
      </c>
      <c r="G607" s="35">
        <v>0</v>
      </c>
      <c r="H607" s="35">
        <v>0</v>
      </c>
      <c r="I607" s="35">
        <v>0</v>
      </c>
      <c r="J607" s="35">
        <v>0</v>
      </c>
      <c r="K607" s="35">
        <v>0</v>
      </c>
      <c r="L607" s="36">
        <v>890</v>
      </c>
      <c r="M607" s="35">
        <v>1.01</v>
      </c>
      <c r="N607" s="21">
        <v>4.5393258426966296</v>
      </c>
      <c r="O607" s="12">
        <v>0</v>
      </c>
      <c r="P607" s="35">
        <v>0.04</v>
      </c>
      <c r="Q607" s="35" t="s">
        <v>1</v>
      </c>
      <c r="R607" s="35">
        <v>1080</v>
      </c>
      <c r="S607" s="35">
        <v>35</v>
      </c>
      <c r="T607" s="21">
        <v>0.76875411853194398</v>
      </c>
      <c r="U607" s="21">
        <v>0.116551962485966</v>
      </c>
      <c r="V607" s="37" t="s">
        <v>6</v>
      </c>
      <c r="W607" s="37" t="s">
        <v>6</v>
      </c>
      <c r="X607" s="35" t="s">
        <v>6</v>
      </c>
      <c r="Y607" s="23" t="s">
        <v>6</v>
      </c>
      <c r="Z607" s="21" t="s">
        <v>6</v>
      </c>
      <c r="AA607" s="35" t="s">
        <v>6</v>
      </c>
      <c r="AB607" s="35" t="s">
        <v>6</v>
      </c>
      <c r="AC607" s="1" t="s">
        <v>120</v>
      </c>
    </row>
    <row r="608" spans="1:29">
      <c r="A608" s="35" t="s">
        <v>7</v>
      </c>
      <c r="B608" s="35" t="s">
        <v>114</v>
      </c>
      <c r="C608" s="49" t="s">
        <v>119</v>
      </c>
      <c r="D608" s="36">
        <v>36000</v>
      </c>
      <c r="E608" s="12">
        <v>45</v>
      </c>
      <c r="F608" s="21">
        <v>8.0555555555555554</v>
      </c>
      <c r="G608" s="35">
        <v>0</v>
      </c>
      <c r="H608" s="35">
        <v>0</v>
      </c>
      <c r="I608" s="35">
        <v>0</v>
      </c>
      <c r="J608" s="35">
        <v>0</v>
      </c>
      <c r="K608" s="35">
        <v>0</v>
      </c>
      <c r="L608" s="36">
        <v>890</v>
      </c>
      <c r="M608" s="35">
        <v>1.01</v>
      </c>
      <c r="N608" s="21">
        <v>4.5393258426966296</v>
      </c>
      <c r="O608" s="12">
        <v>0</v>
      </c>
      <c r="P608" s="35">
        <v>10</v>
      </c>
      <c r="Q608" s="35" t="s">
        <v>1</v>
      </c>
      <c r="R608" s="35">
        <v>1080</v>
      </c>
      <c r="S608" s="35">
        <v>25</v>
      </c>
      <c r="T608" s="21">
        <v>1.2405005025876801</v>
      </c>
      <c r="U608" s="21">
        <v>0.172078010847662</v>
      </c>
      <c r="V608" s="37" t="s">
        <v>6</v>
      </c>
      <c r="W608" s="37" t="s">
        <v>6</v>
      </c>
      <c r="X608" s="35" t="s">
        <v>6</v>
      </c>
      <c r="Y608" s="23" t="s">
        <v>6</v>
      </c>
      <c r="Z608" s="21" t="s">
        <v>6</v>
      </c>
      <c r="AA608" s="35" t="s">
        <v>6</v>
      </c>
      <c r="AB608" s="35" t="s">
        <v>6</v>
      </c>
      <c r="AC608" s="1" t="s">
        <v>120</v>
      </c>
    </row>
    <row r="609" spans="1:29">
      <c r="A609" s="35" t="s">
        <v>7</v>
      </c>
      <c r="B609" s="35" t="s">
        <v>114</v>
      </c>
      <c r="C609" s="49" t="s">
        <v>119</v>
      </c>
      <c r="D609" s="36">
        <v>36000</v>
      </c>
      <c r="E609" s="12">
        <v>45</v>
      </c>
      <c r="F609" s="21">
        <v>8.0555555555555554</v>
      </c>
      <c r="G609" s="35">
        <v>0</v>
      </c>
      <c r="H609" s="35">
        <v>0</v>
      </c>
      <c r="I609" s="35">
        <v>0</v>
      </c>
      <c r="J609" s="35">
        <v>0</v>
      </c>
      <c r="K609" s="35">
        <v>0</v>
      </c>
      <c r="L609" s="36">
        <v>890</v>
      </c>
      <c r="M609" s="35">
        <v>1.01</v>
      </c>
      <c r="N609" s="21">
        <v>4.5393258426966296</v>
      </c>
      <c r="O609" s="12">
        <v>0</v>
      </c>
      <c r="P609" s="35">
        <v>0.04</v>
      </c>
      <c r="Q609" s="35" t="s">
        <v>1</v>
      </c>
      <c r="R609" s="35">
        <v>1080</v>
      </c>
      <c r="S609" s="35">
        <v>25</v>
      </c>
      <c r="T609" s="21">
        <v>0.92583733469192597</v>
      </c>
      <c r="U609" s="21">
        <v>0.10814888460821399</v>
      </c>
      <c r="V609" s="37" t="s">
        <v>6</v>
      </c>
      <c r="W609" s="37" t="s">
        <v>6</v>
      </c>
      <c r="X609" s="35" t="s">
        <v>6</v>
      </c>
      <c r="Y609" s="23" t="s">
        <v>6</v>
      </c>
      <c r="Z609" s="21" t="s">
        <v>6</v>
      </c>
      <c r="AA609" s="35" t="s">
        <v>6</v>
      </c>
      <c r="AB609" s="35" t="s">
        <v>6</v>
      </c>
      <c r="AC609" s="1" t="s">
        <v>120</v>
      </c>
    </row>
    <row r="610" spans="1:29">
      <c r="A610" s="35" t="s">
        <v>7</v>
      </c>
      <c r="B610" s="35" t="s">
        <v>114</v>
      </c>
      <c r="C610" s="49" t="s">
        <v>119</v>
      </c>
      <c r="D610" s="36">
        <v>36000</v>
      </c>
      <c r="E610" s="12">
        <v>45</v>
      </c>
      <c r="F610" s="21">
        <v>8.0555555555555554</v>
      </c>
      <c r="G610" s="35">
        <v>0</v>
      </c>
      <c r="H610" s="35">
        <v>0</v>
      </c>
      <c r="I610" s="35">
        <v>0</v>
      </c>
      <c r="J610" s="35">
        <v>0</v>
      </c>
      <c r="K610" s="35">
        <v>0</v>
      </c>
      <c r="L610" s="36">
        <v>890</v>
      </c>
      <c r="M610" s="35">
        <v>1.01</v>
      </c>
      <c r="N610" s="21">
        <v>4.5393258426966296</v>
      </c>
      <c r="O610" s="12">
        <v>0</v>
      </c>
      <c r="P610" s="35">
        <v>10</v>
      </c>
      <c r="Q610" s="35" t="s">
        <v>1</v>
      </c>
      <c r="R610" s="35">
        <v>1080</v>
      </c>
      <c r="S610" s="35">
        <v>35</v>
      </c>
      <c r="T610" s="21">
        <v>1.51537957664609</v>
      </c>
      <c r="U610" s="21">
        <v>0.19440963684299201</v>
      </c>
      <c r="V610" s="37" t="s">
        <v>6</v>
      </c>
      <c r="W610" s="37" t="s">
        <v>6</v>
      </c>
      <c r="X610" s="35" t="s">
        <v>6</v>
      </c>
      <c r="Y610" s="23" t="s">
        <v>6</v>
      </c>
      <c r="Z610" s="21" t="s">
        <v>6</v>
      </c>
      <c r="AA610" s="35" t="s">
        <v>6</v>
      </c>
      <c r="AB610" s="35" t="s">
        <v>6</v>
      </c>
      <c r="AC610" s="1" t="s">
        <v>120</v>
      </c>
    </row>
    <row r="611" spans="1:29">
      <c r="A611" s="35" t="s">
        <v>7</v>
      </c>
      <c r="B611" s="35" t="s">
        <v>114</v>
      </c>
      <c r="C611" s="49" t="s">
        <v>119</v>
      </c>
      <c r="D611" s="36">
        <v>36000</v>
      </c>
      <c r="E611" s="12">
        <v>45</v>
      </c>
      <c r="F611" s="21">
        <v>8.0555555555555554</v>
      </c>
      <c r="G611" s="35">
        <v>0</v>
      </c>
      <c r="H611" s="35">
        <v>0</v>
      </c>
      <c r="I611" s="35">
        <v>0</v>
      </c>
      <c r="J611" s="35">
        <v>0</v>
      </c>
      <c r="K611" s="35">
        <v>0</v>
      </c>
      <c r="L611" s="36">
        <v>890</v>
      </c>
      <c r="M611" s="35">
        <v>1.01</v>
      </c>
      <c r="N611" s="21">
        <v>4.5393258426966296</v>
      </c>
      <c r="O611" s="12">
        <v>0</v>
      </c>
      <c r="P611" s="35">
        <v>0.04</v>
      </c>
      <c r="Q611" s="35" t="s">
        <v>1</v>
      </c>
      <c r="R611" s="35">
        <v>1080</v>
      </c>
      <c r="S611" s="35">
        <v>35</v>
      </c>
      <c r="T611" s="21">
        <v>1.0725674630984301</v>
      </c>
      <c r="U611" s="21">
        <v>0.1</v>
      </c>
      <c r="V611" s="37">
        <v>38.92</v>
      </c>
      <c r="W611" s="37">
        <v>383.23</v>
      </c>
      <c r="X611" s="35" t="s">
        <v>6</v>
      </c>
      <c r="Y611" s="23" t="s">
        <v>6</v>
      </c>
      <c r="Z611" s="21" t="s">
        <v>6</v>
      </c>
      <c r="AA611" s="35" t="s">
        <v>6</v>
      </c>
      <c r="AB611" s="35" t="s">
        <v>6</v>
      </c>
      <c r="AC611" s="1" t="s">
        <v>120</v>
      </c>
    </row>
    <row r="612" spans="1:29">
      <c r="A612" s="35" t="s">
        <v>7</v>
      </c>
      <c r="B612" s="35" t="s">
        <v>114</v>
      </c>
      <c r="C612" s="49" t="s">
        <v>119</v>
      </c>
      <c r="D612" s="36">
        <v>36000</v>
      </c>
      <c r="E612" s="12">
        <v>45</v>
      </c>
      <c r="F612" s="21">
        <v>8.0555555555555554</v>
      </c>
      <c r="G612" s="35">
        <v>0</v>
      </c>
      <c r="H612" s="35">
        <v>0</v>
      </c>
      <c r="I612" s="35">
        <v>0</v>
      </c>
      <c r="J612" s="35">
        <v>0</v>
      </c>
      <c r="K612" s="35">
        <v>0</v>
      </c>
      <c r="L612" s="36">
        <v>890</v>
      </c>
      <c r="M612" s="35">
        <v>1.01</v>
      </c>
      <c r="N612" s="21">
        <v>4.5393258426966296</v>
      </c>
      <c r="O612" s="12">
        <v>0</v>
      </c>
      <c r="P612" s="35">
        <v>10</v>
      </c>
      <c r="Q612" s="35" t="s">
        <v>1</v>
      </c>
      <c r="R612" s="35">
        <v>1080</v>
      </c>
      <c r="S612" s="35">
        <v>45</v>
      </c>
      <c r="T612" s="21">
        <v>1.7140148199437799</v>
      </c>
      <c r="U612" s="21">
        <v>0.218319411279083</v>
      </c>
      <c r="V612" s="37" t="s">
        <v>6</v>
      </c>
      <c r="W612" s="37" t="s">
        <v>6</v>
      </c>
      <c r="X612" s="35" t="s">
        <v>6</v>
      </c>
      <c r="Y612" s="23" t="s">
        <v>6</v>
      </c>
      <c r="Z612" s="21" t="s">
        <v>6</v>
      </c>
      <c r="AA612" s="35" t="s">
        <v>6</v>
      </c>
      <c r="AB612" s="35" t="s">
        <v>6</v>
      </c>
      <c r="AC612" s="1" t="s">
        <v>120</v>
      </c>
    </row>
    <row r="613" spans="1:29">
      <c r="A613" s="35" t="s">
        <v>7</v>
      </c>
      <c r="B613" s="35" t="s">
        <v>114</v>
      </c>
      <c r="C613" s="49" t="s">
        <v>119</v>
      </c>
      <c r="D613" s="36">
        <v>36000</v>
      </c>
      <c r="E613" s="12">
        <v>45</v>
      </c>
      <c r="F613" s="21">
        <v>8.0555555555555554</v>
      </c>
      <c r="G613" s="35">
        <v>0</v>
      </c>
      <c r="H613" s="35">
        <v>0</v>
      </c>
      <c r="I613" s="35">
        <v>0</v>
      </c>
      <c r="J613" s="35">
        <v>0</v>
      </c>
      <c r="K613" s="35">
        <v>0</v>
      </c>
      <c r="L613" s="36">
        <v>890</v>
      </c>
      <c r="M613" s="35">
        <v>1.01</v>
      </c>
      <c r="N613" s="21">
        <v>4.5393258426966296</v>
      </c>
      <c r="O613" s="12">
        <v>0</v>
      </c>
      <c r="P613" s="35">
        <v>0.04</v>
      </c>
      <c r="Q613" s="35" t="s">
        <v>1</v>
      </c>
      <c r="R613" s="35">
        <v>1080</v>
      </c>
      <c r="S613" s="35">
        <v>45</v>
      </c>
      <c r="T613" s="21">
        <v>0.37407276997613897</v>
      </c>
      <c r="U613" s="21">
        <v>4.7472192878891303E-2</v>
      </c>
      <c r="V613" s="37" t="s">
        <v>6</v>
      </c>
      <c r="W613" s="37" t="s">
        <v>6</v>
      </c>
      <c r="X613" s="35" t="s">
        <v>6</v>
      </c>
      <c r="Y613" s="23" t="s">
        <v>6</v>
      </c>
      <c r="Z613" s="21" t="s">
        <v>6</v>
      </c>
      <c r="AA613" s="35" t="s">
        <v>6</v>
      </c>
      <c r="AB613" s="35" t="s">
        <v>6</v>
      </c>
      <c r="AC613" s="1" t="s">
        <v>120</v>
      </c>
    </row>
    <row r="614" spans="1:29">
      <c r="A614" s="35" t="s">
        <v>7</v>
      </c>
      <c r="B614" s="35" t="s">
        <v>114</v>
      </c>
      <c r="C614" s="49" t="s">
        <v>119</v>
      </c>
      <c r="D614" s="36">
        <v>36000</v>
      </c>
      <c r="E614" s="12">
        <v>45</v>
      </c>
      <c r="F614" s="21">
        <v>8.0555555555555554</v>
      </c>
      <c r="G614" s="35">
        <v>0</v>
      </c>
      <c r="H614" s="35">
        <v>0</v>
      </c>
      <c r="I614" s="35">
        <v>0</v>
      </c>
      <c r="J614" s="35">
        <v>0</v>
      </c>
      <c r="K614" s="35">
        <v>0</v>
      </c>
      <c r="L614" s="36">
        <v>890</v>
      </c>
      <c r="M614" s="35">
        <v>1.01</v>
      </c>
      <c r="N614" s="21">
        <v>4.5393258426966296</v>
      </c>
      <c r="O614" s="12">
        <v>0</v>
      </c>
      <c r="P614" s="35">
        <v>10</v>
      </c>
      <c r="Q614" s="35" t="s">
        <v>1</v>
      </c>
      <c r="R614" s="35">
        <v>1080</v>
      </c>
      <c r="S614" s="35">
        <v>55</v>
      </c>
      <c r="T614" s="21">
        <v>2.0831979329974799</v>
      </c>
      <c r="U614" s="21">
        <v>0.23659008797081199</v>
      </c>
      <c r="V614" s="37" t="s">
        <v>6</v>
      </c>
      <c r="W614" s="37" t="s">
        <v>6</v>
      </c>
      <c r="X614" s="35" t="s">
        <v>6</v>
      </c>
      <c r="Y614" s="23" t="s">
        <v>6</v>
      </c>
      <c r="Z614" s="21" t="s">
        <v>6</v>
      </c>
      <c r="AA614" s="35" t="s">
        <v>6</v>
      </c>
      <c r="AB614" s="35" t="s">
        <v>6</v>
      </c>
      <c r="AC614" s="1" t="s">
        <v>120</v>
      </c>
    </row>
    <row r="615" spans="1:29">
      <c r="A615" s="35" t="s">
        <v>7</v>
      </c>
      <c r="B615" s="35" t="s">
        <v>114</v>
      </c>
      <c r="C615" s="49" t="s">
        <v>119</v>
      </c>
      <c r="D615" s="36">
        <v>36000</v>
      </c>
      <c r="E615" s="12">
        <v>45</v>
      </c>
      <c r="F615" s="21">
        <v>8.0555555555555554</v>
      </c>
      <c r="G615" s="35">
        <v>0</v>
      </c>
      <c r="H615" s="35">
        <v>0</v>
      </c>
      <c r="I615" s="35">
        <v>0</v>
      </c>
      <c r="J615" s="35">
        <v>0</v>
      </c>
      <c r="K615" s="35">
        <v>0</v>
      </c>
      <c r="L615" s="36">
        <v>890</v>
      </c>
      <c r="M615" s="35">
        <v>1.01</v>
      </c>
      <c r="N615" s="21">
        <v>4.5393258426966296</v>
      </c>
      <c r="O615" s="12">
        <v>0</v>
      </c>
      <c r="P615" s="35">
        <v>0.04</v>
      </c>
      <c r="Q615" s="35" t="s">
        <v>1</v>
      </c>
      <c r="R615" s="35">
        <v>1080</v>
      </c>
      <c r="S615" s="35">
        <v>55</v>
      </c>
      <c r="T615" s="23">
        <v>0.18948244287122101</v>
      </c>
      <c r="U615" s="21">
        <v>2.19834710743801E-2</v>
      </c>
      <c r="V615" s="37" t="s">
        <v>6</v>
      </c>
      <c r="W615" s="37" t="s">
        <v>6</v>
      </c>
      <c r="X615" s="35" t="s">
        <v>6</v>
      </c>
      <c r="Y615" s="23" t="s">
        <v>6</v>
      </c>
      <c r="Z615" s="21" t="s">
        <v>6</v>
      </c>
      <c r="AA615" s="35" t="s">
        <v>6</v>
      </c>
      <c r="AB615" s="35" t="s">
        <v>6</v>
      </c>
      <c r="AC615" s="1" t="s">
        <v>120</v>
      </c>
    </row>
    <row r="616" spans="1:29">
      <c r="A616" s="35" t="s">
        <v>7</v>
      </c>
      <c r="B616" s="35" t="s">
        <v>114</v>
      </c>
      <c r="C616" s="49" t="s">
        <v>118</v>
      </c>
      <c r="D616" s="36">
        <v>36000</v>
      </c>
      <c r="E616" s="12">
        <v>45</v>
      </c>
      <c r="F616" s="21">
        <v>8.0555555555555554</v>
      </c>
      <c r="G616" s="35">
        <v>0</v>
      </c>
      <c r="H616" s="35">
        <v>0</v>
      </c>
      <c r="I616" s="35">
        <v>0</v>
      </c>
      <c r="J616" s="35">
        <v>0</v>
      </c>
      <c r="K616" s="35">
        <v>0</v>
      </c>
      <c r="L616" s="36">
        <v>890</v>
      </c>
      <c r="M616" s="35">
        <v>1.01</v>
      </c>
      <c r="N616" s="21">
        <v>4.5393258426966296</v>
      </c>
      <c r="O616" s="12">
        <v>0</v>
      </c>
      <c r="P616" s="35">
        <v>10</v>
      </c>
      <c r="Q616" s="35" t="s">
        <v>1</v>
      </c>
      <c r="R616" s="35">
        <v>1080</v>
      </c>
      <c r="S616" s="35">
        <v>65</v>
      </c>
      <c r="T616" s="21">
        <v>2.2978845090869</v>
      </c>
      <c r="U616" s="21">
        <v>0.26839459924900699</v>
      </c>
      <c r="V616" s="37" t="s">
        <v>6</v>
      </c>
      <c r="W616" s="37" t="s">
        <v>6</v>
      </c>
      <c r="X616" s="35" t="s">
        <v>6</v>
      </c>
      <c r="Y616" s="23" t="s">
        <v>6</v>
      </c>
      <c r="Z616" s="21" t="s">
        <v>6</v>
      </c>
      <c r="AA616" s="35" t="s">
        <v>6</v>
      </c>
      <c r="AB616" s="35" t="s">
        <v>6</v>
      </c>
      <c r="AC616" s="1" t="s">
        <v>120</v>
      </c>
    </row>
    <row r="617" spans="1:29">
      <c r="A617" s="35" t="s">
        <v>7</v>
      </c>
      <c r="B617" s="35" t="s">
        <v>114</v>
      </c>
      <c r="C617" s="49" t="s">
        <v>118</v>
      </c>
      <c r="D617" s="36">
        <v>36000</v>
      </c>
      <c r="E617" s="12">
        <v>45</v>
      </c>
      <c r="F617" s="21">
        <v>8.0555555555555554</v>
      </c>
      <c r="G617" s="35">
        <v>0</v>
      </c>
      <c r="H617" s="35">
        <v>0</v>
      </c>
      <c r="I617" s="35">
        <v>0</v>
      </c>
      <c r="J617" s="35">
        <v>0</v>
      </c>
      <c r="K617" s="35">
        <v>0</v>
      </c>
      <c r="L617" s="36">
        <v>890</v>
      </c>
      <c r="M617" s="35">
        <v>1.01</v>
      </c>
      <c r="N617" s="21">
        <v>4.5393258426966296</v>
      </c>
      <c r="O617" s="12">
        <v>0</v>
      </c>
      <c r="P617" s="35">
        <v>0.04</v>
      </c>
      <c r="Q617" s="35" t="s">
        <v>1</v>
      </c>
      <c r="R617" s="35">
        <v>1080</v>
      </c>
      <c r="S617" s="35">
        <v>65</v>
      </c>
      <c r="T617" s="35">
        <v>0</v>
      </c>
      <c r="U617" s="21">
        <v>0</v>
      </c>
      <c r="V617" s="37" t="s">
        <v>6</v>
      </c>
      <c r="W617" s="37" t="s">
        <v>6</v>
      </c>
      <c r="X617" s="35" t="s">
        <v>6</v>
      </c>
      <c r="Y617" s="23" t="s">
        <v>6</v>
      </c>
      <c r="Z617" s="21" t="s">
        <v>6</v>
      </c>
      <c r="AA617" s="35" t="s">
        <v>6</v>
      </c>
      <c r="AB617" s="35" t="s">
        <v>6</v>
      </c>
      <c r="AC617" s="1" t="s">
        <v>120</v>
      </c>
    </row>
    <row r="618" spans="1:29">
      <c r="A618" s="35" t="s">
        <v>7</v>
      </c>
      <c r="B618" s="35" t="s">
        <v>114</v>
      </c>
      <c r="C618" s="49" t="s">
        <v>118</v>
      </c>
      <c r="D618" s="36">
        <v>36000</v>
      </c>
      <c r="E618" s="12">
        <v>45</v>
      </c>
      <c r="F618" s="21">
        <v>8.0555555555555554</v>
      </c>
      <c r="G618" s="35">
        <v>0</v>
      </c>
      <c r="H618" s="35">
        <v>0</v>
      </c>
      <c r="I618" s="35">
        <v>0</v>
      </c>
      <c r="J618" s="35">
        <v>0</v>
      </c>
      <c r="K618" s="35">
        <v>0</v>
      </c>
      <c r="L618" s="36">
        <v>890</v>
      </c>
      <c r="M618" s="35">
        <v>1.01</v>
      </c>
      <c r="N618" s="21">
        <v>4.5393258426966296</v>
      </c>
      <c r="O618" s="12">
        <v>0</v>
      </c>
      <c r="P618" s="35">
        <v>10</v>
      </c>
      <c r="Q618" s="35" t="s">
        <v>1</v>
      </c>
      <c r="R618" s="35">
        <v>1080</v>
      </c>
      <c r="S618" s="35">
        <v>75</v>
      </c>
      <c r="T618" s="21">
        <v>2.17348667995098</v>
      </c>
      <c r="U618" s="21">
        <v>0.24989835864750401</v>
      </c>
      <c r="V618" s="37" t="s">
        <v>6</v>
      </c>
      <c r="W618" s="37" t="s">
        <v>6</v>
      </c>
      <c r="X618" s="35" t="s">
        <v>6</v>
      </c>
      <c r="Y618" s="23" t="s">
        <v>6</v>
      </c>
      <c r="Z618" s="21" t="s">
        <v>6</v>
      </c>
      <c r="AA618" s="35" t="s">
        <v>6</v>
      </c>
      <c r="AB618" s="35" t="s">
        <v>6</v>
      </c>
      <c r="AC618" s="1" t="s">
        <v>120</v>
      </c>
    </row>
    <row r="619" spans="1:29">
      <c r="A619" s="35" t="s">
        <v>7</v>
      </c>
      <c r="B619" s="35" t="s">
        <v>114</v>
      </c>
      <c r="C619" s="49" t="s">
        <v>118</v>
      </c>
      <c r="D619" s="36">
        <v>36000</v>
      </c>
      <c r="E619" s="12">
        <v>45</v>
      </c>
      <c r="F619" s="21">
        <v>8.0555555555555554</v>
      </c>
      <c r="G619" s="35">
        <v>0</v>
      </c>
      <c r="H619" s="35">
        <v>0</v>
      </c>
      <c r="I619" s="35">
        <v>0</v>
      </c>
      <c r="J619" s="35">
        <v>0</v>
      </c>
      <c r="K619" s="35">
        <v>0</v>
      </c>
      <c r="L619" s="36">
        <v>890</v>
      </c>
      <c r="M619" s="35">
        <v>1.01</v>
      </c>
      <c r="N619" s="21">
        <v>4.5393258426966296</v>
      </c>
      <c r="O619" s="12">
        <v>0</v>
      </c>
      <c r="P619" s="35">
        <v>0.04</v>
      </c>
      <c r="Q619" s="35" t="s">
        <v>1</v>
      </c>
      <c r="R619" s="35">
        <v>1080</v>
      </c>
      <c r="S619" s="35">
        <v>75</v>
      </c>
      <c r="T619" s="35">
        <v>0</v>
      </c>
      <c r="U619" s="21">
        <v>0</v>
      </c>
      <c r="V619" s="37" t="s">
        <v>6</v>
      </c>
      <c r="W619" s="37" t="s">
        <v>6</v>
      </c>
      <c r="X619" s="35" t="s">
        <v>6</v>
      </c>
      <c r="Y619" s="23" t="s">
        <v>6</v>
      </c>
      <c r="Z619" s="21" t="s">
        <v>6</v>
      </c>
      <c r="AA619" s="35" t="s">
        <v>6</v>
      </c>
      <c r="AB619" s="35" t="s">
        <v>6</v>
      </c>
      <c r="AC619" s="2" t="s">
        <v>120</v>
      </c>
    </row>
    <row r="620" spans="1:29">
      <c r="A620" s="35" t="s">
        <v>91</v>
      </c>
      <c r="B620" s="35" t="s">
        <v>113</v>
      </c>
      <c r="C620" s="35" t="s">
        <v>97</v>
      </c>
      <c r="D620" s="36">
        <v>1000</v>
      </c>
      <c r="E620" s="12">
        <v>45</v>
      </c>
      <c r="F620" s="21">
        <v>8.8184567005321703</v>
      </c>
      <c r="G620" s="35">
        <v>0</v>
      </c>
      <c r="H620" s="35">
        <v>0</v>
      </c>
      <c r="I620" s="35">
        <v>0</v>
      </c>
      <c r="J620" s="35">
        <v>0</v>
      </c>
      <c r="K620" s="35">
        <v>0</v>
      </c>
      <c r="L620" s="36">
        <v>660</v>
      </c>
      <c r="M620" s="35">
        <v>2.4700000000000002</v>
      </c>
      <c r="N620" s="21" t="s">
        <v>1</v>
      </c>
      <c r="O620" s="12">
        <v>0</v>
      </c>
      <c r="P620" s="35">
        <v>0.04</v>
      </c>
      <c r="Q620" s="35" t="s">
        <v>1</v>
      </c>
      <c r="R620" s="35">
        <v>1080</v>
      </c>
      <c r="S620" s="35">
        <v>35</v>
      </c>
      <c r="T620" s="35" t="s">
        <v>1</v>
      </c>
      <c r="U620" s="35" t="s">
        <v>1</v>
      </c>
      <c r="V620" s="21">
        <v>35.799999999999997</v>
      </c>
      <c r="W620" s="35">
        <v>115.9</v>
      </c>
      <c r="X620" s="35" t="s">
        <v>6</v>
      </c>
      <c r="Y620" s="23" t="s">
        <v>6</v>
      </c>
      <c r="Z620" s="21" t="s">
        <v>6</v>
      </c>
      <c r="AA620" s="35" t="s">
        <v>6</v>
      </c>
      <c r="AB620" s="35" t="s">
        <v>6</v>
      </c>
      <c r="AC620" s="2" t="s">
        <v>120</v>
      </c>
    </row>
    <row r="621" spans="1:29" ht="15.45" customHeight="1">
      <c r="A621" s="35" t="s">
        <v>8</v>
      </c>
      <c r="B621" s="35" t="s">
        <v>131</v>
      </c>
      <c r="C621" s="49" t="s">
        <v>96</v>
      </c>
      <c r="D621" s="36">
        <v>1813</v>
      </c>
      <c r="E621" s="12">
        <v>26</v>
      </c>
      <c r="F621" s="21">
        <f>3.3*(1-E621%)</f>
        <v>2.4419999999999997</v>
      </c>
      <c r="G621" s="35">
        <v>0</v>
      </c>
      <c r="H621" s="35">
        <v>0</v>
      </c>
      <c r="I621" s="35">
        <v>0</v>
      </c>
      <c r="J621" s="35">
        <v>0</v>
      </c>
      <c r="K621" s="35">
        <v>0</v>
      </c>
      <c r="L621" s="36">
        <v>700</v>
      </c>
      <c r="M621" s="35">
        <v>0.96</v>
      </c>
      <c r="N621" s="21">
        <v>3.52</v>
      </c>
      <c r="O621" s="12">
        <v>0</v>
      </c>
      <c r="P621" s="35">
        <v>0.04</v>
      </c>
      <c r="Q621" s="35" t="s">
        <v>1</v>
      </c>
      <c r="R621" s="35">
        <v>300</v>
      </c>
      <c r="S621" s="35">
        <v>35</v>
      </c>
      <c r="T621" s="21">
        <v>0.10017212227219685</v>
      </c>
      <c r="U621" s="21">
        <v>4.1368397898284198E-2</v>
      </c>
      <c r="V621" s="37" t="s">
        <v>6</v>
      </c>
      <c r="W621" s="37" t="s">
        <v>6</v>
      </c>
      <c r="X621" s="35" t="s">
        <v>6</v>
      </c>
      <c r="Y621" s="23" t="s">
        <v>6</v>
      </c>
      <c r="Z621" s="21" t="s">
        <v>6</v>
      </c>
      <c r="AA621" s="35" t="s">
        <v>6</v>
      </c>
      <c r="AB621" s="35" t="s">
        <v>6</v>
      </c>
      <c r="AC621" s="27" t="s">
        <v>130</v>
      </c>
    </row>
    <row r="622" spans="1:29">
      <c r="A622" s="35" t="s">
        <v>8</v>
      </c>
      <c r="B622" s="35" t="s">
        <v>131</v>
      </c>
      <c r="C622" s="49" t="s">
        <v>96</v>
      </c>
      <c r="D622" s="36">
        <v>1813</v>
      </c>
      <c r="E622" s="12">
        <v>26</v>
      </c>
      <c r="F622" s="21">
        <f>3.3*(1-E622%)</f>
        <v>2.4419999999999997</v>
      </c>
      <c r="G622" s="35">
        <v>0</v>
      </c>
      <c r="H622" s="35">
        <v>0</v>
      </c>
      <c r="I622" s="35">
        <v>0</v>
      </c>
      <c r="J622" s="35">
        <v>0</v>
      </c>
      <c r="K622" s="35">
        <v>0</v>
      </c>
      <c r="L622" s="36">
        <v>700</v>
      </c>
      <c r="M622" s="35">
        <v>0.96</v>
      </c>
      <c r="N622" s="21">
        <v>3.52</v>
      </c>
      <c r="O622" s="12">
        <v>0</v>
      </c>
      <c r="P622" s="35">
        <v>10</v>
      </c>
      <c r="Q622" s="35" t="s">
        <v>1</v>
      </c>
      <c r="R622" s="35">
        <v>300</v>
      </c>
      <c r="S622" s="35">
        <v>35</v>
      </c>
      <c r="T622" s="21">
        <v>0.40086432160803964</v>
      </c>
      <c r="U622" s="21">
        <v>0.16554117630536699</v>
      </c>
      <c r="V622" s="37" t="s">
        <v>6</v>
      </c>
      <c r="W622" s="37" t="s">
        <v>6</v>
      </c>
      <c r="X622" s="35" t="s">
        <v>6</v>
      </c>
      <c r="Y622" s="23" t="s">
        <v>6</v>
      </c>
      <c r="Z622" s="21" t="s">
        <v>6</v>
      </c>
      <c r="AA622" s="35" t="s">
        <v>6</v>
      </c>
      <c r="AB622" s="35" t="s">
        <v>6</v>
      </c>
      <c r="AC622" s="27" t="s">
        <v>130</v>
      </c>
    </row>
    <row r="623" spans="1:29">
      <c r="A623" s="35" t="s">
        <v>8</v>
      </c>
      <c r="B623" s="35" t="s">
        <v>131</v>
      </c>
      <c r="C623" s="49" t="s">
        <v>96</v>
      </c>
      <c r="D623" s="36">
        <v>1813</v>
      </c>
      <c r="E623" s="12">
        <v>31</v>
      </c>
      <c r="F623" s="21">
        <f>4.3*(1-E623%)</f>
        <v>2.9669999999999996</v>
      </c>
      <c r="G623" s="35">
        <v>0</v>
      </c>
      <c r="H623" s="35">
        <v>0</v>
      </c>
      <c r="I623" s="35">
        <v>0</v>
      </c>
      <c r="J623" s="35">
        <v>0</v>
      </c>
      <c r="K623" s="35">
        <v>0</v>
      </c>
      <c r="L623" s="36">
        <v>700</v>
      </c>
      <c r="M623" s="35">
        <v>0.96</v>
      </c>
      <c r="N623" s="21">
        <v>3.52</v>
      </c>
      <c r="O623" s="12">
        <v>0</v>
      </c>
      <c r="P623" s="35">
        <v>0.04</v>
      </c>
      <c r="Q623" s="35" t="s">
        <v>1</v>
      </c>
      <c r="R623" s="35">
        <v>300</v>
      </c>
      <c r="S623" s="35">
        <v>35</v>
      </c>
      <c r="T623" s="21">
        <v>0.20595270593869716</v>
      </c>
      <c r="U623" s="21">
        <v>7.04994065060221E-2</v>
      </c>
      <c r="V623" s="37">
        <v>1.1299999999999999</v>
      </c>
      <c r="W623" s="37">
        <v>103.16</v>
      </c>
      <c r="X623" s="35" t="s">
        <v>6</v>
      </c>
      <c r="Y623" s="23" t="s">
        <v>6</v>
      </c>
      <c r="Z623" s="21" t="s">
        <v>6</v>
      </c>
      <c r="AA623" s="35" t="s">
        <v>6</v>
      </c>
      <c r="AB623" s="35" t="s">
        <v>6</v>
      </c>
      <c r="AC623" s="27" t="s">
        <v>130</v>
      </c>
    </row>
    <row r="624" spans="1:29">
      <c r="A624" s="35" t="s">
        <v>8</v>
      </c>
      <c r="B624" s="35" t="s">
        <v>131</v>
      </c>
      <c r="C624" s="49" t="s">
        <v>132</v>
      </c>
      <c r="D624" s="36">
        <v>1813</v>
      </c>
      <c r="E624" s="12">
        <v>31</v>
      </c>
      <c r="F624" s="21">
        <f>4.3*(1-E624%)</f>
        <v>2.9669999999999996</v>
      </c>
      <c r="G624" s="35">
        <v>0</v>
      </c>
      <c r="H624" s="35">
        <v>0</v>
      </c>
      <c r="I624" s="35">
        <v>0</v>
      </c>
      <c r="J624" s="35">
        <v>0</v>
      </c>
      <c r="K624" s="35">
        <v>0</v>
      </c>
      <c r="L624" s="36">
        <v>700</v>
      </c>
      <c r="M624" s="35">
        <v>0.96</v>
      </c>
      <c r="N624" s="21">
        <v>3.52</v>
      </c>
      <c r="O624" s="12">
        <v>0</v>
      </c>
      <c r="P624" s="35">
        <v>10</v>
      </c>
      <c r="Q624" s="35" t="s">
        <v>1</v>
      </c>
      <c r="R624" s="35">
        <v>300</v>
      </c>
      <c r="S624" s="35">
        <v>35</v>
      </c>
      <c r="T624" s="21">
        <v>0.60262311557788928</v>
      </c>
      <c r="U624" s="21">
        <v>0.204423082324523</v>
      </c>
      <c r="V624" s="37">
        <v>6.8</v>
      </c>
      <c r="W624" s="37">
        <v>157.47999999999999</v>
      </c>
      <c r="X624" s="35" t="s">
        <v>6</v>
      </c>
      <c r="Y624" s="23" t="s">
        <v>6</v>
      </c>
      <c r="Z624" s="21" t="s">
        <v>6</v>
      </c>
      <c r="AA624" s="35" t="s">
        <v>6</v>
      </c>
      <c r="AB624" s="35" t="s">
        <v>6</v>
      </c>
      <c r="AC624" s="27" t="s">
        <v>130</v>
      </c>
    </row>
    <row r="625" spans="1:29">
      <c r="A625" s="35" t="s">
        <v>7</v>
      </c>
      <c r="B625" s="35" t="s">
        <v>131</v>
      </c>
      <c r="C625" s="49" t="s">
        <v>132</v>
      </c>
      <c r="D625" s="36">
        <v>1813</v>
      </c>
      <c r="E625" s="12">
        <v>41</v>
      </c>
      <c r="F625" s="21">
        <f>7.1*(1-E625%)</f>
        <v>4.1890000000000001</v>
      </c>
      <c r="G625" s="35">
        <v>0</v>
      </c>
      <c r="H625" s="35">
        <v>0</v>
      </c>
      <c r="I625" s="35">
        <v>0</v>
      </c>
      <c r="J625" s="35">
        <v>0</v>
      </c>
      <c r="K625" s="35">
        <v>0</v>
      </c>
      <c r="L625" s="36">
        <v>700</v>
      </c>
      <c r="M625" s="35">
        <v>0.96</v>
      </c>
      <c r="N625" s="21">
        <v>3.52</v>
      </c>
      <c r="O625" s="12">
        <v>0</v>
      </c>
      <c r="P625" s="35">
        <v>0.04</v>
      </c>
      <c r="Q625" s="35" t="s">
        <v>1</v>
      </c>
      <c r="R625" s="35">
        <v>300</v>
      </c>
      <c r="S625" s="35">
        <v>35</v>
      </c>
      <c r="T625" s="21">
        <v>0.39121295428674507</v>
      </c>
      <c r="U625" s="21">
        <v>9.3262286985465598E-2</v>
      </c>
      <c r="V625" s="37" t="s">
        <v>6</v>
      </c>
      <c r="W625" s="37" t="s">
        <v>6</v>
      </c>
      <c r="X625" s="35" t="s">
        <v>6</v>
      </c>
      <c r="Y625" s="23" t="s">
        <v>6</v>
      </c>
      <c r="Z625" s="21" t="s">
        <v>6</v>
      </c>
      <c r="AA625" s="35" t="s">
        <v>6</v>
      </c>
      <c r="AB625" s="35" t="s">
        <v>6</v>
      </c>
      <c r="AC625" s="27" t="s">
        <v>130</v>
      </c>
    </row>
    <row r="626" spans="1:29">
      <c r="A626" s="35" t="s">
        <v>7</v>
      </c>
      <c r="B626" s="35" t="s">
        <v>131</v>
      </c>
      <c r="C626" s="49" t="s">
        <v>132</v>
      </c>
      <c r="D626" s="36">
        <v>1813</v>
      </c>
      <c r="E626" s="12">
        <v>41</v>
      </c>
      <c r="F626" s="21">
        <f>7.1*(1-E626%)</f>
        <v>4.1890000000000001</v>
      </c>
      <c r="G626" s="35">
        <v>0</v>
      </c>
      <c r="H626" s="35">
        <v>0</v>
      </c>
      <c r="I626" s="35">
        <v>0</v>
      </c>
      <c r="J626" s="35">
        <v>0</v>
      </c>
      <c r="K626" s="35">
        <v>0</v>
      </c>
      <c r="L626" s="36">
        <v>700</v>
      </c>
      <c r="M626" s="35">
        <v>0.96</v>
      </c>
      <c r="N626" s="21">
        <v>3.52</v>
      </c>
      <c r="O626" s="12">
        <v>0</v>
      </c>
      <c r="P626" s="35">
        <v>10</v>
      </c>
      <c r="Q626" s="35" t="s">
        <v>1</v>
      </c>
      <c r="R626" s="35">
        <v>300</v>
      </c>
      <c r="S626" s="35">
        <v>35</v>
      </c>
      <c r="T626" s="21">
        <v>0.63210050251255823</v>
      </c>
      <c r="U626" s="21">
        <v>0.15095638008032999</v>
      </c>
      <c r="V626" s="37" t="s">
        <v>6</v>
      </c>
      <c r="W626" s="37" t="s">
        <v>6</v>
      </c>
      <c r="X626" s="35">
        <v>90</v>
      </c>
      <c r="Y626" s="23">
        <v>0.28999999999999998</v>
      </c>
      <c r="Z626" s="21">
        <v>19.900000000000002</v>
      </c>
      <c r="AA626" s="35">
        <v>20</v>
      </c>
      <c r="AB626" s="35" t="s">
        <v>6</v>
      </c>
      <c r="AC626" s="27" t="s">
        <v>130</v>
      </c>
    </row>
    <row r="627" spans="1:29">
      <c r="A627" s="35" t="s">
        <v>7</v>
      </c>
      <c r="B627" s="35" t="s">
        <v>131</v>
      </c>
      <c r="C627" s="49" t="s">
        <v>132</v>
      </c>
      <c r="D627" s="36">
        <v>3974</v>
      </c>
      <c r="E627" s="12">
        <v>24</v>
      </c>
      <c r="F627" s="21">
        <f>2.7*(1-E627%)</f>
        <v>2.052</v>
      </c>
      <c r="G627" s="35">
        <v>0</v>
      </c>
      <c r="H627" s="35">
        <v>0</v>
      </c>
      <c r="I627" s="35">
        <v>0</v>
      </c>
      <c r="J627" s="35">
        <v>0</v>
      </c>
      <c r="K627" s="35">
        <v>0</v>
      </c>
      <c r="L627" s="36">
        <v>700</v>
      </c>
      <c r="M627" s="35">
        <v>0.96</v>
      </c>
      <c r="N627" s="21">
        <v>3.52</v>
      </c>
      <c r="O627" s="12">
        <v>0</v>
      </c>
      <c r="P627" s="35">
        <v>0.04</v>
      </c>
      <c r="Q627" s="35" t="s">
        <v>1</v>
      </c>
      <c r="R627" s="35">
        <v>300</v>
      </c>
      <c r="S627" s="35">
        <v>35</v>
      </c>
      <c r="T627" s="21">
        <v>4.7766526458992847E-2</v>
      </c>
      <c r="U627" s="21">
        <v>3.0239867024146501E-2</v>
      </c>
      <c r="V627" s="37" t="s">
        <v>6</v>
      </c>
      <c r="W627" s="37" t="s">
        <v>6</v>
      </c>
      <c r="X627" s="35" t="s">
        <v>6</v>
      </c>
      <c r="Y627" s="23" t="s">
        <v>6</v>
      </c>
      <c r="Z627" s="21" t="s">
        <v>6</v>
      </c>
      <c r="AA627" s="35" t="s">
        <v>6</v>
      </c>
      <c r="AB627" s="35" t="s">
        <v>6</v>
      </c>
      <c r="AC627" s="27" t="s">
        <v>130</v>
      </c>
    </row>
    <row r="628" spans="1:29">
      <c r="A628" s="35" t="s">
        <v>7</v>
      </c>
      <c r="B628" s="35" t="s">
        <v>131</v>
      </c>
      <c r="C628" s="49" t="s">
        <v>132</v>
      </c>
      <c r="D628" s="36">
        <v>3974</v>
      </c>
      <c r="E628" s="12">
        <v>28.999999999999996</v>
      </c>
      <c r="F628" s="21">
        <f>4.1*(1-E628%)</f>
        <v>2.9109999999999996</v>
      </c>
      <c r="G628" s="35">
        <v>0</v>
      </c>
      <c r="H628" s="35">
        <v>0</v>
      </c>
      <c r="I628" s="35">
        <v>0</v>
      </c>
      <c r="J628" s="35">
        <v>0</v>
      </c>
      <c r="K628" s="35">
        <v>0</v>
      </c>
      <c r="L628" s="36">
        <v>700</v>
      </c>
      <c r="M628" s="35">
        <v>0.96</v>
      </c>
      <c r="N628" s="21">
        <v>3.52</v>
      </c>
      <c r="O628" s="12">
        <v>0</v>
      </c>
      <c r="P628" s="35">
        <v>0.04</v>
      </c>
      <c r="Q628" s="35" t="s">
        <v>1</v>
      </c>
      <c r="R628" s="35">
        <v>300</v>
      </c>
      <c r="S628" s="35">
        <v>35</v>
      </c>
      <c r="T628" s="21">
        <v>0.10550711276306249</v>
      </c>
      <c r="U628" s="21">
        <v>3.6144198285092903E-2</v>
      </c>
      <c r="V628" s="37">
        <v>1.1299999999999999</v>
      </c>
      <c r="W628" s="37">
        <v>152.023</v>
      </c>
      <c r="X628" s="35" t="s">
        <v>6</v>
      </c>
      <c r="Y628" s="23" t="s">
        <v>6</v>
      </c>
      <c r="Z628" s="21" t="s">
        <v>6</v>
      </c>
      <c r="AA628" s="35" t="s">
        <v>6</v>
      </c>
      <c r="AB628" s="35" t="s">
        <v>6</v>
      </c>
      <c r="AC628" s="27" t="s">
        <v>130</v>
      </c>
    </row>
    <row r="629" spans="1:29">
      <c r="A629" s="35" t="s">
        <v>7</v>
      </c>
      <c r="B629" s="35" t="s">
        <v>131</v>
      </c>
      <c r="C629" s="49" t="s">
        <v>132</v>
      </c>
      <c r="D629" s="36">
        <v>3974</v>
      </c>
      <c r="E629" s="12">
        <v>28.999999999999996</v>
      </c>
      <c r="F629" s="21">
        <f>4.1*(1-E629%)</f>
        <v>2.9109999999999996</v>
      </c>
      <c r="G629" s="35">
        <v>0</v>
      </c>
      <c r="H629" s="35">
        <v>0</v>
      </c>
      <c r="I629" s="35">
        <v>0</v>
      </c>
      <c r="J629" s="35">
        <v>0</v>
      </c>
      <c r="K629" s="35">
        <v>0</v>
      </c>
      <c r="L629" s="36">
        <v>700</v>
      </c>
      <c r="M629" s="35">
        <v>0.96</v>
      </c>
      <c r="N629" s="21">
        <v>3.52</v>
      </c>
      <c r="O629" s="12">
        <v>0</v>
      </c>
      <c r="P629" s="35">
        <v>10</v>
      </c>
      <c r="Q629" s="35" t="s">
        <v>1</v>
      </c>
      <c r="R629" s="35">
        <v>300</v>
      </c>
      <c r="S629" s="35">
        <v>35</v>
      </c>
      <c r="T629" s="21">
        <v>0.58227135678391895</v>
      </c>
      <c r="U629" s="21">
        <v>0.198156580906103</v>
      </c>
      <c r="V629" s="37">
        <v>4.08</v>
      </c>
      <c r="W629" s="37">
        <v>122.11</v>
      </c>
      <c r="X629" s="35" t="s">
        <v>6</v>
      </c>
      <c r="Y629" s="23" t="s">
        <v>6</v>
      </c>
      <c r="Z629" s="21" t="s">
        <v>6</v>
      </c>
      <c r="AA629" s="35" t="s">
        <v>6</v>
      </c>
      <c r="AB629" s="35" t="s">
        <v>6</v>
      </c>
      <c r="AC629" s="27" t="s">
        <v>130</v>
      </c>
    </row>
    <row r="630" spans="1:29">
      <c r="A630" s="35" t="s">
        <v>7</v>
      </c>
      <c r="B630" s="35" t="s">
        <v>131</v>
      </c>
      <c r="C630" s="49" t="s">
        <v>132</v>
      </c>
      <c r="D630" s="36">
        <v>3974</v>
      </c>
      <c r="E630" s="12">
        <v>36</v>
      </c>
      <c r="F630" s="21">
        <f>5.8*(1-E630%)</f>
        <v>3.7119999999999997</v>
      </c>
      <c r="G630" s="35">
        <v>0</v>
      </c>
      <c r="H630" s="35">
        <v>0</v>
      </c>
      <c r="I630" s="35">
        <v>0</v>
      </c>
      <c r="J630" s="35">
        <v>0</v>
      </c>
      <c r="K630" s="35">
        <v>0</v>
      </c>
      <c r="L630" s="36">
        <v>700</v>
      </c>
      <c r="M630" s="35">
        <v>0.96</v>
      </c>
      <c r="N630" s="21">
        <v>3.52</v>
      </c>
      <c r="O630" s="12">
        <v>0</v>
      </c>
      <c r="P630" s="35">
        <v>0.04</v>
      </c>
      <c r="Q630" s="35" t="s">
        <v>1</v>
      </c>
      <c r="R630" s="35">
        <v>300</v>
      </c>
      <c r="S630" s="35">
        <v>35</v>
      </c>
      <c r="T630" s="21">
        <v>0.3997637847742791</v>
      </c>
      <c r="U630" s="21">
        <v>0.106674524582271</v>
      </c>
      <c r="V630" s="37" t="s">
        <v>6</v>
      </c>
      <c r="W630" s="37" t="s">
        <v>6</v>
      </c>
      <c r="X630" s="35" t="s">
        <v>6</v>
      </c>
      <c r="Y630" s="23" t="s">
        <v>6</v>
      </c>
      <c r="Z630" s="21" t="s">
        <v>6</v>
      </c>
      <c r="AA630" s="35" t="s">
        <v>6</v>
      </c>
      <c r="AB630" s="35" t="s">
        <v>6</v>
      </c>
      <c r="AC630" s="27" t="s">
        <v>130</v>
      </c>
    </row>
    <row r="631" spans="1:29">
      <c r="A631" s="35" t="s">
        <v>7</v>
      </c>
      <c r="B631" s="35" t="s">
        <v>131</v>
      </c>
      <c r="C631" s="49" t="s">
        <v>132</v>
      </c>
      <c r="D631" s="36">
        <v>3974</v>
      </c>
      <c r="E631" s="12">
        <v>36</v>
      </c>
      <c r="F631" s="21">
        <f>5.8*(1-E631%)</f>
        <v>3.7119999999999997</v>
      </c>
      <c r="G631" s="35">
        <v>0</v>
      </c>
      <c r="H631" s="35">
        <v>0</v>
      </c>
      <c r="I631" s="35">
        <v>0</v>
      </c>
      <c r="J631" s="35">
        <v>0</v>
      </c>
      <c r="K631" s="35">
        <v>0</v>
      </c>
      <c r="L631" s="36">
        <v>700</v>
      </c>
      <c r="M631" s="35">
        <v>0.96</v>
      </c>
      <c r="N631" s="21">
        <v>3.52</v>
      </c>
      <c r="O631" s="12">
        <v>0</v>
      </c>
      <c r="P631" s="35">
        <v>10</v>
      </c>
      <c r="Q631" s="35" t="s">
        <v>1</v>
      </c>
      <c r="R631" s="35">
        <v>300</v>
      </c>
      <c r="S631" s="35">
        <v>35</v>
      </c>
      <c r="T631" s="21">
        <v>0.55000000000000004</v>
      </c>
      <c r="U631" s="21">
        <v>0.21447402606521901</v>
      </c>
      <c r="V631" s="37" t="s">
        <v>6</v>
      </c>
      <c r="W631" s="37" t="s">
        <v>6</v>
      </c>
      <c r="X631" s="35">
        <v>90</v>
      </c>
      <c r="Y631" s="23">
        <v>0.12</v>
      </c>
      <c r="Z631" s="21">
        <v>10.7</v>
      </c>
      <c r="AA631" s="35">
        <v>20</v>
      </c>
      <c r="AB631" s="35" t="s">
        <v>6</v>
      </c>
      <c r="AC631" s="27" t="s">
        <v>130</v>
      </c>
    </row>
    <row r="632" spans="1:29">
      <c r="A632" s="35" t="s">
        <v>7</v>
      </c>
      <c r="B632" s="35" t="s">
        <v>131</v>
      </c>
      <c r="C632" s="49" t="s">
        <v>132</v>
      </c>
      <c r="D632" s="36">
        <v>3974</v>
      </c>
      <c r="E632" s="12">
        <v>49</v>
      </c>
      <c r="F632" s="21">
        <f>11.23*(1-E632%)</f>
        <v>5.7273000000000005</v>
      </c>
      <c r="G632" s="35">
        <v>0</v>
      </c>
      <c r="H632" s="35">
        <v>0</v>
      </c>
      <c r="I632" s="35">
        <v>0</v>
      </c>
      <c r="J632" s="35">
        <v>0</v>
      </c>
      <c r="K632" s="35">
        <v>0</v>
      </c>
      <c r="L632" s="36">
        <v>700</v>
      </c>
      <c r="M632" s="35">
        <v>0.96</v>
      </c>
      <c r="N632" s="21">
        <v>3.52</v>
      </c>
      <c r="O632" s="12">
        <v>0</v>
      </c>
      <c r="P632" s="35">
        <v>0.04</v>
      </c>
      <c r="Q632" s="35" t="s">
        <v>1</v>
      </c>
      <c r="R632" s="35">
        <v>300</v>
      </c>
      <c r="S632" s="35">
        <v>35</v>
      </c>
      <c r="T632" s="21">
        <v>0.3098332656588369</v>
      </c>
      <c r="U632" s="21">
        <v>5.2987183850323298E-2</v>
      </c>
      <c r="V632" s="37" t="s">
        <v>6</v>
      </c>
      <c r="W632" s="37" t="s">
        <v>6</v>
      </c>
      <c r="X632" s="35" t="s">
        <v>6</v>
      </c>
      <c r="Y632" s="23" t="s">
        <v>6</v>
      </c>
      <c r="Z632" s="21" t="s">
        <v>6</v>
      </c>
      <c r="AA632" s="35" t="s">
        <v>6</v>
      </c>
      <c r="AB632" s="35" t="s">
        <v>6</v>
      </c>
      <c r="AC632" s="27" t="s">
        <v>130</v>
      </c>
    </row>
    <row r="633" spans="1:29">
      <c r="A633" s="35" t="s">
        <v>7</v>
      </c>
      <c r="B633" s="35" t="s">
        <v>131</v>
      </c>
      <c r="C633" s="49" t="s">
        <v>132</v>
      </c>
      <c r="D633" s="36">
        <v>3974</v>
      </c>
      <c r="E633" s="12">
        <v>49</v>
      </c>
      <c r="F633" s="21">
        <f>11.23*(1-E633%)</f>
        <v>5.7273000000000005</v>
      </c>
      <c r="G633" s="35">
        <v>0</v>
      </c>
      <c r="H633" s="35">
        <v>0</v>
      </c>
      <c r="I633" s="35">
        <v>0</v>
      </c>
      <c r="J633" s="35">
        <v>0</v>
      </c>
      <c r="K633" s="35">
        <v>0</v>
      </c>
      <c r="L633" s="36">
        <v>700</v>
      </c>
      <c r="M633" s="35">
        <v>0.96</v>
      </c>
      <c r="N633" s="21">
        <v>3.52</v>
      </c>
      <c r="O633" s="12">
        <v>0</v>
      </c>
      <c r="P633" s="35">
        <v>10</v>
      </c>
      <c r="Q633" s="35" t="s">
        <v>1</v>
      </c>
      <c r="R633" s="35">
        <v>300</v>
      </c>
      <c r="S633" s="35">
        <v>35</v>
      </c>
      <c r="T633" s="21">
        <v>0.40236180904522589</v>
      </c>
      <c r="U633" s="21">
        <v>6.8593412072016302E-2</v>
      </c>
      <c r="V633" s="37" t="s">
        <v>6</v>
      </c>
      <c r="W633" s="37" t="s">
        <v>6</v>
      </c>
      <c r="X633" s="35" t="s">
        <v>6</v>
      </c>
      <c r="Y633" s="23" t="s">
        <v>6</v>
      </c>
      <c r="Z633" s="21" t="s">
        <v>6</v>
      </c>
      <c r="AA633" s="35" t="s">
        <v>6</v>
      </c>
      <c r="AB633" s="35" t="s">
        <v>6</v>
      </c>
      <c r="AC633" s="27" t="s">
        <v>130</v>
      </c>
    </row>
    <row r="634" spans="1:29">
      <c r="A634" s="35" t="s">
        <v>7</v>
      </c>
      <c r="B634" s="35" t="s">
        <v>131</v>
      </c>
      <c r="C634" s="49" t="s">
        <v>132</v>
      </c>
      <c r="D634" s="36">
        <v>6493</v>
      </c>
      <c r="E634" s="12">
        <v>25</v>
      </c>
      <c r="F634" s="21">
        <f>3.6*(1-E634%)</f>
        <v>2.7</v>
      </c>
      <c r="G634" s="35">
        <v>0</v>
      </c>
      <c r="H634" s="35">
        <v>0</v>
      </c>
      <c r="I634" s="35">
        <v>0</v>
      </c>
      <c r="J634" s="35">
        <v>0</v>
      </c>
      <c r="K634" s="35">
        <v>0</v>
      </c>
      <c r="L634" s="36">
        <v>700</v>
      </c>
      <c r="M634" s="35">
        <v>0.96</v>
      </c>
      <c r="N634" s="21">
        <v>3.52</v>
      </c>
      <c r="O634" s="12">
        <v>0</v>
      </c>
      <c r="P634" s="35">
        <v>0.04</v>
      </c>
      <c r="Q634" s="35" t="s">
        <v>1</v>
      </c>
      <c r="R634" s="35">
        <v>300</v>
      </c>
      <c r="S634" s="35">
        <v>35</v>
      </c>
      <c r="T634" s="21">
        <v>0.14833494710977799</v>
      </c>
      <c r="U634" s="21">
        <v>5.57326122865704E-2</v>
      </c>
      <c r="V634" s="37" t="s">
        <v>6</v>
      </c>
      <c r="W634" s="37" t="s">
        <v>6</v>
      </c>
      <c r="X634" s="35" t="s">
        <v>6</v>
      </c>
      <c r="Y634" s="23" t="s">
        <v>6</v>
      </c>
      <c r="Z634" s="21" t="s">
        <v>6</v>
      </c>
      <c r="AA634" s="35" t="s">
        <v>6</v>
      </c>
      <c r="AB634" s="35" t="s">
        <v>6</v>
      </c>
      <c r="AC634" s="27" t="s">
        <v>130</v>
      </c>
    </row>
    <row r="635" spans="1:29">
      <c r="A635" s="35" t="s">
        <v>7</v>
      </c>
      <c r="B635" s="35" t="s">
        <v>131</v>
      </c>
      <c r="C635" s="49" t="s">
        <v>132</v>
      </c>
      <c r="D635" s="36">
        <v>6493</v>
      </c>
      <c r="E635" s="12">
        <v>25</v>
      </c>
      <c r="F635" s="21">
        <f>3.6*(1-E635%)</f>
        <v>2.7</v>
      </c>
      <c r="G635" s="35">
        <v>0</v>
      </c>
      <c r="H635" s="35">
        <v>0</v>
      </c>
      <c r="I635" s="35">
        <v>0</v>
      </c>
      <c r="J635" s="35">
        <v>0</v>
      </c>
      <c r="K635" s="35">
        <v>0</v>
      </c>
      <c r="L635" s="36">
        <v>700</v>
      </c>
      <c r="M635" s="35">
        <v>0.96</v>
      </c>
      <c r="N635" s="21">
        <v>3.52</v>
      </c>
      <c r="O635" s="12">
        <v>0</v>
      </c>
      <c r="P635" s="35">
        <v>10</v>
      </c>
      <c r="Q635" s="35" t="s">
        <v>1</v>
      </c>
      <c r="R635" s="35">
        <v>300</v>
      </c>
      <c r="S635" s="35">
        <v>35</v>
      </c>
      <c r="T635" s="21">
        <v>0.46</v>
      </c>
      <c r="U635" s="21">
        <v>0.189974686121956</v>
      </c>
      <c r="V635" s="37" t="s">
        <v>6</v>
      </c>
      <c r="W635" s="37" t="s">
        <v>6</v>
      </c>
      <c r="X635" s="35" t="s">
        <v>6</v>
      </c>
      <c r="Y635" s="23" t="s">
        <v>6</v>
      </c>
      <c r="Z635" s="21" t="s">
        <v>6</v>
      </c>
      <c r="AA635" s="35" t="s">
        <v>6</v>
      </c>
      <c r="AB635" s="35" t="s">
        <v>6</v>
      </c>
      <c r="AC635" s="27" t="s">
        <v>130</v>
      </c>
    </row>
    <row r="636" spans="1:29">
      <c r="A636" s="35" t="s">
        <v>7</v>
      </c>
      <c r="B636" s="35" t="s">
        <v>131</v>
      </c>
      <c r="C636" s="49" t="s">
        <v>132</v>
      </c>
      <c r="D636" s="36">
        <v>6493</v>
      </c>
      <c r="E636" s="12">
        <v>33</v>
      </c>
      <c r="F636" s="21">
        <f>5.4*(1-E636%)</f>
        <v>3.6179999999999999</v>
      </c>
      <c r="G636" s="35">
        <v>0</v>
      </c>
      <c r="H636" s="35">
        <v>0</v>
      </c>
      <c r="I636" s="35">
        <v>0</v>
      </c>
      <c r="J636" s="35">
        <v>0</v>
      </c>
      <c r="K636" s="35">
        <v>0</v>
      </c>
      <c r="L636" s="36">
        <v>700</v>
      </c>
      <c r="M636" s="35">
        <v>0.96</v>
      </c>
      <c r="N636" s="21">
        <v>3.52</v>
      </c>
      <c r="O636" s="12">
        <v>0</v>
      </c>
      <c r="P636" s="35">
        <v>0.04</v>
      </c>
      <c r="Q636" s="35" t="s">
        <v>1</v>
      </c>
      <c r="R636" s="35">
        <v>300</v>
      </c>
      <c r="S636" s="35">
        <v>35</v>
      </c>
      <c r="T636" s="21">
        <v>0.40093620897884341</v>
      </c>
      <c r="U636" s="21">
        <v>0.108850323308957</v>
      </c>
      <c r="V636" s="37">
        <v>1.1299999999999999</v>
      </c>
      <c r="W636" s="37">
        <v>97.325000000000003</v>
      </c>
      <c r="X636" s="35" t="s">
        <v>6</v>
      </c>
      <c r="Y636" s="23" t="s">
        <v>6</v>
      </c>
      <c r="Z636" s="21" t="s">
        <v>6</v>
      </c>
      <c r="AA636" s="35" t="s">
        <v>6</v>
      </c>
      <c r="AB636" s="35" t="s">
        <v>6</v>
      </c>
      <c r="AC636" s="27" t="s">
        <v>130</v>
      </c>
    </row>
    <row r="637" spans="1:29">
      <c r="A637" s="35" t="s">
        <v>7</v>
      </c>
      <c r="B637" s="35" t="s">
        <v>131</v>
      </c>
      <c r="C637" s="49" t="s">
        <v>132</v>
      </c>
      <c r="D637" s="36">
        <v>6493</v>
      </c>
      <c r="E637" s="12">
        <v>33</v>
      </c>
      <c r="F637" s="21">
        <f>5.4*(1-E637%)</f>
        <v>3.6179999999999999</v>
      </c>
      <c r="G637" s="35">
        <v>0</v>
      </c>
      <c r="H637" s="35">
        <v>0</v>
      </c>
      <c r="I637" s="35">
        <v>0</v>
      </c>
      <c r="J637" s="35">
        <v>0</v>
      </c>
      <c r="K637" s="35">
        <v>0</v>
      </c>
      <c r="L637" s="36">
        <v>700</v>
      </c>
      <c r="M637" s="35">
        <v>0.96</v>
      </c>
      <c r="N637" s="21">
        <v>3.52</v>
      </c>
      <c r="O637" s="12">
        <v>0</v>
      </c>
      <c r="P637" s="35">
        <v>10</v>
      </c>
      <c r="Q637" s="35" t="s">
        <v>1</v>
      </c>
      <c r="R637" s="35">
        <v>300</v>
      </c>
      <c r="S637" s="35">
        <v>35</v>
      </c>
      <c r="T637" s="21">
        <v>0.66</v>
      </c>
      <c r="U637" s="21">
        <v>0.23852888099317399</v>
      </c>
      <c r="V637" s="37">
        <v>11.7347</v>
      </c>
      <c r="W637" s="37">
        <v>130.94999999999999</v>
      </c>
      <c r="X637" s="35" t="s">
        <v>6</v>
      </c>
      <c r="Y637" s="23" t="s">
        <v>6</v>
      </c>
      <c r="Z637" s="21" t="s">
        <v>6</v>
      </c>
      <c r="AA637" s="35" t="s">
        <v>6</v>
      </c>
      <c r="AB637" s="35" t="s">
        <v>6</v>
      </c>
      <c r="AC637" s="27" t="s">
        <v>130</v>
      </c>
    </row>
    <row r="638" spans="1:29">
      <c r="A638" s="35" t="s">
        <v>7</v>
      </c>
      <c r="B638" s="35" t="s">
        <v>131</v>
      </c>
      <c r="C638" s="49" t="s">
        <v>132</v>
      </c>
      <c r="D638" s="36">
        <v>6493</v>
      </c>
      <c r="E638" s="12">
        <v>39</v>
      </c>
      <c r="F638" s="21">
        <f>7.7*(1-E638%)</f>
        <v>4.6970000000000001</v>
      </c>
      <c r="G638" s="35">
        <v>0</v>
      </c>
      <c r="H638" s="35">
        <v>0</v>
      </c>
      <c r="I638" s="35">
        <v>0</v>
      </c>
      <c r="J638" s="35">
        <v>0</v>
      </c>
      <c r="K638" s="35">
        <v>0</v>
      </c>
      <c r="L638" s="36">
        <v>700</v>
      </c>
      <c r="M638" s="35">
        <v>0.96</v>
      </c>
      <c r="N638" s="21">
        <v>3.52</v>
      </c>
      <c r="O638" s="12">
        <v>0</v>
      </c>
      <c r="P638" s="35">
        <v>0.04</v>
      </c>
      <c r="Q638" s="35" t="s">
        <v>1</v>
      </c>
      <c r="R638" s="35">
        <v>300</v>
      </c>
      <c r="S638" s="35">
        <v>35</v>
      </c>
      <c r="T638" s="21">
        <v>0.35178034246765488</v>
      </c>
      <c r="U638" s="21">
        <v>7.4315614287018605E-2</v>
      </c>
      <c r="V638" s="37" t="s">
        <v>6</v>
      </c>
      <c r="W638" s="37" t="s">
        <v>6</v>
      </c>
      <c r="X638" s="35" t="s">
        <v>6</v>
      </c>
      <c r="Y638" s="23" t="s">
        <v>6</v>
      </c>
      <c r="Z638" s="21" t="s">
        <v>6</v>
      </c>
      <c r="AA638" s="35" t="s">
        <v>6</v>
      </c>
      <c r="AB638" s="35" t="s">
        <v>6</v>
      </c>
      <c r="AC638" s="27" t="s">
        <v>130</v>
      </c>
    </row>
    <row r="639" spans="1:29">
      <c r="A639" s="35" t="s">
        <v>7</v>
      </c>
      <c r="B639" s="35" t="s">
        <v>131</v>
      </c>
      <c r="C639" s="49" t="s">
        <v>132</v>
      </c>
      <c r="D639" s="36">
        <v>6493</v>
      </c>
      <c r="E639" s="12">
        <v>39</v>
      </c>
      <c r="F639" s="21">
        <f>7.7*(1-E639%)</f>
        <v>4.6970000000000001</v>
      </c>
      <c r="G639" s="35">
        <v>0</v>
      </c>
      <c r="H639" s="35">
        <v>0</v>
      </c>
      <c r="I639" s="35">
        <v>0</v>
      </c>
      <c r="J639" s="35">
        <v>0</v>
      </c>
      <c r="K639" s="35">
        <v>0</v>
      </c>
      <c r="L639" s="36">
        <v>700</v>
      </c>
      <c r="M639" s="35">
        <v>0.96</v>
      </c>
      <c r="N639" s="21">
        <v>3.52</v>
      </c>
      <c r="O639" s="12">
        <v>0</v>
      </c>
      <c r="P639" s="35">
        <v>10</v>
      </c>
      <c r="Q639" s="35" t="s">
        <v>1</v>
      </c>
      <c r="R639" s="35">
        <v>300</v>
      </c>
      <c r="S639" s="35">
        <v>35</v>
      </c>
      <c r="T639" s="21">
        <v>0.61245226130653108</v>
      </c>
      <c r="U639" s="21">
        <v>0.12969693565148999</v>
      </c>
      <c r="V639" s="37" t="s">
        <v>6</v>
      </c>
      <c r="W639" s="37" t="s">
        <v>6</v>
      </c>
      <c r="X639" s="35" t="s">
        <v>6</v>
      </c>
      <c r="Y639" s="23" t="s">
        <v>6</v>
      </c>
      <c r="Z639" s="21" t="s">
        <v>6</v>
      </c>
      <c r="AA639" s="35" t="s">
        <v>6</v>
      </c>
      <c r="AB639" s="35" t="s">
        <v>6</v>
      </c>
      <c r="AC639" s="27" t="s">
        <v>130</v>
      </c>
    </row>
    <row r="640" spans="1:29">
      <c r="A640" s="35" t="s">
        <v>7</v>
      </c>
      <c r="B640" s="35" t="s">
        <v>131</v>
      </c>
      <c r="C640" s="49" t="s">
        <v>132</v>
      </c>
      <c r="D640" s="36">
        <v>6493</v>
      </c>
      <c r="E640" s="12">
        <v>47</v>
      </c>
      <c r="F640" s="21">
        <f>10.2*(1-E640%)</f>
        <v>5.4059999999999997</v>
      </c>
      <c r="G640" s="35">
        <v>0</v>
      </c>
      <c r="H640" s="35">
        <v>0</v>
      </c>
      <c r="I640" s="35">
        <v>0</v>
      </c>
      <c r="J640" s="35">
        <v>0</v>
      </c>
      <c r="K640" s="35">
        <v>0</v>
      </c>
      <c r="L640" s="36">
        <v>700</v>
      </c>
      <c r="M640" s="35">
        <v>0.96</v>
      </c>
      <c r="N640" s="21">
        <v>3.52</v>
      </c>
      <c r="O640" s="12">
        <v>0</v>
      </c>
      <c r="P640" s="35">
        <v>0.04</v>
      </c>
      <c r="Q640" s="35" t="s">
        <v>1</v>
      </c>
      <c r="R640" s="35">
        <v>300</v>
      </c>
      <c r="S640" s="35">
        <v>35</v>
      </c>
      <c r="T640" s="21">
        <v>0.30162483862235551</v>
      </c>
      <c r="U640" s="21">
        <v>5.4357822914678E-2</v>
      </c>
      <c r="V640" s="37" t="s">
        <v>6</v>
      </c>
      <c r="W640" s="37" t="s">
        <v>6</v>
      </c>
      <c r="X640" s="35" t="s">
        <v>6</v>
      </c>
      <c r="Y640" s="23" t="s">
        <v>6</v>
      </c>
      <c r="Z640" s="21" t="s">
        <v>6</v>
      </c>
      <c r="AA640" s="35" t="s">
        <v>6</v>
      </c>
      <c r="AB640" s="35" t="s">
        <v>6</v>
      </c>
      <c r="AC640" s="27" t="s">
        <v>130</v>
      </c>
    </row>
    <row r="641" spans="1:29">
      <c r="A641" s="35" t="s">
        <v>7</v>
      </c>
      <c r="B641" s="35" t="s">
        <v>131</v>
      </c>
      <c r="C641" s="49" t="s">
        <v>132</v>
      </c>
      <c r="D641" s="36">
        <v>6493</v>
      </c>
      <c r="E641" s="12">
        <v>47</v>
      </c>
      <c r="F641" s="21">
        <f>10.2*(1-E641%)</f>
        <v>5.4059999999999997</v>
      </c>
      <c r="G641" s="35">
        <v>0</v>
      </c>
      <c r="H641" s="35">
        <v>0</v>
      </c>
      <c r="I641" s="35">
        <v>0</v>
      </c>
      <c r="J641" s="35">
        <v>0</v>
      </c>
      <c r="K641" s="35">
        <v>0</v>
      </c>
      <c r="L641" s="36">
        <v>700</v>
      </c>
      <c r="M641" s="35">
        <v>0.96</v>
      </c>
      <c r="N641" s="21">
        <v>3.52</v>
      </c>
      <c r="O641" s="12">
        <v>0</v>
      </c>
      <c r="P641" s="35">
        <v>10</v>
      </c>
      <c r="Q641" s="35" t="s">
        <v>1</v>
      </c>
      <c r="R641" s="35">
        <v>300</v>
      </c>
      <c r="S641" s="35">
        <v>35</v>
      </c>
      <c r="T641" s="21">
        <v>0.47965000000000002</v>
      </c>
      <c r="U641" s="21">
        <v>8.7940096340196006E-2</v>
      </c>
      <c r="V641" s="37" t="s">
        <v>6</v>
      </c>
      <c r="W641" s="37" t="s">
        <v>6</v>
      </c>
      <c r="X641" s="35">
        <v>90</v>
      </c>
      <c r="Y641" s="23">
        <v>0.15</v>
      </c>
      <c r="Z641" s="21">
        <v>1.34</v>
      </c>
      <c r="AA641" s="35">
        <v>20</v>
      </c>
      <c r="AB641" s="35" t="s">
        <v>6</v>
      </c>
      <c r="AC641" s="27" t="s">
        <v>130</v>
      </c>
    </row>
    <row r="642" spans="1:29">
      <c r="A642" s="35" t="s">
        <v>7</v>
      </c>
      <c r="B642" s="35" t="s">
        <v>180</v>
      </c>
      <c r="C642" s="49" t="s">
        <v>60</v>
      </c>
      <c r="D642" s="36">
        <v>600</v>
      </c>
      <c r="E642" s="12">
        <v>35</v>
      </c>
      <c r="F642" s="21">
        <f>11*(1-E642%)</f>
        <v>7.15</v>
      </c>
      <c r="G642" s="35">
        <v>0</v>
      </c>
      <c r="H642" s="35">
        <v>0</v>
      </c>
      <c r="I642" s="35">
        <v>0</v>
      </c>
      <c r="J642" s="35">
        <v>0</v>
      </c>
      <c r="K642" s="35">
        <v>0</v>
      </c>
      <c r="L642" s="36">
        <v>700</v>
      </c>
      <c r="M642" s="35">
        <v>0.96</v>
      </c>
      <c r="N642" s="21">
        <v>3.52</v>
      </c>
      <c r="O642" s="12">
        <v>0</v>
      </c>
      <c r="P642" s="35">
        <v>0.04</v>
      </c>
      <c r="Q642" s="35" t="s">
        <v>1</v>
      </c>
      <c r="R642" s="35">
        <v>300</v>
      </c>
      <c r="S642" s="35">
        <v>35</v>
      </c>
      <c r="T642" s="21">
        <v>0.94899999999999995</v>
      </c>
      <c r="U642" s="21">
        <f t="shared" ref="U642:U655" si="35">T642/F642</f>
        <v>0.13272727272727272</v>
      </c>
      <c r="V642" s="37">
        <v>1.47</v>
      </c>
      <c r="W642" s="37">
        <v>187.2</v>
      </c>
      <c r="X642" s="35" t="s">
        <v>6</v>
      </c>
      <c r="Y642" s="23" t="s">
        <v>6</v>
      </c>
      <c r="Z642" s="21" t="s">
        <v>6</v>
      </c>
      <c r="AA642" s="35" t="s">
        <v>6</v>
      </c>
      <c r="AB642" s="35" t="s">
        <v>6</v>
      </c>
      <c r="AC642" s="27" t="s">
        <v>130</v>
      </c>
    </row>
    <row r="643" spans="1:29">
      <c r="A643" s="35" t="s">
        <v>7</v>
      </c>
      <c r="B643" s="35" t="s">
        <v>180</v>
      </c>
      <c r="C643" s="49" t="s">
        <v>60</v>
      </c>
      <c r="D643" s="36">
        <v>600</v>
      </c>
      <c r="E643" s="12">
        <v>35</v>
      </c>
      <c r="F643" s="21">
        <f>11*(1-E643%)</f>
        <v>7.15</v>
      </c>
      <c r="G643" s="35">
        <v>0</v>
      </c>
      <c r="H643" s="35">
        <v>0</v>
      </c>
      <c r="I643" s="35">
        <v>0</v>
      </c>
      <c r="J643" s="35">
        <v>0</v>
      </c>
      <c r="K643" s="35">
        <v>0</v>
      </c>
      <c r="L643" s="36">
        <v>700</v>
      </c>
      <c r="M643" s="35">
        <v>0.96</v>
      </c>
      <c r="N643" s="21">
        <v>3.52</v>
      </c>
      <c r="O643" s="12">
        <v>0</v>
      </c>
      <c r="P643" s="35">
        <v>10</v>
      </c>
      <c r="Q643" s="35" t="s">
        <v>1</v>
      </c>
      <c r="R643" s="35">
        <v>300</v>
      </c>
      <c r="S643" s="35">
        <v>35</v>
      </c>
      <c r="T643" s="21">
        <v>1.4365000000000001</v>
      </c>
      <c r="U643" s="21">
        <f t="shared" si="35"/>
        <v>0.20090909090909093</v>
      </c>
      <c r="V643" s="37">
        <v>8.9</v>
      </c>
      <c r="W643" s="37">
        <v>168.84</v>
      </c>
      <c r="X643" s="35" t="s">
        <v>6</v>
      </c>
      <c r="Y643" s="23" t="s">
        <v>6</v>
      </c>
      <c r="Z643" s="21" t="s">
        <v>6</v>
      </c>
      <c r="AA643" s="35" t="s">
        <v>6</v>
      </c>
      <c r="AB643" s="35" t="s">
        <v>6</v>
      </c>
      <c r="AC643" s="27" t="s">
        <v>130</v>
      </c>
    </row>
    <row r="644" spans="1:29">
      <c r="A644" s="35" t="s">
        <v>7</v>
      </c>
      <c r="B644" s="35" t="s">
        <v>131</v>
      </c>
      <c r="C644" s="49" t="s">
        <v>132</v>
      </c>
      <c r="D644" s="36">
        <v>6493</v>
      </c>
      <c r="E644" s="12">
        <v>33</v>
      </c>
      <c r="F644" s="21">
        <f t="shared" ref="F644:F649" si="36">4.3*(1-E644%)</f>
        <v>2.8809999999999998</v>
      </c>
      <c r="G644" s="35">
        <v>0</v>
      </c>
      <c r="H644" s="35">
        <v>0</v>
      </c>
      <c r="I644" s="35">
        <v>0</v>
      </c>
      <c r="J644" s="35">
        <v>0</v>
      </c>
      <c r="K644" s="35">
        <v>0</v>
      </c>
      <c r="L644" s="36">
        <v>700</v>
      </c>
      <c r="M644" s="35">
        <v>0.96</v>
      </c>
      <c r="N644" s="21">
        <v>3.52</v>
      </c>
      <c r="O644" s="12">
        <v>0</v>
      </c>
      <c r="P644" s="35">
        <v>0.04</v>
      </c>
      <c r="Q644" s="35" t="s">
        <v>1</v>
      </c>
      <c r="R644" s="35">
        <v>300</v>
      </c>
      <c r="S644" s="35">
        <v>55</v>
      </c>
      <c r="T644" s="21">
        <v>0.12059999999999998</v>
      </c>
      <c r="U644" s="21">
        <f t="shared" si="35"/>
        <v>4.1860465116279069E-2</v>
      </c>
      <c r="V644" s="37" t="s">
        <v>6</v>
      </c>
      <c r="W644" s="37" t="s">
        <v>6</v>
      </c>
      <c r="X644" s="35" t="s">
        <v>6</v>
      </c>
      <c r="Y644" s="23" t="s">
        <v>6</v>
      </c>
      <c r="Z644" s="21" t="s">
        <v>6</v>
      </c>
      <c r="AA644" s="35" t="s">
        <v>6</v>
      </c>
      <c r="AB644" s="35" t="s">
        <v>6</v>
      </c>
      <c r="AC644" s="27" t="s">
        <v>130</v>
      </c>
    </row>
    <row r="645" spans="1:29">
      <c r="A645" s="35" t="s">
        <v>7</v>
      </c>
      <c r="B645" s="35" t="s">
        <v>131</v>
      </c>
      <c r="C645" s="49" t="s">
        <v>132</v>
      </c>
      <c r="D645" s="36">
        <v>6493</v>
      </c>
      <c r="E645" s="12">
        <v>33</v>
      </c>
      <c r="F645" s="21">
        <f t="shared" si="36"/>
        <v>2.8809999999999998</v>
      </c>
      <c r="G645" s="35">
        <v>0</v>
      </c>
      <c r="H645" s="35">
        <v>0</v>
      </c>
      <c r="I645" s="35">
        <v>0</v>
      </c>
      <c r="J645" s="35">
        <v>0</v>
      </c>
      <c r="K645" s="35">
        <v>0</v>
      </c>
      <c r="L645" s="36">
        <v>700</v>
      </c>
      <c r="M645" s="35">
        <v>0.96</v>
      </c>
      <c r="N645" s="21">
        <v>3.52</v>
      </c>
      <c r="O645" s="12">
        <v>0</v>
      </c>
      <c r="P645" s="35">
        <v>10</v>
      </c>
      <c r="Q645" s="35" t="s">
        <v>1</v>
      </c>
      <c r="R645" s="35">
        <v>300</v>
      </c>
      <c r="S645" s="35">
        <v>55</v>
      </c>
      <c r="T645" s="21">
        <v>0.79059999999999986</v>
      </c>
      <c r="U645" s="21">
        <f t="shared" si="35"/>
        <v>0.27441860465116275</v>
      </c>
      <c r="V645" s="37" t="s">
        <v>6</v>
      </c>
      <c r="W645" s="37" t="s">
        <v>6</v>
      </c>
      <c r="X645" s="35" t="s">
        <v>6</v>
      </c>
      <c r="Y645" s="23" t="s">
        <v>6</v>
      </c>
      <c r="Z645" s="21" t="s">
        <v>6</v>
      </c>
      <c r="AA645" s="35" t="s">
        <v>6</v>
      </c>
      <c r="AB645" s="35" t="s">
        <v>6</v>
      </c>
      <c r="AC645" s="27" t="s">
        <v>130</v>
      </c>
    </row>
    <row r="646" spans="1:29" ht="12.45" customHeight="1">
      <c r="A646" s="35" t="s">
        <v>7</v>
      </c>
      <c r="B646" s="35" t="s">
        <v>131</v>
      </c>
      <c r="C646" s="49" t="s">
        <v>132</v>
      </c>
      <c r="D646" s="36">
        <v>6493</v>
      </c>
      <c r="E646" s="12">
        <v>33</v>
      </c>
      <c r="F646" s="21">
        <f>4.3*(1-E646%)</f>
        <v>2.8809999999999998</v>
      </c>
      <c r="G646" s="35">
        <v>0</v>
      </c>
      <c r="H646" s="35">
        <v>0</v>
      </c>
      <c r="I646" s="35">
        <v>0</v>
      </c>
      <c r="J646" s="35">
        <v>0</v>
      </c>
      <c r="K646" s="35">
        <v>0</v>
      </c>
      <c r="L646" s="36">
        <v>700</v>
      </c>
      <c r="M646" s="35">
        <v>0.96</v>
      </c>
      <c r="N646" s="21">
        <v>3.52</v>
      </c>
      <c r="O646" s="12">
        <v>0</v>
      </c>
      <c r="P646" s="35">
        <v>0.04</v>
      </c>
      <c r="Q646" s="35" t="s">
        <v>1</v>
      </c>
      <c r="R646" s="35">
        <v>300</v>
      </c>
      <c r="S646" s="35">
        <v>65</v>
      </c>
      <c r="T646" s="21">
        <v>0</v>
      </c>
      <c r="U646" s="21">
        <f t="shared" si="35"/>
        <v>0</v>
      </c>
      <c r="V646" s="37" t="s">
        <v>6</v>
      </c>
      <c r="W646" s="37" t="s">
        <v>6</v>
      </c>
      <c r="X646" s="35" t="s">
        <v>6</v>
      </c>
      <c r="Y646" s="23" t="s">
        <v>6</v>
      </c>
      <c r="Z646" s="21" t="s">
        <v>6</v>
      </c>
      <c r="AA646" s="35" t="s">
        <v>6</v>
      </c>
      <c r="AB646" s="35" t="s">
        <v>6</v>
      </c>
      <c r="AC646" s="27" t="s">
        <v>130</v>
      </c>
    </row>
    <row r="647" spans="1:29">
      <c r="A647" s="35" t="s">
        <v>7</v>
      </c>
      <c r="B647" s="35" t="s">
        <v>131</v>
      </c>
      <c r="C647" s="49" t="s">
        <v>132</v>
      </c>
      <c r="D647" s="36">
        <v>6493</v>
      </c>
      <c r="E647" s="12">
        <v>33</v>
      </c>
      <c r="F647" s="21">
        <f t="shared" si="36"/>
        <v>2.8809999999999998</v>
      </c>
      <c r="G647" s="35">
        <v>0</v>
      </c>
      <c r="H647" s="35">
        <v>0</v>
      </c>
      <c r="I647" s="35">
        <v>0</v>
      </c>
      <c r="J647" s="35">
        <v>0</v>
      </c>
      <c r="K647" s="35">
        <v>0</v>
      </c>
      <c r="L647" s="36">
        <v>700</v>
      </c>
      <c r="M647" s="35">
        <v>0.96</v>
      </c>
      <c r="N647" s="21">
        <v>3.52</v>
      </c>
      <c r="O647" s="12">
        <v>0</v>
      </c>
      <c r="P647" s="35">
        <v>10</v>
      </c>
      <c r="Q647" s="35" t="s">
        <v>1</v>
      </c>
      <c r="R647" s="35">
        <v>300</v>
      </c>
      <c r="S647" s="35">
        <v>65</v>
      </c>
      <c r="T647" s="21">
        <v>0.71689999999999998</v>
      </c>
      <c r="U647" s="21">
        <f t="shared" si="35"/>
        <v>0.24883720930232558</v>
      </c>
      <c r="V647" s="37" t="s">
        <v>6</v>
      </c>
      <c r="W647" s="37" t="s">
        <v>6</v>
      </c>
      <c r="X647" s="35" t="s">
        <v>6</v>
      </c>
      <c r="Y647" s="23" t="s">
        <v>6</v>
      </c>
      <c r="Z647" s="21" t="s">
        <v>6</v>
      </c>
      <c r="AA647" s="35" t="s">
        <v>6</v>
      </c>
      <c r="AB647" s="35" t="s">
        <v>6</v>
      </c>
      <c r="AC647" s="27" t="s">
        <v>130</v>
      </c>
    </row>
    <row r="648" spans="1:29">
      <c r="A648" s="35" t="s">
        <v>7</v>
      </c>
      <c r="B648" s="35" t="s">
        <v>131</v>
      </c>
      <c r="C648" s="49" t="s">
        <v>132</v>
      </c>
      <c r="D648" s="36">
        <v>6493</v>
      </c>
      <c r="E648" s="12">
        <v>33</v>
      </c>
      <c r="F648" s="21">
        <f t="shared" si="36"/>
        <v>2.8809999999999998</v>
      </c>
      <c r="G648" s="35">
        <v>0</v>
      </c>
      <c r="H648" s="35">
        <v>0</v>
      </c>
      <c r="I648" s="35">
        <v>0</v>
      </c>
      <c r="J648" s="35">
        <v>0</v>
      </c>
      <c r="K648" s="35">
        <v>0</v>
      </c>
      <c r="L648" s="36">
        <v>700</v>
      </c>
      <c r="M648" s="35">
        <v>0.96</v>
      </c>
      <c r="N648" s="21">
        <v>3.52</v>
      </c>
      <c r="O648" s="12">
        <v>0</v>
      </c>
      <c r="P648" s="35">
        <v>0.04</v>
      </c>
      <c r="Q648" s="35" t="s">
        <v>1</v>
      </c>
      <c r="R648" s="35">
        <v>300</v>
      </c>
      <c r="S648" s="35">
        <v>75</v>
      </c>
      <c r="T648" s="21">
        <v>0</v>
      </c>
      <c r="U648" s="37">
        <f t="shared" si="35"/>
        <v>0</v>
      </c>
      <c r="V648" s="37" t="s">
        <v>6</v>
      </c>
      <c r="W648" s="37" t="s">
        <v>6</v>
      </c>
      <c r="X648" s="35" t="s">
        <v>6</v>
      </c>
      <c r="Y648" s="23" t="s">
        <v>6</v>
      </c>
      <c r="Z648" s="21" t="s">
        <v>6</v>
      </c>
      <c r="AA648" s="35" t="s">
        <v>6</v>
      </c>
      <c r="AB648" s="35" t="s">
        <v>6</v>
      </c>
      <c r="AC648" s="27" t="s">
        <v>130</v>
      </c>
    </row>
    <row r="649" spans="1:29">
      <c r="A649" s="35" t="s">
        <v>7</v>
      </c>
      <c r="B649" s="35" t="s">
        <v>131</v>
      </c>
      <c r="C649" s="49" t="s">
        <v>132</v>
      </c>
      <c r="D649" s="36">
        <v>6493</v>
      </c>
      <c r="E649" s="12">
        <v>33</v>
      </c>
      <c r="F649" s="21">
        <f t="shared" si="36"/>
        <v>2.8809999999999998</v>
      </c>
      <c r="G649" s="35">
        <v>0</v>
      </c>
      <c r="H649" s="35">
        <v>0</v>
      </c>
      <c r="I649" s="35">
        <v>0</v>
      </c>
      <c r="J649" s="35">
        <v>0</v>
      </c>
      <c r="K649" s="35">
        <v>0</v>
      </c>
      <c r="L649" s="36">
        <v>700</v>
      </c>
      <c r="M649" s="35">
        <v>0.96</v>
      </c>
      <c r="N649" s="21">
        <v>3.52</v>
      </c>
      <c r="O649" s="12">
        <v>0</v>
      </c>
      <c r="P649" s="35">
        <v>10</v>
      </c>
      <c r="Q649" s="35" t="s">
        <v>1</v>
      </c>
      <c r="R649" s="35">
        <v>300</v>
      </c>
      <c r="S649" s="35">
        <v>75</v>
      </c>
      <c r="T649" s="21">
        <v>0.64989999999999992</v>
      </c>
      <c r="U649" s="21">
        <f t="shared" si="35"/>
        <v>0.2255813953488372</v>
      </c>
      <c r="V649" s="37" t="s">
        <v>6</v>
      </c>
      <c r="W649" s="37" t="s">
        <v>6</v>
      </c>
      <c r="X649" s="35" t="s">
        <v>6</v>
      </c>
      <c r="Y649" s="23" t="s">
        <v>6</v>
      </c>
      <c r="Z649" s="21" t="s">
        <v>6</v>
      </c>
      <c r="AA649" s="35" t="s">
        <v>6</v>
      </c>
      <c r="AB649" s="35" t="s">
        <v>6</v>
      </c>
      <c r="AC649" s="27" t="s">
        <v>130</v>
      </c>
    </row>
    <row r="650" spans="1:29">
      <c r="A650" s="35" t="s">
        <v>7</v>
      </c>
      <c r="B650" s="35" t="s">
        <v>180</v>
      </c>
      <c r="C650" s="49" t="s">
        <v>60</v>
      </c>
      <c r="D650" s="36">
        <v>600</v>
      </c>
      <c r="E650" s="12">
        <v>35</v>
      </c>
      <c r="F650" s="21">
        <f t="shared" ref="F650:F655" si="37">11*(1-E650%)</f>
        <v>7.15</v>
      </c>
      <c r="G650" s="35">
        <v>0</v>
      </c>
      <c r="H650" s="35">
        <v>0</v>
      </c>
      <c r="I650" s="35">
        <v>0</v>
      </c>
      <c r="J650" s="35">
        <v>0</v>
      </c>
      <c r="K650" s="35">
        <v>0</v>
      </c>
      <c r="L650" s="36">
        <v>700</v>
      </c>
      <c r="M650" s="35">
        <v>0.96</v>
      </c>
      <c r="N650" s="21">
        <v>3.52</v>
      </c>
      <c r="O650" s="12">
        <v>0</v>
      </c>
      <c r="P650" s="35">
        <v>0.04</v>
      </c>
      <c r="Q650" s="35" t="s">
        <v>1</v>
      </c>
      <c r="R650" s="35">
        <v>300</v>
      </c>
      <c r="S650" s="35">
        <v>55</v>
      </c>
      <c r="T650" s="21">
        <v>0.79098119749999996</v>
      </c>
      <c r="U650" s="21">
        <f t="shared" si="35"/>
        <v>0.1106267409090909</v>
      </c>
      <c r="V650" s="37" t="s">
        <v>6</v>
      </c>
      <c r="W650" s="37" t="s">
        <v>6</v>
      </c>
      <c r="X650" s="35" t="s">
        <v>6</v>
      </c>
      <c r="Y650" s="23" t="s">
        <v>6</v>
      </c>
      <c r="Z650" s="21" t="s">
        <v>6</v>
      </c>
      <c r="AA650" s="35" t="s">
        <v>6</v>
      </c>
      <c r="AB650" s="35" t="s">
        <v>6</v>
      </c>
      <c r="AC650" s="27" t="s">
        <v>130</v>
      </c>
    </row>
    <row r="651" spans="1:29">
      <c r="A651" s="35" t="s">
        <v>7</v>
      </c>
      <c r="B651" s="35" t="s">
        <v>180</v>
      </c>
      <c r="C651" s="49" t="s">
        <v>60</v>
      </c>
      <c r="D651" s="36">
        <v>600</v>
      </c>
      <c r="E651" s="12">
        <v>35</v>
      </c>
      <c r="F651" s="21">
        <f t="shared" si="37"/>
        <v>7.15</v>
      </c>
      <c r="G651" s="35">
        <v>0</v>
      </c>
      <c r="H651" s="35">
        <v>0</v>
      </c>
      <c r="I651" s="35">
        <v>0</v>
      </c>
      <c r="J651" s="35">
        <v>0</v>
      </c>
      <c r="K651" s="35">
        <v>0</v>
      </c>
      <c r="L651" s="36">
        <v>700</v>
      </c>
      <c r="M651" s="35">
        <v>0.96</v>
      </c>
      <c r="N651" s="21">
        <v>3.52</v>
      </c>
      <c r="O651" s="12">
        <v>0</v>
      </c>
      <c r="P651" s="35">
        <v>10</v>
      </c>
      <c r="Q651" s="35" t="s">
        <v>1</v>
      </c>
      <c r="R651" s="35">
        <v>300</v>
      </c>
      <c r="S651" s="35">
        <v>55</v>
      </c>
      <c r="T651" s="21">
        <v>1.5909650142945</v>
      </c>
      <c r="U651" s="21">
        <f t="shared" si="35"/>
        <v>0.22251258941181817</v>
      </c>
      <c r="V651" s="37" t="s">
        <v>6</v>
      </c>
      <c r="W651" s="37" t="s">
        <v>6</v>
      </c>
      <c r="X651" s="35" t="s">
        <v>6</v>
      </c>
      <c r="Y651" s="23" t="s">
        <v>6</v>
      </c>
      <c r="Z651" s="21" t="s">
        <v>6</v>
      </c>
      <c r="AA651" s="35" t="s">
        <v>6</v>
      </c>
      <c r="AB651" s="35" t="s">
        <v>6</v>
      </c>
      <c r="AC651" s="27" t="s">
        <v>130</v>
      </c>
    </row>
    <row r="652" spans="1:29">
      <c r="A652" s="35" t="s">
        <v>7</v>
      </c>
      <c r="B652" s="35" t="s">
        <v>180</v>
      </c>
      <c r="C652" s="49" t="s">
        <v>60</v>
      </c>
      <c r="D652" s="36">
        <v>600</v>
      </c>
      <c r="E652" s="12">
        <v>35</v>
      </c>
      <c r="F652" s="21">
        <f t="shared" si="37"/>
        <v>7.15</v>
      </c>
      <c r="G652" s="35">
        <v>0</v>
      </c>
      <c r="H652" s="35">
        <v>0</v>
      </c>
      <c r="I652" s="35">
        <v>0</v>
      </c>
      <c r="J652" s="35">
        <v>0</v>
      </c>
      <c r="K652" s="35">
        <v>0</v>
      </c>
      <c r="L652" s="36">
        <v>700</v>
      </c>
      <c r="M652" s="35">
        <v>0.96</v>
      </c>
      <c r="N652" s="21">
        <v>3.52</v>
      </c>
      <c r="O652" s="12">
        <v>0</v>
      </c>
      <c r="P652" s="35">
        <v>0.04</v>
      </c>
      <c r="Q652" s="35" t="s">
        <v>1</v>
      </c>
      <c r="R652" s="35">
        <v>300</v>
      </c>
      <c r="S652" s="35">
        <v>65</v>
      </c>
      <c r="T652" s="21">
        <v>0.33328469128499999</v>
      </c>
      <c r="U652" s="21">
        <f t="shared" si="35"/>
        <v>4.6613243536363633E-2</v>
      </c>
      <c r="V652" s="37" t="s">
        <v>6</v>
      </c>
      <c r="W652" s="37" t="s">
        <v>6</v>
      </c>
      <c r="X652" s="35" t="s">
        <v>6</v>
      </c>
      <c r="Y652" s="23" t="s">
        <v>6</v>
      </c>
      <c r="Z652" s="21" t="s">
        <v>6</v>
      </c>
      <c r="AA652" s="35" t="s">
        <v>6</v>
      </c>
      <c r="AB652" s="35" t="s">
        <v>6</v>
      </c>
      <c r="AC652" s="27" t="s">
        <v>130</v>
      </c>
    </row>
    <row r="653" spans="1:29">
      <c r="A653" s="35" t="s">
        <v>7</v>
      </c>
      <c r="B653" s="35" t="s">
        <v>180</v>
      </c>
      <c r="C653" s="49" t="s">
        <v>60</v>
      </c>
      <c r="D653" s="36">
        <v>600</v>
      </c>
      <c r="E653" s="12">
        <v>35</v>
      </c>
      <c r="F653" s="21">
        <f t="shared" si="37"/>
        <v>7.15</v>
      </c>
      <c r="G653" s="35">
        <v>0</v>
      </c>
      <c r="H653" s="35">
        <v>0</v>
      </c>
      <c r="I653" s="35">
        <v>0</v>
      </c>
      <c r="J653" s="35">
        <v>0</v>
      </c>
      <c r="K653" s="35">
        <v>0</v>
      </c>
      <c r="L653" s="36">
        <v>700</v>
      </c>
      <c r="M653" s="35">
        <v>0.96</v>
      </c>
      <c r="N653" s="21">
        <v>3.52</v>
      </c>
      <c r="O653" s="12">
        <v>0</v>
      </c>
      <c r="P653" s="35">
        <v>10</v>
      </c>
      <c r="Q653" s="35" t="s">
        <v>1</v>
      </c>
      <c r="R653" s="35">
        <v>300</v>
      </c>
      <c r="S653" s="35">
        <v>65</v>
      </c>
      <c r="T653" s="21">
        <v>1.4100151000000001</v>
      </c>
      <c r="U653" s="21">
        <f t="shared" si="35"/>
        <v>0.1972049090909091</v>
      </c>
      <c r="V653" s="37" t="s">
        <v>6</v>
      </c>
      <c r="W653" s="37" t="s">
        <v>6</v>
      </c>
      <c r="X653" s="35" t="s">
        <v>6</v>
      </c>
      <c r="Y653" s="23" t="s">
        <v>6</v>
      </c>
      <c r="Z653" s="21" t="s">
        <v>6</v>
      </c>
      <c r="AA653" s="35" t="s">
        <v>6</v>
      </c>
      <c r="AB653" s="35" t="s">
        <v>6</v>
      </c>
      <c r="AC653" s="1" t="s">
        <v>133</v>
      </c>
    </row>
    <row r="654" spans="1:29">
      <c r="A654" s="35" t="s">
        <v>7</v>
      </c>
      <c r="B654" s="35" t="s">
        <v>180</v>
      </c>
      <c r="C654" s="49" t="s">
        <v>60</v>
      </c>
      <c r="D654" s="36">
        <v>600</v>
      </c>
      <c r="E654" s="12">
        <v>35</v>
      </c>
      <c r="F654" s="21">
        <f t="shared" si="37"/>
        <v>7.15</v>
      </c>
      <c r="G654" s="35">
        <v>0</v>
      </c>
      <c r="H654" s="35">
        <v>0</v>
      </c>
      <c r="I654" s="35">
        <v>0</v>
      </c>
      <c r="J654" s="35">
        <v>0</v>
      </c>
      <c r="K654" s="35">
        <v>0</v>
      </c>
      <c r="L654" s="36">
        <v>700</v>
      </c>
      <c r="M654" s="35">
        <v>0.96</v>
      </c>
      <c r="N654" s="21">
        <v>3.52</v>
      </c>
      <c r="O654" s="12">
        <v>0</v>
      </c>
      <c r="P654" s="35">
        <v>0.04</v>
      </c>
      <c r="Q654" s="35" t="s">
        <v>1</v>
      </c>
      <c r="R654" s="35">
        <v>300</v>
      </c>
      <c r="S654" s="35">
        <v>75</v>
      </c>
      <c r="T654" s="21">
        <v>0.16652701000000003</v>
      </c>
      <c r="U654" s="21">
        <f t="shared" si="35"/>
        <v>2.3290490909090911E-2</v>
      </c>
      <c r="V654" s="37" t="s">
        <v>6</v>
      </c>
      <c r="W654" s="37" t="s">
        <v>6</v>
      </c>
      <c r="X654" s="35" t="s">
        <v>6</v>
      </c>
      <c r="Y654" s="23" t="s">
        <v>6</v>
      </c>
      <c r="Z654" s="21" t="s">
        <v>6</v>
      </c>
      <c r="AA654" s="35" t="s">
        <v>6</v>
      </c>
      <c r="AB654" s="35" t="s">
        <v>6</v>
      </c>
      <c r="AC654" s="27" t="s">
        <v>130</v>
      </c>
    </row>
    <row r="655" spans="1:29">
      <c r="A655" s="35" t="s">
        <v>7</v>
      </c>
      <c r="B655" s="35" t="s">
        <v>180</v>
      </c>
      <c r="C655" s="49" t="s">
        <v>60</v>
      </c>
      <c r="D655" s="36">
        <v>600</v>
      </c>
      <c r="E655" s="12">
        <v>35</v>
      </c>
      <c r="F655" s="21">
        <f t="shared" si="37"/>
        <v>7.15</v>
      </c>
      <c r="G655" s="35">
        <v>0</v>
      </c>
      <c r="H655" s="35">
        <v>0</v>
      </c>
      <c r="I655" s="35">
        <v>0</v>
      </c>
      <c r="J655" s="35">
        <v>0</v>
      </c>
      <c r="K655" s="35">
        <v>0</v>
      </c>
      <c r="L655" s="36">
        <v>700</v>
      </c>
      <c r="M655" s="35">
        <v>0.96</v>
      </c>
      <c r="N655" s="21">
        <v>3.52</v>
      </c>
      <c r="O655" s="12">
        <v>0</v>
      </c>
      <c r="P655" s="35">
        <v>10</v>
      </c>
      <c r="Q655" s="35" t="s">
        <v>1</v>
      </c>
      <c r="R655" s="35">
        <v>300</v>
      </c>
      <c r="S655" s="35">
        <v>75</v>
      </c>
      <c r="T655" s="21">
        <v>1.4100151000000001</v>
      </c>
      <c r="U655" s="21">
        <f t="shared" si="35"/>
        <v>0.1972049090909091</v>
      </c>
      <c r="V655" s="37" t="s">
        <v>6</v>
      </c>
      <c r="W655" s="37" t="s">
        <v>6</v>
      </c>
      <c r="X655" s="35" t="s">
        <v>6</v>
      </c>
      <c r="Y655" s="23" t="s">
        <v>6</v>
      </c>
      <c r="Z655" s="21" t="s">
        <v>6</v>
      </c>
      <c r="AA655" s="35" t="s">
        <v>6</v>
      </c>
      <c r="AB655" s="35" t="s">
        <v>6</v>
      </c>
      <c r="AC655" s="27" t="s">
        <v>130</v>
      </c>
    </row>
    <row r="656" spans="1:29">
      <c r="A656" s="35" t="s">
        <v>196</v>
      </c>
      <c r="B656" s="35" t="s">
        <v>3</v>
      </c>
      <c r="C656" s="35" t="s">
        <v>65</v>
      </c>
      <c r="D656" s="36">
        <v>189</v>
      </c>
      <c r="E656" s="12">
        <v>30</v>
      </c>
      <c r="F656" s="21">
        <v>7.95</v>
      </c>
      <c r="G656" s="35">
        <v>0</v>
      </c>
      <c r="H656" s="35">
        <v>0</v>
      </c>
      <c r="I656" s="35">
        <v>0</v>
      </c>
      <c r="J656" s="35">
        <v>0</v>
      </c>
      <c r="K656" s="35">
        <v>0</v>
      </c>
      <c r="L656" s="36">
        <v>967</v>
      </c>
      <c r="M656" s="35">
        <v>3</v>
      </c>
      <c r="N656" s="21">
        <v>5.09</v>
      </c>
      <c r="O656" s="12">
        <v>0</v>
      </c>
      <c r="P656" s="35">
        <v>0.04</v>
      </c>
      <c r="Q656" s="35">
        <v>20</v>
      </c>
      <c r="R656" s="35">
        <v>750</v>
      </c>
      <c r="S656" s="35">
        <v>30</v>
      </c>
      <c r="T656" s="35">
        <v>1.1100000000000001</v>
      </c>
      <c r="U656" s="21">
        <v>0.14000000000000001</v>
      </c>
      <c r="V656" s="37">
        <v>68</v>
      </c>
      <c r="W656" s="37">
        <v>392</v>
      </c>
      <c r="X656" s="35" t="s">
        <v>1</v>
      </c>
      <c r="Y656" s="23" t="s">
        <v>6</v>
      </c>
      <c r="Z656" s="21" t="s">
        <v>6</v>
      </c>
      <c r="AA656" s="35" t="s">
        <v>1</v>
      </c>
      <c r="AB656" s="35" t="s">
        <v>6</v>
      </c>
      <c r="AC656" s="27" t="s">
        <v>134</v>
      </c>
    </row>
    <row r="657" spans="1:29">
      <c r="A657" s="35" t="s">
        <v>196</v>
      </c>
      <c r="B657" s="35" t="s">
        <v>3</v>
      </c>
      <c r="C657" s="35" t="s">
        <v>65</v>
      </c>
      <c r="D657" s="36">
        <v>189</v>
      </c>
      <c r="E657" s="12">
        <v>50</v>
      </c>
      <c r="F657" s="21">
        <v>11.78</v>
      </c>
      <c r="G657" s="35">
        <v>0</v>
      </c>
      <c r="H657" s="35">
        <v>0</v>
      </c>
      <c r="I657" s="35">
        <v>0</v>
      </c>
      <c r="J657" s="35">
        <v>0</v>
      </c>
      <c r="K657" s="35">
        <v>0</v>
      </c>
      <c r="L657" s="36">
        <v>967</v>
      </c>
      <c r="M657" s="35">
        <v>3</v>
      </c>
      <c r="N657" s="21">
        <v>5.09</v>
      </c>
      <c r="O657" s="12">
        <v>0</v>
      </c>
      <c r="P657" s="35">
        <v>0.04</v>
      </c>
      <c r="Q657" s="35">
        <v>20</v>
      </c>
      <c r="R657" s="35">
        <v>750</v>
      </c>
      <c r="S657" s="35">
        <v>30</v>
      </c>
      <c r="T657" s="35">
        <v>2.98</v>
      </c>
      <c r="U657" s="21">
        <v>0.25</v>
      </c>
      <c r="V657" s="37">
        <v>87</v>
      </c>
      <c r="W657" s="37">
        <v>310</v>
      </c>
      <c r="X657" s="35" t="s">
        <v>1</v>
      </c>
      <c r="Y657" s="23" t="s">
        <v>6</v>
      </c>
      <c r="Z657" s="21" t="s">
        <v>6</v>
      </c>
      <c r="AA657" s="35" t="s">
        <v>1</v>
      </c>
      <c r="AB657" s="35" t="s">
        <v>6</v>
      </c>
      <c r="AC657" s="27" t="s">
        <v>134</v>
      </c>
    </row>
    <row r="658" spans="1:29">
      <c r="A658" s="35" t="s">
        <v>196</v>
      </c>
      <c r="B658" s="35" t="s">
        <v>3</v>
      </c>
      <c r="C658" s="35" t="s">
        <v>65</v>
      </c>
      <c r="D658" s="36">
        <v>189</v>
      </c>
      <c r="E658" s="12">
        <v>70</v>
      </c>
      <c r="F658" s="21">
        <v>16.09</v>
      </c>
      <c r="G658" s="35">
        <v>0</v>
      </c>
      <c r="H658" s="35">
        <v>0</v>
      </c>
      <c r="I658" s="35">
        <v>0</v>
      </c>
      <c r="J658" s="35">
        <v>0</v>
      </c>
      <c r="K658" s="35">
        <v>0</v>
      </c>
      <c r="L658" s="36">
        <v>967</v>
      </c>
      <c r="M658" s="35">
        <v>3</v>
      </c>
      <c r="N658" s="21">
        <v>5.09</v>
      </c>
      <c r="O658" s="12">
        <v>0</v>
      </c>
      <c r="P658" s="35">
        <v>0.04</v>
      </c>
      <c r="Q658" s="35">
        <v>20</v>
      </c>
      <c r="R658" s="35">
        <v>750</v>
      </c>
      <c r="S658" s="35">
        <v>30</v>
      </c>
      <c r="T658" s="35">
        <v>5.2</v>
      </c>
      <c r="U658" s="21">
        <v>0.31</v>
      </c>
      <c r="V658" s="37">
        <v>110</v>
      </c>
      <c r="W658" s="37">
        <v>347</v>
      </c>
      <c r="X658" s="35">
        <v>110</v>
      </c>
      <c r="Y658" s="23" t="s">
        <v>6</v>
      </c>
      <c r="Z658" s="21">
        <v>22</v>
      </c>
      <c r="AA658" s="35">
        <v>10</v>
      </c>
      <c r="AB658" s="35">
        <v>104</v>
      </c>
      <c r="AC658" s="27" t="s">
        <v>134</v>
      </c>
    </row>
    <row r="659" spans="1:29">
      <c r="A659" s="35" t="s">
        <v>196</v>
      </c>
      <c r="B659" s="35" t="s">
        <v>3</v>
      </c>
      <c r="C659" s="35" t="s">
        <v>65</v>
      </c>
      <c r="D659" s="36">
        <v>189</v>
      </c>
      <c r="E659" s="12">
        <v>70</v>
      </c>
      <c r="F659" s="21">
        <v>16.09</v>
      </c>
      <c r="G659" s="35">
        <v>0</v>
      </c>
      <c r="H659" s="35">
        <v>0</v>
      </c>
      <c r="I659" s="35">
        <v>0</v>
      </c>
      <c r="J659" s="35">
        <v>0</v>
      </c>
      <c r="K659" s="35">
        <v>0</v>
      </c>
      <c r="L659" s="36">
        <v>967</v>
      </c>
      <c r="M659" s="35">
        <v>3</v>
      </c>
      <c r="N659" s="21">
        <v>5.09</v>
      </c>
      <c r="O659" s="12">
        <v>50</v>
      </c>
      <c r="P659" s="35">
        <v>0.04</v>
      </c>
      <c r="Q659" s="35">
        <v>20</v>
      </c>
      <c r="R659" s="35">
        <v>750</v>
      </c>
      <c r="S659" s="35">
        <v>30</v>
      </c>
      <c r="T659" s="35">
        <v>5.88</v>
      </c>
      <c r="U659" s="21">
        <v>0.31</v>
      </c>
      <c r="V659" s="37">
        <v>110</v>
      </c>
      <c r="W659" s="37">
        <v>347</v>
      </c>
      <c r="X659" s="35" t="s">
        <v>1</v>
      </c>
      <c r="Y659" s="23" t="s">
        <v>6</v>
      </c>
      <c r="Z659" s="21" t="s">
        <v>6</v>
      </c>
      <c r="AA659" s="35" t="s">
        <v>1</v>
      </c>
      <c r="AB659" s="35" t="s">
        <v>6</v>
      </c>
      <c r="AC659" s="27" t="s">
        <v>134</v>
      </c>
    </row>
    <row r="660" spans="1:29">
      <c r="A660" s="35" t="s">
        <v>196</v>
      </c>
      <c r="B660" s="35" t="s">
        <v>3</v>
      </c>
      <c r="C660" s="35" t="s">
        <v>65</v>
      </c>
      <c r="D660" s="36">
        <v>189</v>
      </c>
      <c r="E660" s="12">
        <v>80</v>
      </c>
      <c r="F660" s="21">
        <v>17.239999999999998</v>
      </c>
      <c r="G660" s="35">
        <v>0</v>
      </c>
      <c r="H660" s="35">
        <v>0</v>
      </c>
      <c r="I660" s="35">
        <v>0</v>
      </c>
      <c r="J660" s="35">
        <v>0</v>
      </c>
      <c r="K660" s="35">
        <v>0</v>
      </c>
      <c r="L660" s="36">
        <v>967</v>
      </c>
      <c r="M660" s="35">
        <v>3</v>
      </c>
      <c r="N660" s="21">
        <v>5.09</v>
      </c>
      <c r="O660" s="12">
        <v>0</v>
      </c>
      <c r="P660" s="35">
        <v>0.04</v>
      </c>
      <c r="Q660" s="35">
        <v>20</v>
      </c>
      <c r="R660" s="35">
        <v>750</v>
      </c>
      <c r="S660" s="35">
        <v>30</v>
      </c>
      <c r="T660" s="35">
        <v>4.6100000000000003</v>
      </c>
      <c r="U660" s="21">
        <v>0.27</v>
      </c>
      <c r="V660" s="37">
        <v>96.709000000000003</v>
      </c>
      <c r="W660" s="37">
        <v>493</v>
      </c>
      <c r="X660" s="35" t="s">
        <v>1</v>
      </c>
      <c r="Y660" s="23" t="s">
        <v>6</v>
      </c>
      <c r="Z660" s="21" t="s">
        <v>6</v>
      </c>
      <c r="AA660" s="35" t="s">
        <v>1</v>
      </c>
      <c r="AB660" s="35" t="s">
        <v>6</v>
      </c>
      <c r="AC660" s="27" t="s">
        <v>134</v>
      </c>
    </row>
    <row r="661" spans="1:29">
      <c r="A661" s="35" t="s">
        <v>262</v>
      </c>
      <c r="B661" s="35" t="s">
        <v>136</v>
      </c>
      <c r="C661" s="49" t="s">
        <v>89</v>
      </c>
      <c r="D661" s="36">
        <v>86.135999999999996</v>
      </c>
      <c r="E661" s="12">
        <v>27</v>
      </c>
      <c r="F661" s="21">
        <f>E661*2*10/D661</f>
        <v>6.2691557536918365</v>
      </c>
      <c r="G661" s="35">
        <v>0</v>
      </c>
      <c r="H661" s="35">
        <v>0</v>
      </c>
      <c r="I661" s="35">
        <v>0</v>
      </c>
      <c r="J661" s="35">
        <v>0</v>
      </c>
      <c r="K661" s="35">
        <v>0</v>
      </c>
      <c r="L661" s="36">
        <v>1068</v>
      </c>
      <c r="M661" s="35">
        <v>3.9630000000000001</v>
      </c>
      <c r="N661" s="21">
        <v>9.9</v>
      </c>
      <c r="O661" s="12">
        <v>0</v>
      </c>
      <c r="P661" s="35">
        <v>0.04</v>
      </c>
      <c r="Q661" s="35">
        <v>40</v>
      </c>
      <c r="R661" s="35">
        <v>60</v>
      </c>
      <c r="S661" s="35">
        <v>40</v>
      </c>
      <c r="T661" s="35">
        <v>0.35</v>
      </c>
      <c r="U661" s="21">
        <f t="shared" ref="U661:U692" si="38">T661/F661</f>
        <v>5.5828888888888879E-2</v>
      </c>
      <c r="V661" s="37">
        <v>1.59</v>
      </c>
      <c r="W661" s="37">
        <v>21.83</v>
      </c>
      <c r="X661" s="35" t="s">
        <v>6</v>
      </c>
      <c r="Y661" s="23" t="s">
        <v>6</v>
      </c>
      <c r="Z661" s="21" t="s">
        <v>6</v>
      </c>
      <c r="AA661" s="35" t="s">
        <v>6</v>
      </c>
      <c r="AB661" s="35" t="s">
        <v>6</v>
      </c>
      <c r="AC661" s="27" t="s">
        <v>191</v>
      </c>
    </row>
    <row r="662" spans="1:29">
      <c r="A662" s="35" t="s">
        <v>262</v>
      </c>
      <c r="B662" s="35" t="s">
        <v>135</v>
      </c>
      <c r="C662" s="35" t="s">
        <v>100</v>
      </c>
      <c r="D662" s="36">
        <v>86.135999999999996</v>
      </c>
      <c r="E662" s="12">
        <v>62</v>
      </c>
      <c r="F662" s="21">
        <f>E662*2*10/D662</f>
        <v>14.39583913810718</v>
      </c>
      <c r="G662" s="35">
        <v>0</v>
      </c>
      <c r="H662" s="35">
        <v>0</v>
      </c>
      <c r="I662" s="35">
        <v>0</v>
      </c>
      <c r="J662" s="35">
        <v>0</v>
      </c>
      <c r="K662" s="35">
        <v>0</v>
      </c>
      <c r="L662" s="36">
        <v>1068</v>
      </c>
      <c r="M662" s="35">
        <v>3.9630000000000001</v>
      </c>
      <c r="N662" s="21">
        <v>9.9</v>
      </c>
      <c r="O662" s="12">
        <v>0</v>
      </c>
      <c r="P662" s="35">
        <v>0.04</v>
      </c>
      <c r="Q662" s="35">
        <v>40</v>
      </c>
      <c r="R662" s="35">
        <v>60</v>
      </c>
      <c r="S662" s="35">
        <v>40</v>
      </c>
      <c r="T662" s="35">
        <v>0.83</v>
      </c>
      <c r="U662" s="21">
        <f t="shared" si="38"/>
        <v>5.7655548387096772E-2</v>
      </c>
      <c r="V662" s="37">
        <v>1.5469999999999999</v>
      </c>
      <c r="W662" s="37" t="s">
        <v>1</v>
      </c>
      <c r="X662" s="35" t="s">
        <v>6</v>
      </c>
      <c r="Y662" s="23" t="s">
        <v>6</v>
      </c>
      <c r="Z662" s="21" t="s">
        <v>6</v>
      </c>
      <c r="AA662" s="35" t="s">
        <v>6</v>
      </c>
      <c r="AB662" s="35" t="s">
        <v>6</v>
      </c>
      <c r="AC662" s="1" t="s">
        <v>192</v>
      </c>
    </row>
    <row r="663" spans="1:29" ht="13.2" customHeight="1">
      <c r="A663" s="35" t="s">
        <v>262</v>
      </c>
      <c r="B663" s="35" t="s">
        <v>136</v>
      </c>
      <c r="C663" s="49" t="s">
        <v>100</v>
      </c>
      <c r="D663" s="36">
        <v>86.135999999999996</v>
      </c>
      <c r="E663" s="12">
        <v>82</v>
      </c>
      <c r="F663" s="21">
        <f>E663*2*10/D663</f>
        <v>19.039658214915949</v>
      </c>
      <c r="G663" s="35">
        <v>0</v>
      </c>
      <c r="H663" s="35">
        <v>0</v>
      </c>
      <c r="I663" s="35">
        <v>0</v>
      </c>
      <c r="J663" s="35">
        <v>0</v>
      </c>
      <c r="K663" s="35">
        <v>0</v>
      </c>
      <c r="L663" s="36">
        <v>1068</v>
      </c>
      <c r="M663" s="35">
        <v>3.9630000000000001</v>
      </c>
      <c r="N663" s="21">
        <v>9.9</v>
      </c>
      <c r="O663" s="12">
        <v>0</v>
      </c>
      <c r="P663" s="35">
        <v>0.04</v>
      </c>
      <c r="Q663" s="35">
        <v>40</v>
      </c>
      <c r="R663" s="35">
        <v>60</v>
      </c>
      <c r="S663" s="35">
        <v>40</v>
      </c>
      <c r="T663" s="35">
        <v>1.1599999999999999</v>
      </c>
      <c r="U663" s="21">
        <f t="shared" si="38"/>
        <v>6.0925463414634132E-2</v>
      </c>
      <c r="V663" s="37">
        <v>1.123</v>
      </c>
      <c r="W663" s="37">
        <v>28.97</v>
      </c>
      <c r="X663" s="35">
        <v>120</v>
      </c>
      <c r="Y663" s="23">
        <v>6.8199999999999994</v>
      </c>
      <c r="Z663" s="21">
        <v>4.8500000000000005</v>
      </c>
      <c r="AA663" s="35">
        <v>22</v>
      </c>
      <c r="AB663" s="35" t="s">
        <v>6</v>
      </c>
      <c r="AC663" s="27" t="s">
        <v>191</v>
      </c>
    </row>
    <row r="664" spans="1:29">
      <c r="A664" s="35" t="s">
        <v>139</v>
      </c>
      <c r="B664" s="35" t="s">
        <v>13</v>
      </c>
      <c r="C664" s="49" t="s">
        <v>68</v>
      </c>
      <c r="D664" s="36">
        <v>103.169</v>
      </c>
      <c r="E664" s="12">
        <v>20</v>
      </c>
      <c r="F664" s="21">
        <f>E664*3*10/D664</f>
        <v>5.815700452655352</v>
      </c>
      <c r="G664" s="35">
        <v>0</v>
      </c>
      <c r="H664" s="35">
        <v>0</v>
      </c>
      <c r="I664" s="35">
        <v>0</v>
      </c>
      <c r="J664" s="35">
        <v>0</v>
      </c>
      <c r="K664" s="35">
        <v>0</v>
      </c>
      <c r="L664" s="36">
        <v>862</v>
      </c>
      <c r="M664" s="35">
        <v>0.31</v>
      </c>
      <c r="N664" s="21" t="s">
        <v>1</v>
      </c>
      <c r="O664" s="12">
        <v>0</v>
      </c>
      <c r="P664" s="35">
        <v>0.04</v>
      </c>
      <c r="Q664" s="35">
        <v>300</v>
      </c>
      <c r="R664" s="35">
        <v>50</v>
      </c>
      <c r="S664" s="35">
        <v>30</v>
      </c>
      <c r="T664" s="54">
        <v>0.28000000000000003</v>
      </c>
      <c r="U664" s="21">
        <f t="shared" si="38"/>
        <v>4.8145533333333337E-2</v>
      </c>
      <c r="V664" s="37" t="s">
        <v>6</v>
      </c>
      <c r="W664" s="37" t="s">
        <v>6</v>
      </c>
      <c r="X664" s="35" t="s">
        <v>6</v>
      </c>
      <c r="Y664" s="23" t="s">
        <v>6</v>
      </c>
      <c r="Z664" s="21" t="s">
        <v>6</v>
      </c>
      <c r="AA664" s="35" t="s">
        <v>6</v>
      </c>
      <c r="AB664" s="35" t="s">
        <v>6</v>
      </c>
      <c r="AC664" s="27" t="s">
        <v>141</v>
      </c>
    </row>
    <row r="665" spans="1:29">
      <c r="A665" s="35" t="s">
        <v>139</v>
      </c>
      <c r="B665" s="35" t="s">
        <v>13</v>
      </c>
      <c r="C665" s="49" t="s">
        <v>68</v>
      </c>
      <c r="D665" s="36">
        <v>103.169</v>
      </c>
      <c r="E665" s="12">
        <v>30</v>
      </c>
      <c r="F665" s="21">
        <f>E665*3*10/D665</f>
        <v>8.7235506789830275</v>
      </c>
      <c r="G665" s="35">
        <v>0</v>
      </c>
      <c r="H665" s="35">
        <v>0</v>
      </c>
      <c r="I665" s="35">
        <v>0</v>
      </c>
      <c r="J665" s="35">
        <v>0</v>
      </c>
      <c r="K665" s="35">
        <v>0</v>
      </c>
      <c r="L665" s="36">
        <v>862</v>
      </c>
      <c r="M665" s="35">
        <v>0.31</v>
      </c>
      <c r="N665" s="21" t="s">
        <v>1</v>
      </c>
      <c r="O665" s="12">
        <v>0</v>
      </c>
      <c r="P665" s="35">
        <v>0.04</v>
      </c>
      <c r="Q665" s="35">
        <v>300</v>
      </c>
      <c r="R665" s="35">
        <v>50</v>
      </c>
      <c r="S665" s="35">
        <v>30</v>
      </c>
      <c r="T665" s="54">
        <v>0.34</v>
      </c>
      <c r="U665" s="21">
        <f t="shared" si="38"/>
        <v>3.8974955555555559E-2</v>
      </c>
      <c r="V665" s="37" t="s">
        <v>6</v>
      </c>
      <c r="W665" s="37" t="s">
        <v>6</v>
      </c>
      <c r="X665" s="35">
        <v>80</v>
      </c>
      <c r="Y665" s="23" t="s">
        <v>6</v>
      </c>
      <c r="Z665" s="21">
        <v>-37.479178234314467</v>
      </c>
      <c r="AA665" s="35">
        <v>3</v>
      </c>
      <c r="AB665" s="35" t="s">
        <v>6</v>
      </c>
      <c r="AC665" s="27" t="s">
        <v>141</v>
      </c>
    </row>
    <row r="666" spans="1:29">
      <c r="A666" s="35" t="s">
        <v>139</v>
      </c>
      <c r="B666" s="35" t="s">
        <v>13</v>
      </c>
      <c r="C666" s="49" t="s">
        <v>68</v>
      </c>
      <c r="D666" s="36">
        <v>103.169</v>
      </c>
      <c r="E666" s="12">
        <v>40</v>
      </c>
      <c r="F666" s="21">
        <f>E666*3*10/D666</f>
        <v>11.631400905310704</v>
      </c>
      <c r="G666" s="35">
        <v>0</v>
      </c>
      <c r="H666" s="35">
        <v>0</v>
      </c>
      <c r="I666" s="35">
        <v>0</v>
      </c>
      <c r="J666" s="35">
        <v>0</v>
      </c>
      <c r="K666" s="35">
        <v>0</v>
      </c>
      <c r="L666" s="36">
        <v>862</v>
      </c>
      <c r="M666" s="35">
        <v>0.31</v>
      </c>
      <c r="N666" s="21" t="s">
        <v>1</v>
      </c>
      <c r="O666" s="12">
        <v>0</v>
      </c>
      <c r="P666" s="35">
        <v>0.04</v>
      </c>
      <c r="Q666" s="35">
        <v>300</v>
      </c>
      <c r="R666" s="35">
        <v>50</v>
      </c>
      <c r="S666" s="35">
        <v>30</v>
      </c>
      <c r="T666" s="54">
        <v>0.32</v>
      </c>
      <c r="U666" s="21">
        <f t="shared" si="38"/>
        <v>2.7511733333333333E-2</v>
      </c>
      <c r="V666" s="37" t="s">
        <v>6</v>
      </c>
      <c r="W666" s="37" t="s">
        <v>6</v>
      </c>
      <c r="X666" s="35">
        <v>80</v>
      </c>
      <c r="Y666" s="23" t="s">
        <v>6</v>
      </c>
      <c r="Z666" s="21">
        <v>-49.256564378361553</v>
      </c>
      <c r="AA666" s="35">
        <v>3</v>
      </c>
      <c r="AB666" s="35" t="s">
        <v>6</v>
      </c>
      <c r="AC666" s="27" t="s">
        <v>141</v>
      </c>
    </row>
    <row r="667" spans="1:29">
      <c r="A667" s="35" t="s">
        <v>139</v>
      </c>
      <c r="B667" s="35" t="s">
        <v>13</v>
      </c>
      <c r="C667" s="49" t="s">
        <v>68</v>
      </c>
      <c r="D667" s="36">
        <v>103.169</v>
      </c>
      <c r="E667" s="12">
        <v>50</v>
      </c>
      <c r="F667" s="21">
        <f>E667*3*10/D667</f>
        <v>14.53925113163838</v>
      </c>
      <c r="G667" s="35">
        <v>0</v>
      </c>
      <c r="H667" s="35">
        <v>0</v>
      </c>
      <c r="I667" s="35">
        <v>0</v>
      </c>
      <c r="J667" s="35">
        <v>0</v>
      </c>
      <c r="K667" s="35">
        <v>0</v>
      </c>
      <c r="L667" s="36">
        <v>862</v>
      </c>
      <c r="M667" s="35">
        <v>0.31</v>
      </c>
      <c r="N667" s="21" t="s">
        <v>1</v>
      </c>
      <c r="O667" s="12">
        <v>0</v>
      </c>
      <c r="P667" s="35">
        <v>0.04</v>
      </c>
      <c r="Q667" s="35">
        <v>300</v>
      </c>
      <c r="R667" s="35">
        <v>50</v>
      </c>
      <c r="S667" s="35">
        <v>30</v>
      </c>
      <c r="T667" s="54">
        <v>0.17</v>
      </c>
      <c r="U667" s="21">
        <f t="shared" si="38"/>
        <v>1.1692486666666667E-2</v>
      </c>
      <c r="V667" s="37" t="s">
        <v>6</v>
      </c>
      <c r="W667" s="37" t="s">
        <v>6</v>
      </c>
      <c r="X667" s="35" t="s">
        <v>6</v>
      </c>
      <c r="Y667" s="23" t="s">
        <v>6</v>
      </c>
      <c r="Z667" s="21" t="s">
        <v>6</v>
      </c>
      <c r="AA667" s="35" t="s">
        <v>6</v>
      </c>
      <c r="AB667" s="35" t="s">
        <v>6</v>
      </c>
      <c r="AC667" s="27" t="s">
        <v>141</v>
      </c>
    </row>
    <row r="668" spans="1:29">
      <c r="A668" s="35" t="s">
        <v>139</v>
      </c>
      <c r="B668" s="35" t="s">
        <v>13</v>
      </c>
      <c r="C668" s="49" t="s">
        <v>68</v>
      </c>
      <c r="D668" s="36">
        <v>103.169</v>
      </c>
      <c r="E668" s="12">
        <v>60</v>
      </c>
      <c r="F668" s="21">
        <f>E668*3*10/D668</f>
        <v>17.447101357966055</v>
      </c>
      <c r="G668" s="35">
        <v>0</v>
      </c>
      <c r="H668" s="35">
        <v>0</v>
      </c>
      <c r="I668" s="35">
        <v>0</v>
      </c>
      <c r="J668" s="35">
        <v>0</v>
      </c>
      <c r="K668" s="35">
        <v>0</v>
      </c>
      <c r="L668" s="36">
        <v>862</v>
      </c>
      <c r="M668" s="35">
        <v>0.31</v>
      </c>
      <c r="N668" s="21" t="s">
        <v>1</v>
      </c>
      <c r="O668" s="12">
        <v>0</v>
      </c>
      <c r="P668" s="35">
        <v>0.04</v>
      </c>
      <c r="Q668" s="35">
        <v>300</v>
      </c>
      <c r="R668" s="35">
        <v>50</v>
      </c>
      <c r="S668" s="35">
        <v>30</v>
      </c>
      <c r="T668" s="54">
        <v>0.1</v>
      </c>
      <c r="U668" s="21">
        <f t="shared" si="38"/>
        <v>5.7316111111111118E-3</v>
      </c>
      <c r="V668" s="37" t="s">
        <v>6</v>
      </c>
      <c r="W668" s="37" t="s">
        <v>6</v>
      </c>
      <c r="X668" s="35" t="s">
        <v>6</v>
      </c>
      <c r="Y668" s="23" t="s">
        <v>6</v>
      </c>
      <c r="Z668" s="21" t="s">
        <v>6</v>
      </c>
      <c r="AA668" s="35" t="s">
        <v>6</v>
      </c>
      <c r="AB668" s="35" t="s">
        <v>6</v>
      </c>
      <c r="AC668" s="27" t="s">
        <v>141</v>
      </c>
    </row>
    <row r="669" spans="1:29">
      <c r="A669" s="35" t="s">
        <v>139</v>
      </c>
      <c r="B669" s="35" t="s">
        <v>181</v>
      </c>
      <c r="C669" s="49" t="s">
        <v>89</v>
      </c>
      <c r="D669" s="36">
        <f>600/1.3</f>
        <v>461.53846153846155</v>
      </c>
      <c r="E669" s="12">
        <v>30</v>
      </c>
      <c r="F669" s="21">
        <f>E669*13*10/600</f>
        <v>6.5</v>
      </c>
      <c r="G669" s="35">
        <v>0</v>
      </c>
      <c r="H669" s="35">
        <v>0</v>
      </c>
      <c r="I669" s="35">
        <v>0</v>
      </c>
      <c r="J669" s="35">
        <v>0</v>
      </c>
      <c r="K669" s="35">
        <f>((E669*1*1000)/D669)/F669</f>
        <v>10</v>
      </c>
      <c r="L669" s="36">
        <v>862</v>
      </c>
      <c r="M669" s="35">
        <v>0.31</v>
      </c>
      <c r="N669" s="21" t="s">
        <v>1</v>
      </c>
      <c r="O669" s="12">
        <v>0</v>
      </c>
      <c r="P669" s="35">
        <v>0.04</v>
      </c>
      <c r="Q669" s="35">
        <v>300</v>
      </c>
      <c r="R669" s="35">
        <v>50</v>
      </c>
      <c r="S669" s="35">
        <v>30</v>
      </c>
      <c r="T669" s="54">
        <v>0.25</v>
      </c>
      <c r="U669" s="21">
        <f t="shared" si="38"/>
        <v>3.8461538461538464E-2</v>
      </c>
      <c r="V669" s="37" t="s">
        <v>6</v>
      </c>
      <c r="W669" s="37" t="s">
        <v>6</v>
      </c>
      <c r="X669" s="35" t="s">
        <v>6</v>
      </c>
      <c r="Y669" s="23" t="s">
        <v>6</v>
      </c>
      <c r="Z669" s="21" t="s">
        <v>6</v>
      </c>
      <c r="AA669" s="35" t="s">
        <v>6</v>
      </c>
      <c r="AB669" s="35" t="s">
        <v>6</v>
      </c>
      <c r="AC669" s="27" t="s">
        <v>141</v>
      </c>
    </row>
    <row r="670" spans="1:29">
      <c r="A670" s="35" t="s">
        <v>139</v>
      </c>
      <c r="B670" s="35" t="s">
        <v>181</v>
      </c>
      <c r="C670" s="49" t="s">
        <v>89</v>
      </c>
      <c r="D670" s="36">
        <f t="shared" ref="D670:D673" si="39">600/1.3</f>
        <v>461.53846153846155</v>
      </c>
      <c r="E670" s="12">
        <v>40</v>
      </c>
      <c r="F670" s="21">
        <f>E670*13*10/600</f>
        <v>8.6666666666666661</v>
      </c>
      <c r="G670" s="35">
        <v>0</v>
      </c>
      <c r="H670" s="35">
        <v>0</v>
      </c>
      <c r="I670" s="35">
        <v>0</v>
      </c>
      <c r="J670" s="35">
        <v>0</v>
      </c>
      <c r="K670" s="35">
        <f>((E670*1*1000)/D670)/F670</f>
        <v>10.000000000000002</v>
      </c>
      <c r="L670" s="36">
        <v>862</v>
      </c>
      <c r="M670" s="35">
        <v>0.31</v>
      </c>
      <c r="N670" s="21" t="s">
        <v>1</v>
      </c>
      <c r="O670" s="12">
        <v>0</v>
      </c>
      <c r="P670" s="35">
        <v>0.04</v>
      </c>
      <c r="Q670" s="35">
        <v>300</v>
      </c>
      <c r="R670" s="35">
        <v>50</v>
      </c>
      <c r="S670" s="35">
        <v>30</v>
      </c>
      <c r="T670" s="54">
        <v>0.64</v>
      </c>
      <c r="U670" s="21">
        <f t="shared" si="38"/>
        <v>7.3846153846153853E-2</v>
      </c>
      <c r="V670" s="37" t="s">
        <v>6</v>
      </c>
      <c r="W670" s="37" t="s">
        <v>6</v>
      </c>
      <c r="X670" s="35">
        <v>80</v>
      </c>
      <c r="Y670" s="23" t="s">
        <v>6</v>
      </c>
      <c r="Z670" s="21">
        <v>5.7308617518041425</v>
      </c>
      <c r="AA670" s="35">
        <v>3</v>
      </c>
      <c r="AB670" s="35" t="s">
        <v>6</v>
      </c>
      <c r="AC670" s="27" t="s">
        <v>141</v>
      </c>
    </row>
    <row r="671" spans="1:29">
      <c r="A671" s="35" t="s">
        <v>139</v>
      </c>
      <c r="B671" s="35" t="s">
        <v>181</v>
      </c>
      <c r="C671" s="49" t="s">
        <v>89</v>
      </c>
      <c r="D671" s="36">
        <f t="shared" si="39"/>
        <v>461.53846153846155</v>
      </c>
      <c r="E671" s="12">
        <v>50</v>
      </c>
      <c r="F671" s="21">
        <f>E671*13*10/600</f>
        <v>10.833333333333334</v>
      </c>
      <c r="G671" s="35">
        <v>0</v>
      </c>
      <c r="H671" s="35">
        <v>0</v>
      </c>
      <c r="I671" s="35">
        <v>0</v>
      </c>
      <c r="J671" s="35">
        <v>0</v>
      </c>
      <c r="K671" s="35">
        <f>((E671*1*1000)/D671)/F671</f>
        <v>9.9999999999999982</v>
      </c>
      <c r="L671" s="36">
        <v>862</v>
      </c>
      <c r="M671" s="35">
        <v>0.31</v>
      </c>
      <c r="N671" s="21" t="s">
        <v>1</v>
      </c>
      <c r="O671" s="12">
        <v>0</v>
      </c>
      <c r="P671" s="35">
        <v>0.04</v>
      </c>
      <c r="Q671" s="35">
        <v>300</v>
      </c>
      <c r="R671" s="35">
        <v>50</v>
      </c>
      <c r="S671" s="35">
        <v>30</v>
      </c>
      <c r="T671" s="54">
        <v>0.46</v>
      </c>
      <c r="U671" s="21">
        <f t="shared" si="38"/>
        <v>4.246153846153846E-2</v>
      </c>
      <c r="V671" s="37" t="s">
        <v>6</v>
      </c>
      <c r="W671" s="37" t="s">
        <v>6</v>
      </c>
      <c r="X671" s="35" t="s">
        <v>6</v>
      </c>
      <c r="Y671" s="23" t="s">
        <v>6</v>
      </c>
      <c r="Z671" s="21" t="s">
        <v>6</v>
      </c>
      <c r="AA671" s="35" t="s">
        <v>6</v>
      </c>
      <c r="AB671" s="35" t="s">
        <v>6</v>
      </c>
      <c r="AC671" s="27" t="s">
        <v>141</v>
      </c>
    </row>
    <row r="672" spans="1:29">
      <c r="A672" s="35" t="s">
        <v>139</v>
      </c>
      <c r="B672" s="35" t="s">
        <v>181</v>
      </c>
      <c r="C672" s="49" t="s">
        <v>89</v>
      </c>
      <c r="D672" s="36">
        <f t="shared" si="39"/>
        <v>461.53846153846155</v>
      </c>
      <c r="E672" s="12">
        <v>60</v>
      </c>
      <c r="F672" s="21">
        <f>E672*13*10/600</f>
        <v>13</v>
      </c>
      <c r="G672" s="35">
        <v>0</v>
      </c>
      <c r="H672" s="35">
        <v>0</v>
      </c>
      <c r="I672" s="35">
        <v>0</v>
      </c>
      <c r="J672" s="35">
        <v>0</v>
      </c>
      <c r="K672" s="35">
        <f>((E672*1*1000)/D672)/F672</f>
        <v>10</v>
      </c>
      <c r="L672" s="36">
        <v>862</v>
      </c>
      <c r="M672" s="35">
        <v>0.31</v>
      </c>
      <c r="N672" s="21" t="s">
        <v>1</v>
      </c>
      <c r="O672" s="12">
        <v>0</v>
      </c>
      <c r="P672" s="35">
        <v>0.04</v>
      </c>
      <c r="Q672" s="35">
        <v>300</v>
      </c>
      <c r="R672" s="35">
        <v>50</v>
      </c>
      <c r="S672" s="35">
        <v>30</v>
      </c>
      <c r="T672" s="54">
        <v>0.15</v>
      </c>
      <c r="U672" s="21">
        <f t="shared" si="38"/>
        <v>1.1538461538461537E-2</v>
      </c>
      <c r="V672" s="37" t="s">
        <v>6</v>
      </c>
      <c r="W672" s="37" t="s">
        <v>6</v>
      </c>
      <c r="X672" s="35" t="s">
        <v>6</v>
      </c>
      <c r="Y672" s="23" t="s">
        <v>6</v>
      </c>
      <c r="Z672" s="21" t="s">
        <v>6</v>
      </c>
      <c r="AA672" s="35" t="s">
        <v>6</v>
      </c>
      <c r="AB672" s="35" t="s">
        <v>6</v>
      </c>
      <c r="AC672" s="27" t="s">
        <v>141</v>
      </c>
    </row>
    <row r="673" spans="1:29">
      <c r="A673" s="35" t="s">
        <v>139</v>
      </c>
      <c r="B673" s="35" t="s">
        <v>181</v>
      </c>
      <c r="C673" s="49" t="s">
        <v>89</v>
      </c>
      <c r="D673" s="36">
        <f t="shared" si="39"/>
        <v>461.53846153846155</v>
      </c>
      <c r="E673" s="12">
        <v>70</v>
      </c>
      <c r="F673" s="21">
        <f>E673*13*10/600</f>
        <v>15.166666666666666</v>
      </c>
      <c r="G673" s="35">
        <v>0</v>
      </c>
      <c r="H673" s="35">
        <v>0</v>
      </c>
      <c r="I673" s="35">
        <v>0</v>
      </c>
      <c r="J673" s="35">
        <v>0</v>
      </c>
      <c r="K673" s="35">
        <f>((E673*1*1000)/D673)/F673</f>
        <v>10</v>
      </c>
      <c r="L673" s="36">
        <v>862</v>
      </c>
      <c r="M673" s="35">
        <v>0.31</v>
      </c>
      <c r="N673" s="21" t="s">
        <v>1</v>
      </c>
      <c r="O673" s="12">
        <v>0</v>
      </c>
      <c r="P673" s="35">
        <v>0.04</v>
      </c>
      <c r="Q673" s="35">
        <v>300</v>
      </c>
      <c r="R673" s="35">
        <v>50</v>
      </c>
      <c r="S673" s="35">
        <v>30</v>
      </c>
      <c r="T673" s="54">
        <v>0.01</v>
      </c>
      <c r="U673" s="21">
        <f t="shared" si="38"/>
        <v>6.5934065934065934E-4</v>
      </c>
      <c r="V673" s="37" t="s">
        <v>6</v>
      </c>
      <c r="W673" s="37" t="s">
        <v>6</v>
      </c>
      <c r="X673" s="35" t="s">
        <v>6</v>
      </c>
      <c r="Y673" s="23" t="s">
        <v>6</v>
      </c>
      <c r="Z673" s="21" t="s">
        <v>6</v>
      </c>
      <c r="AA673" s="35" t="s">
        <v>6</v>
      </c>
      <c r="AB673" s="35" t="s">
        <v>6</v>
      </c>
      <c r="AC673" s="27" t="s">
        <v>141</v>
      </c>
    </row>
    <row r="674" spans="1:29">
      <c r="A674" s="35" t="s">
        <v>139</v>
      </c>
      <c r="B674" s="35" t="s">
        <v>4</v>
      </c>
      <c r="C674" s="49" t="s">
        <v>72</v>
      </c>
      <c r="D674" s="36">
        <v>146.22999999999999</v>
      </c>
      <c r="E674" s="12">
        <v>40</v>
      </c>
      <c r="F674" s="21">
        <f>E674*4*10/D674</f>
        <v>10.94166723654517</v>
      </c>
      <c r="G674" s="35">
        <v>0</v>
      </c>
      <c r="H674" s="35">
        <v>0</v>
      </c>
      <c r="I674" s="35">
        <v>0</v>
      </c>
      <c r="J674" s="35">
        <v>0</v>
      </c>
      <c r="K674" s="35">
        <v>0</v>
      </c>
      <c r="L674" s="36">
        <v>862</v>
      </c>
      <c r="M674" s="35">
        <v>0.31</v>
      </c>
      <c r="N674" s="21" t="s">
        <v>1</v>
      </c>
      <c r="O674" s="12">
        <v>0</v>
      </c>
      <c r="P674" s="35">
        <v>0.04</v>
      </c>
      <c r="Q674" s="35">
        <v>300</v>
      </c>
      <c r="R674" s="35">
        <v>50</v>
      </c>
      <c r="S674" s="35">
        <v>30</v>
      </c>
      <c r="T674" s="54">
        <v>0.18</v>
      </c>
      <c r="U674" s="21">
        <f t="shared" si="38"/>
        <v>1.6450874999999997E-2</v>
      </c>
      <c r="V674" s="37" t="s">
        <v>6</v>
      </c>
      <c r="W674" s="37" t="s">
        <v>6</v>
      </c>
      <c r="X674" s="35">
        <v>80</v>
      </c>
      <c r="Y674" s="23" t="s">
        <v>6</v>
      </c>
      <c r="Z674" s="21">
        <v>-11.3</v>
      </c>
      <c r="AA674" s="35">
        <v>3</v>
      </c>
      <c r="AB674" s="35" t="s">
        <v>6</v>
      </c>
      <c r="AC674" s="27" t="s">
        <v>141</v>
      </c>
    </row>
    <row r="675" spans="1:29">
      <c r="A675" s="35" t="s">
        <v>139</v>
      </c>
      <c r="B675" s="35" t="s">
        <v>3</v>
      </c>
      <c r="C675" s="49" t="s">
        <v>66</v>
      </c>
      <c r="D675" s="36">
        <v>189.30699999999999</v>
      </c>
      <c r="E675" s="12">
        <v>40</v>
      </c>
      <c r="F675" s="21">
        <f>E675*5*10/D675</f>
        <v>10.564849688601056</v>
      </c>
      <c r="G675" s="35">
        <v>0</v>
      </c>
      <c r="H675" s="35">
        <v>0</v>
      </c>
      <c r="I675" s="35">
        <v>0</v>
      </c>
      <c r="J675" s="35">
        <v>0</v>
      </c>
      <c r="K675" s="35">
        <v>0</v>
      </c>
      <c r="L675" s="36">
        <v>862</v>
      </c>
      <c r="M675" s="35">
        <v>0.31</v>
      </c>
      <c r="N675" s="21" t="s">
        <v>1</v>
      </c>
      <c r="O675" s="12">
        <v>0</v>
      </c>
      <c r="P675" s="35">
        <v>0.04</v>
      </c>
      <c r="Q675" s="35">
        <v>300</v>
      </c>
      <c r="R675" s="35">
        <v>50</v>
      </c>
      <c r="S675" s="35">
        <v>30</v>
      </c>
      <c r="T675" s="54">
        <v>0.12</v>
      </c>
      <c r="U675" s="21">
        <f t="shared" si="38"/>
        <v>1.1358419999999999E-2</v>
      </c>
      <c r="V675" s="37" t="s">
        <v>6</v>
      </c>
      <c r="W675" s="37" t="s">
        <v>6</v>
      </c>
      <c r="X675" s="35" t="s">
        <v>6</v>
      </c>
      <c r="Y675" s="23" t="s">
        <v>6</v>
      </c>
      <c r="Z675" s="21" t="s">
        <v>6</v>
      </c>
      <c r="AA675" s="35" t="s">
        <v>6</v>
      </c>
      <c r="AB675" s="35" t="s">
        <v>6</v>
      </c>
      <c r="AC675" s="27" t="s">
        <v>141</v>
      </c>
    </row>
    <row r="676" spans="1:29">
      <c r="A676" s="35" t="s">
        <v>139</v>
      </c>
      <c r="B676" s="35" t="s">
        <v>137</v>
      </c>
      <c r="C676" s="49" t="s">
        <v>96</v>
      </c>
      <c r="D676" s="36">
        <v>61.08</v>
      </c>
      <c r="E676" s="12">
        <v>40</v>
      </c>
      <c r="F676" s="21">
        <f>E676*1*10/D676</f>
        <v>6.5487884741322855</v>
      </c>
      <c r="G676" s="35">
        <v>0</v>
      </c>
      <c r="H676" s="35">
        <v>0</v>
      </c>
      <c r="I676" s="35">
        <v>0</v>
      </c>
      <c r="J676" s="35">
        <v>0</v>
      </c>
      <c r="K676" s="35">
        <v>0</v>
      </c>
      <c r="L676" s="36">
        <v>862</v>
      </c>
      <c r="M676" s="35">
        <v>0.31</v>
      </c>
      <c r="N676" s="21" t="s">
        <v>1</v>
      </c>
      <c r="O676" s="12">
        <v>0</v>
      </c>
      <c r="P676" s="35">
        <v>0.04</v>
      </c>
      <c r="Q676" s="35">
        <v>300</v>
      </c>
      <c r="R676" s="35">
        <v>50</v>
      </c>
      <c r="S676" s="35">
        <v>30</v>
      </c>
      <c r="T676" s="54">
        <v>0.06</v>
      </c>
      <c r="U676" s="21">
        <f t="shared" si="38"/>
        <v>9.162E-3</v>
      </c>
      <c r="V676" s="37" t="s">
        <v>6</v>
      </c>
      <c r="W676" s="37" t="s">
        <v>6</v>
      </c>
      <c r="X676" s="35" t="s">
        <v>6</v>
      </c>
      <c r="Y676" s="23" t="s">
        <v>6</v>
      </c>
      <c r="Z676" s="21" t="s">
        <v>6</v>
      </c>
      <c r="AA676" s="35" t="s">
        <v>6</v>
      </c>
      <c r="AB676" s="35" t="s">
        <v>6</v>
      </c>
      <c r="AC676" s="27" t="s">
        <v>141</v>
      </c>
    </row>
    <row r="677" spans="1:29">
      <c r="A677" s="35" t="s">
        <v>139</v>
      </c>
      <c r="B677" s="35" t="s">
        <v>138</v>
      </c>
      <c r="C677" s="49" t="s">
        <v>89</v>
      </c>
      <c r="D677" s="36">
        <v>60.1</v>
      </c>
      <c r="E677" s="12">
        <v>40</v>
      </c>
      <c r="F677" s="21">
        <f>E677*2*10/D677</f>
        <v>13.311148086522461</v>
      </c>
      <c r="G677" s="35">
        <v>0</v>
      </c>
      <c r="H677" s="35">
        <v>0</v>
      </c>
      <c r="I677" s="35">
        <v>0</v>
      </c>
      <c r="J677" s="35">
        <v>0</v>
      </c>
      <c r="K677" s="35">
        <v>0</v>
      </c>
      <c r="L677" s="36">
        <v>862</v>
      </c>
      <c r="M677" s="35">
        <v>0.31</v>
      </c>
      <c r="N677" s="21" t="s">
        <v>1</v>
      </c>
      <c r="O677" s="12">
        <v>0</v>
      </c>
      <c r="P677" s="35">
        <v>0.04</v>
      </c>
      <c r="Q677" s="35">
        <v>300</v>
      </c>
      <c r="R677" s="35">
        <v>50</v>
      </c>
      <c r="S677" s="35">
        <v>30</v>
      </c>
      <c r="T677" s="54">
        <v>0.05</v>
      </c>
      <c r="U677" s="21">
        <f t="shared" si="38"/>
        <v>3.7562500000000005E-3</v>
      </c>
      <c r="V677" s="37" t="s">
        <v>6</v>
      </c>
      <c r="W677" s="37" t="s">
        <v>6</v>
      </c>
      <c r="X677" s="35" t="s">
        <v>6</v>
      </c>
      <c r="Y677" s="23" t="s">
        <v>6</v>
      </c>
      <c r="Z677" s="21" t="s">
        <v>6</v>
      </c>
      <c r="AA677" s="35" t="s">
        <v>6</v>
      </c>
      <c r="AB677" s="35" t="s">
        <v>6</v>
      </c>
      <c r="AC677" s="27" t="s">
        <v>141</v>
      </c>
    </row>
    <row r="678" spans="1:29">
      <c r="A678" s="35" t="s">
        <v>139</v>
      </c>
      <c r="B678" s="35" t="s">
        <v>140</v>
      </c>
      <c r="C678" s="49" t="s">
        <v>68</v>
      </c>
      <c r="D678" s="36">
        <v>103.169</v>
      </c>
      <c r="E678" s="12">
        <v>20</v>
      </c>
      <c r="F678" s="21">
        <f>E678*3*10/D678</f>
        <v>5.815700452655352</v>
      </c>
      <c r="G678" s="35">
        <v>0</v>
      </c>
      <c r="H678" s="35">
        <v>0</v>
      </c>
      <c r="I678" s="35">
        <v>0</v>
      </c>
      <c r="J678" s="35">
        <v>0</v>
      </c>
      <c r="K678" s="35">
        <v>0</v>
      </c>
      <c r="L678" s="36">
        <v>862</v>
      </c>
      <c r="M678" s="35">
        <v>0.31</v>
      </c>
      <c r="N678" s="21" t="s">
        <v>1</v>
      </c>
      <c r="O678" s="12">
        <v>60</v>
      </c>
      <c r="P678" s="35">
        <v>0.04</v>
      </c>
      <c r="Q678" s="35">
        <v>100</v>
      </c>
      <c r="R678" s="35">
        <v>50</v>
      </c>
      <c r="S678" s="35">
        <v>30</v>
      </c>
      <c r="T678" s="54">
        <v>0.25</v>
      </c>
      <c r="U678" s="21">
        <f t="shared" si="38"/>
        <v>4.2987083333333335E-2</v>
      </c>
      <c r="V678" s="37" t="s">
        <v>6</v>
      </c>
      <c r="W678" s="37" t="s">
        <v>6</v>
      </c>
      <c r="X678" s="35" t="s">
        <v>6</v>
      </c>
      <c r="Y678" s="23" t="s">
        <v>6</v>
      </c>
      <c r="Z678" s="21" t="s">
        <v>6</v>
      </c>
      <c r="AA678" s="35" t="s">
        <v>6</v>
      </c>
      <c r="AB678" s="35" t="s">
        <v>6</v>
      </c>
      <c r="AC678" s="27" t="s">
        <v>141</v>
      </c>
    </row>
    <row r="679" spans="1:29">
      <c r="A679" s="35" t="s">
        <v>139</v>
      </c>
      <c r="B679" s="35" t="s">
        <v>140</v>
      </c>
      <c r="C679" s="49" t="s">
        <v>68</v>
      </c>
      <c r="D679" s="36">
        <v>103.169</v>
      </c>
      <c r="E679" s="12">
        <v>30</v>
      </c>
      <c r="F679" s="21">
        <f>E679*3*10/D679</f>
        <v>8.7235506789830275</v>
      </c>
      <c r="G679" s="35">
        <v>0</v>
      </c>
      <c r="H679" s="35">
        <v>0</v>
      </c>
      <c r="I679" s="35">
        <v>0</v>
      </c>
      <c r="J679" s="35">
        <v>0</v>
      </c>
      <c r="K679" s="35">
        <v>0</v>
      </c>
      <c r="L679" s="36">
        <v>862</v>
      </c>
      <c r="M679" s="35">
        <v>0.31</v>
      </c>
      <c r="N679" s="21" t="s">
        <v>1</v>
      </c>
      <c r="O679" s="12">
        <v>60</v>
      </c>
      <c r="P679" s="35">
        <v>0.04</v>
      </c>
      <c r="Q679" s="35">
        <v>100</v>
      </c>
      <c r="R679" s="35">
        <v>50</v>
      </c>
      <c r="S679" s="35">
        <v>30</v>
      </c>
      <c r="T679" s="54">
        <v>0.3</v>
      </c>
      <c r="U679" s="21">
        <f t="shared" si="38"/>
        <v>3.4389666666666666E-2</v>
      </c>
      <c r="V679" s="37" t="s">
        <v>6</v>
      </c>
      <c r="W679" s="37" t="s">
        <v>6</v>
      </c>
      <c r="X679" s="35" t="s">
        <v>6</v>
      </c>
      <c r="Y679" s="23" t="s">
        <v>6</v>
      </c>
      <c r="Z679" s="21" t="s">
        <v>6</v>
      </c>
      <c r="AA679" s="35" t="s">
        <v>6</v>
      </c>
      <c r="AB679" s="35" t="s">
        <v>6</v>
      </c>
      <c r="AC679" s="27" t="s">
        <v>141</v>
      </c>
    </row>
    <row r="680" spans="1:29">
      <c r="A680" s="35" t="s">
        <v>139</v>
      </c>
      <c r="B680" s="35" t="s">
        <v>140</v>
      </c>
      <c r="C680" s="49" t="s">
        <v>68</v>
      </c>
      <c r="D680" s="36">
        <v>103.169</v>
      </c>
      <c r="E680" s="12">
        <v>40</v>
      </c>
      <c r="F680" s="21">
        <f>E680*3*10/D680</f>
        <v>11.631400905310704</v>
      </c>
      <c r="G680" s="35">
        <v>0</v>
      </c>
      <c r="H680" s="35">
        <v>0</v>
      </c>
      <c r="I680" s="35">
        <v>0</v>
      </c>
      <c r="J680" s="35">
        <v>0</v>
      </c>
      <c r="K680" s="35">
        <v>0</v>
      </c>
      <c r="L680" s="36">
        <v>862</v>
      </c>
      <c r="M680" s="35">
        <v>0.31</v>
      </c>
      <c r="N680" s="21" t="s">
        <v>1</v>
      </c>
      <c r="O680" s="12">
        <v>60</v>
      </c>
      <c r="P680" s="35">
        <v>0.04</v>
      </c>
      <c r="Q680" s="35">
        <v>100</v>
      </c>
      <c r="R680" s="35">
        <v>50</v>
      </c>
      <c r="S680" s="35">
        <v>30</v>
      </c>
      <c r="T680" s="54">
        <v>0.43</v>
      </c>
      <c r="U680" s="21">
        <f t="shared" si="38"/>
        <v>3.6968891666666663E-2</v>
      </c>
      <c r="V680" s="37" t="s">
        <v>6</v>
      </c>
      <c r="W680" s="37" t="s">
        <v>6</v>
      </c>
      <c r="X680" s="35">
        <v>80</v>
      </c>
      <c r="Y680" s="23" t="s">
        <v>6</v>
      </c>
      <c r="Z680" s="21">
        <v>6.9699999999999998E-2</v>
      </c>
      <c r="AA680" s="35">
        <v>10</v>
      </c>
      <c r="AB680" s="35" t="s">
        <v>6</v>
      </c>
      <c r="AC680" s="27" t="s">
        <v>141</v>
      </c>
    </row>
    <row r="681" spans="1:29">
      <c r="A681" s="35" t="s">
        <v>139</v>
      </c>
      <c r="B681" s="35" t="s">
        <v>140</v>
      </c>
      <c r="C681" s="49" t="s">
        <v>68</v>
      </c>
      <c r="D681" s="36">
        <v>103.169</v>
      </c>
      <c r="E681" s="12">
        <v>50</v>
      </c>
      <c r="F681" s="21">
        <f>E681*3*10/D681</f>
        <v>14.53925113163838</v>
      </c>
      <c r="G681" s="35">
        <v>0</v>
      </c>
      <c r="H681" s="35">
        <v>0</v>
      </c>
      <c r="I681" s="35">
        <v>0</v>
      </c>
      <c r="J681" s="35">
        <v>0</v>
      </c>
      <c r="K681" s="35">
        <v>0</v>
      </c>
      <c r="L681" s="36">
        <v>862</v>
      </c>
      <c r="M681" s="35">
        <v>0.31</v>
      </c>
      <c r="N681" s="21" t="s">
        <v>1</v>
      </c>
      <c r="O681" s="12">
        <v>60</v>
      </c>
      <c r="P681" s="35">
        <v>0.04</v>
      </c>
      <c r="Q681" s="35">
        <v>100</v>
      </c>
      <c r="R681" s="35">
        <v>50</v>
      </c>
      <c r="S681" s="35">
        <v>30</v>
      </c>
      <c r="T681" s="54">
        <v>0.32</v>
      </c>
      <c r="U681" s="21">
        <f t="shared" si="38"/>
        <v>2.2009386666666665E-2</v>
      </c>
      <c r="V681" s="37" t="s">
        <v>6</v>
      </c>
      <c r="W681" s="37" t="s">
        <v>6</v>
      </c>
      <c r="X681" s="35">
        <v>80</v>
      </c>
      <c r="Y681" s="23" t="s">
        <v>6</v>
      </c>
      <c r="Z681" s="21">
        <v>-0.16999999999999998</v>
      </c>
      <c r="AA681" s="35">
        <v>10</v>
      </c>
      <c r="AB681" s="35" t="s">
        <v>6</v>
      </c>
      <c r="AC681" s="27" t="s">
        <v>141</v>
      </c>
    </row>
    <row r="682" spans="1:29">
      <c r="A682" s="35" t="s">
        <v>139</v>
      </c>
      <c r="B682" s="35" t="s">
        <v>181</v>
      </c>
      <c r="C682" s="49" t="s">
        <v>89</v>
      </c>
      <c r="D682" s="36">
        <f>600/1.3</f>
        <v>461.53846153846155</v>
      </c>
      <c r="E682" s="12">
        <v>30</v>
      </c>
      <c r="F682" s="21">
        <f>E682*13*10/600</f>
        <v>6.5</v>
      </c>
      <c r="G682" s="35">
        <v>0</v>
      </c>
      <c r="H682" s="35">
        <v>0</v>
      </c>
      <c r="I682" s="35">
        <v>0</v>
      </c>
      <c r="J682" s="35">
        <v>0</v>
      </c>
      <c r="K682" s="35">
        <f>((E682*1*1000)/D682)/F682</f>
        <v>10</v>
      </c>
      <c r="L682" s="36">
        <v>862</v>
      </c>
      <c r="M682" s="35">
        <v>0.31</v>
      </c>
      <c r="N682" s="21" t="s">
        <v>1</v>
      </c>
      <c r="O682" s="12">
        <v>60</v>
      </c>
      <c r="P682" s="35">
        <v>0.04</v>
      </c>
      <c r="Q682" s="35">
        <v>100</v>
      </c>
      <c r="R682" s="35">
        <v>50</v>
      </c>
      <c r="S682" s="35">
        <v>30</v>
      </c>
      <c r="T682" s="54">
        <v>0.65</v>
      </c>
      <c r="U682" s="21">
        <f t="shared" si="38"/>
        <v>0.1</v>
      </c>
      <c r="V682" s="37" t="s">
        <v>6</v>
      </c>
      <c r="W682" s="37" t="s">
        <v>6</v>
      </c>
      <c r="X682" s="35" t="s">
        <v>6</v>
      </c>
      <c r="Y682" s="23" t="s">
        <v>6</v>
      </c>
      <c r="Z682" s="21" t="s">
        <v>6</v>
      </c>
      <c r="AA682" s="35" t="s">
        <v>6</v>
      </c>
      <c r="AB682" s="35" t="s">
        <v>6</v>
      </c>
      <c r="AC682" s="1" t="s">
        <v>244</v>
      </c>
    </row>
    <row r="683" spans="1:29">
      <c r="A683" s="35" t="s">
        <v>139</v>
      </c>
      <c r="B683" s="35" t="s">
        <v>181</v>
      </c>
      <c r="C683" s="49" t="s">
        <v>89</v>
      </c>
      <c r="D683" s="36">
        <f t="shared" ref="D683:D689" si="40">600/1.3</f>
        <v>461.53846153846155</v>
      </c>
      <c r="E683" s="12">
        <v>40</v>
      </c>
      <c r="F683" s="21">
        <f>E683*13*10/600</f>
        <v>8.6666666666666661</v>
      </c>
      <c r="G683" s="35">
        <v>0</v>
      </c>
      <c r="H683" s="35">
        <v>0</v>
      </c>
      <c r="I683" s="35">
        <v>0</v>
      </c>
      <c r="J683" s="35">
        <v>0</v>
      </c>
      <c r="K683" s="35">
        <f>((E683*1*1000)/D683)/F683</f>
        <v>10.000000000000002</v>
      </c>
      <c r="L683" s="36">
        <v>862</v>
      </c>
      <c r="M683" s="35">
        <v>0.31</v>
      </c>
      <c r="N683" s="21" t="s">
        <v>1</v>
      </c>
      <c r="O683" s="12">
        <v>60</v>
      </c>
      <c r="P683" s="35">
        <v>0.04</v>
      </c>
      <c r="Q683" s="35">
        <v>100</v>
      </c>
      <c r="R683" s="35">
        <v>50</v>
      </c>
      <c r="S683" s="35">
        <v>30</v>
      </c>
      <c r="T683" s="54">
        <v>1.02</v>
      </c>
      <c r="U683" s="21">
        <f t="shared" si="38"/>
        <v>0.11769230769230771</v>
      </c>
      <c r="V683" s="37" t="s">
        <v>6</v>
      </c>
      <c r="W683" s="37" t="s">
        <v>6</v>
      </c>
      <c r="X683" s="35" t="s">
        <v>6</v>
      </c>
      <c r="Y683" s="23" t="s">
        <v>6</v>
      </c>
      <c r="Z683" s="21" t="s">
        <v>6</v>
      </c>
      <c r="AA683" s="35" t="s">
        <v>6</v>
      </c>
      <c r="AB683" s="35" t="s">
        <v>6</v>
      </c>
      <c r="AC683" s="1" t="s">
        <v>244</v>
      </c>
    </row>
    <row r="684" spans="1:29">
      <c r="A684" s="35" t="s">
        <v>139</v>
      </c>
      <c r="B684" s="35" t="s">
        <v>181</v>
      </c>
      <c r="C684" s="49" t="s">
        <v>89</v>
      </c>
      <c r="D684" s="36">
        <f t="shared" si="40"/>
        <v>461.53846153846155</v>
      </c>
      <c r="E684" s="12">
        <v>50</v>
      </c>
      <c r="F684" s="21">
        <f>E684*13*10/600</f>
        <v>10.833333333333334</v>
      </c>
      <c r="G684" s="35">
        <v>0</v>
      </c>
      <c r="H684" s="35">
        <v>0</v>
      </c>
      <c r="I684" s="35">
        <v>0</v>
      </c>
      <c r="J684" s="35">
        <v>0</v>
      </c>
      <c r="K684" s="35">
        <f t="shared" ref="K684:K689" si="41">((E684*1*1000)/D684)/F684</f>
        <v>9.9999999999999982</v>
      </c>
      <c r="L684" s="36">
        <v>862</v>
      </c>
      <c r="M684" s="35">
        <v>0.31</v>
      </c>
      <c r="N684" s="21" t="s">
        <v>1</v>
      </c>
      <c r="O684" s="12">
        <v>60</v>
      </c>
      <c r="P684" s="35">
        <v>0.04</v>
      </c>
      <c r="Q684" s="35">
        <v>100</v>
      </c>
      <c r="R684" s="35">
        <v>50</v>
      </c>
      <c r="S684" s="35">
        <v>30</v>
      </c>
      <c r="T684" s="54">
        <v>1.54</v>
      </c>
      <c r="U684" s="21">
        <f t="shared" si="38"/>
        <v>0.14215384615384616</v>
      </c>
      <c r="V684" s="37" t="s">
        <v>6</v>
      </c>
      <c r="W684" s="37" t="s">
        <v>6</v>
      </c>
      <c r="X684" s="35">
        <v>80</v>
      </c>
      <c r="Y684" s="23" t="s">
        <v>6</v>
      </c>
      <c r="Z684" s="21">
        <v>8.8234999999999994E-2</v>
      </c>
      <c r="AA684" s="35">
        <v>10</v>
      </c>
      <c r="AB684" s="35" t="s">
        <v>6</v>
      </c>
      <c r="AC684" s="27" t="s">
        <v>141</v>
      </c>
    </row>
    <row r="685" spans="1:29">
      <c r="A685" s="35" t="s">
        <v>139</v>
      </c>
      <c r="B685" s="35" t="s">
        <v>181</v>
      </c>
      <c r="C685" s="49" t="s">
        <v>89</v>
      </c>
      <c r="D685" s="36">
        <f t="shared" si="40"/>
        <v>461.53846153846155</v>
      </c>
      <c r="E685" s="12">
        <v>60</v>
      </c>
      <c r="F685" s="21">
        <f>E685*13*10/600</f>
        <v>13</v>
      </c>
      <c r="G685" s="35">
        <v>0</v>
      </c>
      <c r="H685" s="35">
        <v>0</v>
      </c>
      <c r="I685" s="35">
        <v>0</v>
      </c>
      <c r="J685" s="35">
        <v>0</v>
      </c>
      <c r="K685" s="35">
        <f t="shared" si="41"/>
        <v>10</v>
      </c>
      <c r="L685" s="36">
        <v>862</v>
      </c>
      <c r="M685" s="35">
        <v>0.31</v>
      </c>
      <c r="N685" s="21" t="s">
        <v>1</v>
      </c>
      <c r="O685" s="12">
        <v>60</v>
      </c>
      <c r="P685" s="35">
        <v>0.04</v>
      </c>
      <c r="Q685" s="35">
        <v>100</v>
      </c>
      <c r="R685" s="35">
        <v>50</v>
      </c>
      <c r="S685" s="35">
        <v>30</v>
      </c>
      <c r="T685" s="54">
        <v>0.02</v>
      </c>
      <c r="U685" s="21">
        <f t="shared" si="38"/>
        <v>1.5384615384615385E-3</v>
      </c>
      <c r="V685" s="37" t="s">
        <v>6</v>
      </c>
      <c r="W685" s="37" t="s">
        <v>6</v>
      </c>
      <c r="X685" s="35">
        <v>80</v>
      </c>
      <c r="Y685" s="23" t="s">
        <v>6</v>
      </c>
      <c r="Z685" s="21">
        <v>-3.4000000000000002E-2</v>
      </c>
      <c r="AA685" s="35">
        <v>10</v>
      </c>
      <c r="AB685" s="35" t="s">
        <v>6</v>
      </c>
      <c r="AC685" s="27" t="s">
        <v>141</v>
      </c>
    </row>
    <row r="686" spans="1:29">
      <c r="A686" s="35" t="s">
        <v>8</v>
      </c>
      <c r="B686" s="35" t="s">
        <v>181</v>
      </c>
      <c r="C686" s="49" t="s">
        <v>89</v>
      </c>
      <c r="D686" s="36">
        <f t="shared" si="40"/>
        <v>461.53846153846155</v>
      </c>
      <c r="E686" s="12">
        <v>40</v>
      </c>
      <c r="F686" s="21">
        <f>E686*13*10/D686</f>
        <v>11.266666666666666</v>
      </c>
      <c r="G686" s="35">
        <v>0</v>
      </c>
      <c r="H686" s="35">
        <v>0</v>
      </c>
      <c r="I686" s="35">
        <v>0</v>
      </c>
      <c r="J686" s="35">
        <v>0</v>
      </c>
      <c r="K686" s="21">
        <f t="shared" si="41"/>
        <v>7.6923076923076934</v>
      </c>
      <c r="L686" s="36">
        <v>733</v>
      </c>
      <c r="M686" s="35">
        <v>0.89</v>
      </c>
      <c r="N686" s="21">
        <v>7.01</v>
      </c>
      <c r="O686" s="12">
        <v>0</v>
      </c>
      <c r="P686" s="35">
        <v>0.04</v>
      </c>
      <c r="Q686" s="35">
        <v>300</v>
      </c>
      <c r="R686" s="35">
        <v>180</v>
      </c>
      <c r="S686" s="35">
        <v>25</v>
      </c>
      <c r="T686" s="54">
        <v>0.67</v>
      </c>
      <c r="U686" s="21">
        <f t="shared" si="38"/>
        <v>5.9467455621301783E-2</v>
      </c>
      <c r="V686" s="37" t="s">
        <v>6</v>
      </c>
      <c r="W686" s="37" t="s">
        <v>6</v>
      </c>
      <c r="X686" s="35" t="s">
        <v>6</v>
      </c>
      <c r="Y686" s="23" t="s">
        <v>6</v>
      </c>
      <c r="Z686" s="21" t="s">
        <v>6</v>
      </c>
      <c r="AA686" s="35" t="s">
        <v>6</v>
      </c>
      <c r="AB686" s="35" t="s">
        <v>6</v>
      </c>
      <c r="AC686" s="1" t="s">
        <v>193</v>
      </c>
    </row>
    <row r="687" spans="1:29">
      <c r="A687" s="35" t="s">
        <v>8</v>
      </c>
      <c r="B687" s="35" t="s">
        <v>181</v>
      </c>
      <c r="C687" s="49" t="s">
        <v>89</v>
      </c>
      <c r="D687" s="36">
        <f>600/1.3</f>
        <v>461.53846153846155</v>
      </c>
      <c r="E687" s="12">
        <v>50</v>
      </c>
      <c r="F687" s="21">
        <f>E687*13*10/D687</f>
        <v>14.083333333333334</v>
      </c>
      <c r="G687" s="35">
        <v>0</v>
      </c>
      <c r="H687" s="35">
        <v>0</v>
      </c>
      <c r="I687" s="35">
        <v>0</v>
      </c>
      <c r="J687" s="35">
        <v>0</v>
      </c>
      <c r="K687" s="21">
        <f>((E687*1*1000)/D687)/F687</f>
        <v>7.6923076923076916</v>
      </c>
      <c r="L687" s="36">
        <v>733</v>
      </c>
      <c r="M687" s="35">
        <v>0.89</v>
      </c>
      <c r="N687" s="21">
        <v>7.01</v>
      </c>
      <c r="O687" s="12">
        <v>0</v>
      </c>
      <c r="P687" s="35">
        <v>0.04</v>
      </c>
      <c r="Q687" s="35">
        <v>300</v>
      </c>
      <c r="R687" s="35">
        <v>180</v>
      </c>
      <c r="S687" s="35">
        <v>25</v>
      </c>
      <c r="T687" s="54">
        <v>0.81</v>
      </c>
      <c r="U687" s="21">
        <f t="shared" si="38"/>
        <v>5.7514792899408286E-2</v>
      </c>
      <c r="V687" s="37" t="s">
        <v>6</v>
      </c>
      <c r="W687" s="37" t="s">
        <v>6</v>
      </c>
      <c r="X687" s="35" t="s">
        <v>6</v>
      </c>
      <c r="Y687" s="23" t="s">
        <v>6</v>
      </c>
      <c r="Z687" s="21" t="s">
        <v>6</v>
      </c>
      <c r="AA687" s="35" t="s">
        <v>6</v>
      </c>
      <c r="AB687" s="35" t="s">
        <v>6</v>
      </c>
      <c r="AC687" s="27" t="s">
        <v>142</v>
      </c>
    </row>
    <row r="688" spans="1:29">
      <c r="A688" s="35" t="s">
        <v>8</v>
      </c>
      <c r="B688" s="35" t="s">
        <v>181</v>
      </c>
      <c r="C688" s="49" t="s">
        <v>89</v>
      </c>
      <c r="D688" s="36">
        <f t="shared" si="40"/>
        <v>461.53846153846155</v>
      </c>
      <c r="E688" s="12">
        <v>60</v>
      </c>
      <c r="F688" s="21">
        <f>E688*13*10/D688</f>
        <v>16.899999999999999</v>
      </c>
      <c r="G688" s="35">
        <v>0</v>
      </c>
      <c r="H688" s="35">
        <v>0</v>
      </c>
      <c r="I688" s="35">
        <v>0</v>
      </c>
      <c r="J688" s="35">
        <v>0</v>
      </c>
      <c r="K688" s="21">
        <f t="shared" si="41"/>
        <v>7.6923076923076925</v>
      </c>
      <c r="L688" s="36">
        <v>733</v>
      </c>
      <c r="M688" s="35">
        <v>0.89</v>
      </c>
      <c r="N688" s="21">
        <v>7.01</v>
      </c>
      <c r="O688" s="12">
        <v>0</v>
      </c>
      <c r="P688" s="35">
        <v>0.04</v>
      </c>
      <c r="Q688" s="35">
        <v>300</v>
      </c>
      <c r="R688" s="35">
        <v>180</v>
      </c>
      <c r="S688" s="35">
        <v>25</v>
      </c>
      <c r="T688" s="54">
        <v>1.1399999999999999</v>
      </c>
      <c r="U688" s="21">
        <f t="shared" si="38"/>
        <v>6.7455621301775154E-2</v>
      </c>
      <c r="V688" s="37" t="s">
        <v>6</v>
      </c>
      <c r="W688" s="37" t="s">
        <v>6</v>
      </c>
      <c r="X688" s="35" t="s">
        <v>6</v>
      </c>
      <c r="Y688" s="23" t="s">
        <v>6</v>
      </c>
      <c r="Z688" s="21" t="s">
        <v>6</v>
      </c>
      <c r="AA688" s="35" t="s">
        <v>6</v>
      </c>
      <c r="AB688" s="35" t="s">
        <v>6</v>
      </c>
      <c r="AC688" s="27" t="s">
        <v>142</v>
      </c>
    </row>
    <row r="689" spans="1:29">
      <c r="A689" s="35" t="s">
        <v>8</v>
      </c>
      <c r="B689" s="35" t="s">
        <v>181</v>
      </c>
      <c r="C689" s="49" t="s">
        <v>89</v>
      </c>
      <c r="D689" s="36">
        <f t="shared" si="40"/>
        <v>461.53846153846155</v>
      </c>
      <c r="E689" s="12">
        <v>70</v>
      </c>
      <c r="F689" s="21">
        <f>E689*13*10/D689</f>
        <v>19.716666666666665</v>
      </c>
      <c r="G689" s="35">
        <v>0</v>
      </c>
      <c r="H689" s="35">
        <v>0</v>
      </c>
      <c r="I689" s="35">
        <v>0</v>
      </c>
      <c r="J689" s="35">
        <v>0</v>
      </c>
      <c r="K689" s="21">
        <f t="shared" si="41"/>
        <v>7.6923076923076925</v>
      </c>
      <c r="L689" s="36">
        <v>733</v>
      </c>
      <c r="M689" s="35">
        <v>0.89</v>
      </c>
      <c r="N689" s="21">
        <v>7.01</v>
      </c>
      <c r="O689" s="12">
        <v>0</v>
      </c>
      <c r="P689" s="35">
        <v>0.04</v>
      </c>
      <c r="Q689" s="35">
        <v>300</v>
      </c>
      <c r="R689" s="35">
        <v>180</v>
      </c>
      <c r="S689" s="35">
        <v>25</v>
      </c>
      <c r="T689" s="54">
        <v>1.1399999999999999</v>
      </c>
      <c r="U689" s="21">
        <f t="shared" si="38"/>
        <v>5.7819103972950127E-2</v>
      </c>
      <c r="V689" s="37" t="s">
        <v>6</v>
      </c>
      <c r="W689" s="37" t="s">
        <v>6</v>
      </c>
      <c r="X689" s="35" t="s">
        <v>6</v>
      </c>
      <c r="Y689" s="23" t="s">
        <v>6</v>
      </c>
      <c r="Z689" s="21" t="s">
        <v>6</v>
      </c>
      <c r="AA689" s="35" t="s">
        <v>6</v>
      </c>
      <c r="AB689" s="35" t="s">
        <v>6</v>
      </c>
      <c r="AC689" s="27" t="s">
        <v>142</v>
      </c>
    </row>
    <row r="690" spans="1:29">
      <c r="A690" s="35" t="s">
        <v>8</v>
      </c>
      <c r="B690" s="35" t="s">
        <v>143</v>
      </c>
      <c r="C690" s="49" t="s">
        <v>72</v>
      </c>
      <c r="D690" s="36">
        <v>146.22999999999999</v>
      </c>
      <c r="E690" s="12">
        <v>40</v>
      </c>
      <c r="F690" s="21">
        <f>E690*4*10/D690</f>
        <v>10.94166723654517</v>
      </c>
      <c r="G690" s="35">
        <v>0</v>
      </c>
      <c r="H690" s="35">
        <v>0</v>
      </c>
      <c r="I690" s="35">
        <v>0</v>
      </c>
      <c r="J690" s="35">
        <v>0</v>
      </c>
      <c r="K690" s="35">
        <v>0</v>
      </c>
      <c r="L690" s="36">
        <v>733</v>
      </c>
      <c r="M690" s="35">
        <v>0.89</v>
      </c>
      <c r="N690" s="21">
        <v>7.01</v>
      </c>
      <c r="O690" s="12">
        <v>0</v>
      </c>
      <c r="P690" s="35">
        <v>0.04</v>
      </c>
      <c r="Q690" s="35">
        <v>300</v>
      </c>
      <c r="R690" s="35">
        <v>180</v>
      </c>
      <c r="S690" s="35">
        <v>25</v>
      </c>
      <c r="T690" s="54">
        <v>1.5</v>
      </c>
      <c r="U690" s="21">
        <f t="shared" si="38"/>
        <v>0.13709062499999999</v>
      </c>
      <c r="V690" s="37" t="s">
        <v>6</v>
      </c>
      <c r="W690" s="37" t="s">
        <v>6</v>
      </c>
      <c r="X690" s="35" t="s">
        <v>6</v>
      </c>
      <c r="Y690" s="23" t="s">
        <v>6</v>
      </c>
      <c r="Z690" s="21" t="s">
        <v>6</v>
      </c>
      <c r="AA690" s="35" t="s">
        <v>6</v>
      </c>
      <c r="AB690" s="35" t="s">
        <v>6</v>
      </c>
      <c r="AC690" s="27" t="s">
        <v>142</v>
      </c>
    </row>
    <row r="691" spans="1:29">
      <c r="A691" s="35" t="s">
        <v>7</v>
      </c>
      <c r="B691" s="35" t="s">
        <v>143</v>
      </c>
      <c r="C691" s="49" t="s">
        <v>72</v>
      </c>
      <c r="D691" s="36">
        <v>146.22999999999999</v>
      </c>
      <c r="E691" s="12">
        <v>50</v>
      </c>
      <c r="F691" s="21">
        <f>E691*4*10/D691</f>
        <v>13.677084045681461</v>
      </c>
      <c r="G691" s="35">
        <v>0</v>
      </c>
      <c r="H691" s="35">
        <v>0</v>
      </c>
      <c r="I691" s="35">
        <v>0</v>
      </c>
      <c r="J691" s="35">
        <v>0</v>
      </c>
      <c r="K691" s="35">
        <v>0</v>
      </c>
      <c r="L691" s="36">
        <v>733</v>
      </c>
      <c r="M691" s="35">
        <v>0.89</v>
      </c>
      <c r="N691" s="21">
        <v>7.01</v>
      </c>
      <c r="O691" s="12">
        <v>0</v>
      </c>
      <c r="P691" s="35">
        <v>0.04</v>
      </c>
      <c r="Q691" s="35">
        <v>300</v>
      </c>
      <c r="R691" s="35">
        <v>180</v>
      </c>
      <c r="S691" s="35">
        <v>25</v>
      </c>
      <c r="T691" s="54">
        <v>2.04</v>
      </c>
      <c r="U691" s="21">
        <f t="shared" si="38"/>
        <v>0.1491546</v>
      </c>
      <c r="V691" s="37" t="s">
        <v>6</v>
      </c>
      <c r="W691" s="37" t="s">
        <v>6</v>
      </c>
      <c r="X691" s="35" t="s">
        <v>6</v>
      </c>
      <c r="Y691" s="23" t="s">
        <v>6</v>
      </c>
      <c r="Z691" s="21" t="s">
        <v>6</v>
      </c>
      <c r="AA691" s="35" t="s">
        <v>6</v>
      </c>
      <c r="AB691" s="35" t="s">
        <v>6</v>
      </c>
      <c r="AC691" s="27" t="s">
        <v>142</v>
      </c>
    </row>
    <row r="692" spans="1:29">
      <c r="A692" s="35" t="s">
        <v>7</v>
      </c>
      <c r="B692" s="35" t="s">
        <v>143</v>
      </c>
      <c r="C692" s="49" t="s">
        <v>72</v>
      </c>
      <c r="D692" s="36">
        <v>146.22999999999999</v>
      </c>
      <c r="E692" s="12">
        <v>60</v>
      </c>
      <c r="F692" s="21">
        <f>E692*4*10/D692</f>
        <v>16.412500854817754</v>
      </c>
      <c r="G692" s="35">
        <v>0</v>
      </c>
      <c r="H692" s="35">
        <v>0</v>
      </c>
      <c r="I692" s="35">
        <v>0</v>
      </c>
      <c r="J692" s="35">
        <v>0</v>
      </c>
      <c r="K692" s="35">
        <v>0</v>
      </c>
      <c r="L692" s="36">
        <v>733</v>
      </c>
      <c r="M692" s="35">
        <v>0.89</v>
      </c>
      <c r="N692" s="21">
        <v>7.01</v>
      </c>
      <c r="O692" s="12">
        <v>0</v>
      </c>
      <c r="P692" s="35">
        <v>0.04</v>
      </c>
      <c r="Q692" s="35">
        <v>300</v>
      </c>
      <c r="R692" s="35">
        <v>180</v>
      </c>
      <c r="S692" s="35">
        <v>25</v>
      </c>
      <c r="T692" s="54">
        <v>2.1</v>
      </c>
      <c r="U692" s="21">
        <f t="shared" si="38"/>
        <v>0.12795124999999999</v>
      </c>
      <c r="V692" s="37" t="s">
        <v>6</v>
      </c>
      <c r="W692" s="37" t="s">
        <v>6</v>
      </c>
      <c r="X692" s="35" t="s">
        <v>6</v>
      </c>
      <c r="Y692" s="23" t="s">
        <v>6</v>
      </c>
      <c r="Z692" s="21" t="s">
        <v>6</v>
      </c>
      <c r="AA692" s="35" t="s">
        <v>6</v>
      </c>
      <c r="AB692" s="35" t="s">
        <v>6</v>
      </c>
      <c r="AC692" s="27" t="s">
        <v>142</v>
      </c>
    </row>
    <row r="693" spans="1:29">
      <c r="A693" s="35" t="s">
        <v>7</v>
      </c>
      <c r="B693" s="35" t="s">
        <v>143</v>
      </c>
      <c r="C693" s="49" t="s">
        <v>72</v>
      </c>
      <c r="D693" s="36">
        <v>146.22999999999999</v>
      </c>
      <c r="E693" s="12">
        <v>70</v>
      </c>
      <c r="F693" s="21">
        <f>E693*4*10/D693</f>
        <v>19.147917663954047</v>
      </c>
      <c r="G693" s="35">
        <v>0</v>
      </c>
      <c r="H693" s="35">
        <v>0</v>
      </c>
      <c r="I693" s="35">
        <v>0</v>
      </c>
      <c r="J693" s="35">
        <v>0</v>
      </c>
      <c r="K693" s="35">
        <v>0</v>
      </c>
      <c r="L693" s="36">
        <v>733</v>
      </c>
      <c r="M693" s="35">
        <v>0.89</v>
      </c>
      <c r="N693" s="21">
        <v>7.01</v>
      </c>
      <c r="O693" s="12">
        <v>0</v>
      </c>
      <c r="P693" s="35">
        <v>0.04</v>
      </c>
      <c r="Q693" s="35">
        <v>300</v>
      </c>
      <c r="R693" s="35">
        <v>180</v>
      </c>
      <c r="S693" s="35">
        <v>25</v>
      </c>
      <c r="T693" s="54">
        <v>1.92</v>
      </c>
      <c r="U693" s="21">
        <f t="shared" ref="U693:U724" si="42">T693/F693</f>
        <v>0.10027199999999999</v>
      </c>
      <c r="V693" s="37" t="s">
        <v>6</v>
      </c>
      <c r="W693" s="37" t="s">
        <v>6</v>
      </c>
      <c r="X693" s="35" t="s">
        <v>6</v>
      </c>
      <c r="Y693" s="23" t="s">
        <v>6</v>
      </c>
      <c r="Z693" s="21" t="s">
        <v>6</v>
      </c>
      <c r="AA693" s="35" t="s">
        <v>6</v>
      </c>
      <c r="AB693" s="35" t="s">
        <v>6</v>
      </c>
      <c r="AC693" s="27" t="s">
        <v>142</v>
      </c>
    </row>
    <row r="694" spans="1:29">
      <c r="A694" s="35" t="s">
        <v>7</v>
      </c>
      <c r="B694" s="35" t="s">
        <v>144</v>
      </c>
      <c r="C694" s="49" t="s">
        <v>65</v>
      </c>
      <c r="D694" s="36">
        <v>189.30699999999999</v>
      </c>
      <c r="E694" s="12">
        <v>40</v>
      </c>
      <c r="F694" s="21">
        <f>E694*5*10/D694</f>
        <v>10.564849688601056</v>
      </c>
      <c r="G694" s="35">
        <v>0</v>
      </c>
      <c r="H694" s="35">
        <v>0</v>
      </c>
      <c r="I694" s="35">
        <v>0</v>
      </c>
      <c r="J694" s="35">
        <v>0</v>
      </c>
      <c r="K694" s="35">
        <v>0</v>
      </c>
      <c r="L694" s="36">
        <v>733</v>
      </c>
      <c r="M694" s="35">
        <v>0.89</v>
      </c>
      <c r="N694" s="21">
        <v>7.01</v>
      </c>
      <c r="O694" s="12">
        <v>0</v>
      </c>
      <c r="P694" s="35">
        <v>0.04</v>
      </c>
      <c r="Q694" s="35">
        <v>300</v>
      </c>
      <c r="R694" s="35">
        <v>180</v>
      </c>
      <c r="S694" s="35">
        <v>25</v>
      </c>
      <c r="T694" s="54">
        <v>1.21</v>
      </c>
      <c r="U694" s="21">
        <f t="shared" si="42"/>
        <v>0.11453073499999999</v>
      </c>
      <c r="V694" s="37" t="s">
        <v>6</v>
      </c>
      <c r="W694" s="37" t="s">
        <v>6</v>
      </c>
      <c r="X694" s="35" t="s">
        <v>6</v>
      </c>
      <c r="Y694" s="23" t="s">
        <v>6</v>
      </c>
      <c r="Z694" s="21" t="s">
        <v>6</v>
      </c>
      <c r="AA694" s="35" t="s">
        <v>6</v>
      </c>
      <c r="AB694" s="35" t="s">
        <v>6</v>
      </c>
      <c r="AC694" s="27" t="s">
        <v>142</v>
      </c>
    </row>
    <row r="695" spans="1:29">
      <c r="A695" s="35" t="s">
        <v>7</v>
      </c>
      <c r="B695" s="35" t="s">
        <v>144</v>
      </c>
      <c r="C695" s="49" t="s">
        <v>65</v>
      </c>
      <c r="D695" s="36">
        <v>189.30699999999999</v>
      </c>
      <c r="E695" s="12">
        <v>50</v>
      </c>
      <c r="F695" s="21">
        <f>E695*5*10/D695</f>
        <v>13.20606211075132</v>
      </c>
      <c r="G695" s="35">
        <v>0</v>
      </c>
      <c r="H695" s="35">
        <v>0</v>
      </c>
      <c r="I695" s="35">
        <v>0</v>
      </c>
      <c r="J695" s="35">
        <v>0</v>
      </c>
      <c r="K695" s="35">
        <v>0</v>
      </c>
      <c r="L695" s="36">
        <v>733</v>
      </c>
      <c r="M695" s="35">
        <v>0.89</v>
      </c>
      <c r="N695" s="21">
        <v>7.01</v>
      </c>
      <c r="O695" s="12">
        <v>0</v>
      </c>
      <c r="P695" s="35">
        <v>0.04</v>
      </c>
      <c r="Q695" s="35">
        <v>300</v>
      </c>
      <c r="R695" s="35">
        <v>180</v>
      </c>
      <c r="S695" s="35">
        <v>25</v>
      </c>
      <c r="T695" s="54">
        <v>1.79</v>
      </c>
      <c r="U695" s="21">
        <f t="shared" si="42"/>
        <v>0.13554381199999999</v>
      </c>
      <c r="V695" s="37" t="s">
        <v>6</v>
      </c>
      <c r="W695" s="37" t="s">
        <v>6</v>
      </c>
      <c r="X695" s="35" t="s">
        <v>6</v>
      </c>
      <c r="Y695" s="23" t="s">
        <v>6</v>
      </c>
      <c r="Z695" s="21" t="s">
        <v>6</v>
      </c>
      <c r="AA695" s="35" t="s">
        <v>6</v>
      </c>
      <c r="AB695" s="35" t="s">
        <v>6</v>
      </c>
      <c r="AC695" s="27" t="s">
        <v>142</v>
      </c>
    </row>
    <row r="696" spans="1:29">
      <c r="A696" s="35" t="s">
        <v>7</v>
      </c>
      <c r="B696" s="35" t="s">
        <v>144</v>
      </c>
      <c r="C696" s="49" t="s">
        <v>65</v>
      </c>
      <c r="D696" s="36">
        <v>189.30699999999999</v>
      </c>
      <c r="E696" s="12">
        <v>60</v>
      </c>
      <c r="F696" s="21">
        <f>E696*5*10/D696</f>
        <v>15.847274532901585</v>
      </c>
      <c r="G696" s="35">
        <v>0</v>
      </c>
      <c r="H696" s="35">
        <v>0</v>
      </c>
      <c r="I696" s="35">
        <v>0</v>
      </c>
      <c r="J696" s="35">
        <v>0</v>
      </c>
      <c r="K696" s="35">
        <v>0</v>
      </c>
      <c r="L696" s="36">
        <v>733</v>
      </c>
      <c r="M696" s="35">
        <v>0.89</v>
      </c>
      <c r="N696" s="21">
        <v>7.01</v>
      </c>
      <c r="O696" s="12">
        <v>0</v>
      </c>
      <c r="P696" s="35">
        <v>0.04</v>
      </c>
      <c r="Q696" s="35">
        <v>300</v>
      </c>
      <c r="R696" s="35">
        <v>180</v>
      </c>
      <c r="S696" s="35">
        <v>25</v>
      </c>
      <c r="T696" s="54">
        <v>2.17</v>
      </c>
      <c r="U696" s="21">
        <f t="shared" si="42"/>
        <v>0.13693206333333333</v>
      </c>
      <c r="V696" s="37" t="s">
        <v>6</v>
      </c>
      <c r="W696" s="37" t="s">
        <v>6</v>
      </c>
      <c r="X696" s="35" t="s">
        <v>6</v>
      </c>
      <c r="Y696" s="23" t="s">
        <v>6</v>
      </c>
      <c r="Z696" s="21" t="s">
        <v>6</v>
      </c>
      <c r="AA696" s="35" t="s">
        <v>6</v>
      </c>
      <c r="AB696" s="35" t="s">
        <v>6</v>
      </c>
      <c r="AC696" s="27" t="s">
        <v>142</v>
      </c>
    </row>
    <row r="697" spans="1:29">
      <c r="A697" s="35" t="s">
        <v>7</v>
      </c>
      <c r="B697" s="35" t="s">
        <v>144</v>
      </c>
      <c r="C697" s="49" t="s">
        <v>65</v>
      </c>
      <c r="D697" s="36">
        <v>189.30699999999999</v>
      </c>
      <c r="E697" s="12">
        <v>70</v>
      </c>
      <c r="F697" s="21">
        <f>E697*5*10/D697</f>
        <v>18.488486955051847</v>
      </c>
      <c r="G697" s="35">
        <v>0</v>
      </c>
      <c r="H697" s="35">
        <v>0</v>
      </c>
      <c r="I697" s="35">
        <v>0</v>
      </c>
      <c r="J697" s="35">
        <v>0</v>
      </c>
      <c r="K697" s="35">
        <v>0</v>
      </c>
      <c r="L697" s="36">
        <v>733</v>
      </c>
      <c r="M697" s="35">
        <v>0.89</v>
      </c>
      <c r="N697" s="21">
        <v>7.01</v>
      </c>
      <c r="O697" s="12">
        <v>0</v>
      </c>
      <c r="P697" s="35">
        <v>0.04</v>
      </c>
      <c r="Q697" s="35">
        <v>300</v>
      </c>
      <c r="R697" s="35">
        <v>180</v>
      </c>
      <c r="S697" s="35">
        <v>25</v>
      </c>
      <c r="T697" s="54">
        <v>1.93</v>
      </c>
      <c r="U697" s="21">
        <f t="shared" si="42"/>
        <v>0.10438928857142857</v>
      </c>
      <c r="V697" s="37" t="s">
        <v>6</v>
      </c>
      <c r="W697" s="37" t="s">
        <v>6</v>
      </c>
      <c r="X697" s="35" t="s">
        <v>6</v>
      </c>
      <c r="Y697" s="23" t="s">
        <v>6</v>
      </c>
      <c r="Z697" s="21" t="s">
        <v>6</v>
      </c>
      <c r="AA697" s="35" t="s">
        <v>6</v>
      </c>
      <c r="AB697" s="35" t="s">
        <v>6</v>
      </c>
      <c r="AC697" s="27" t="s">
        <v>142</v>
      </c>
    </row>
    <row r="698" spans="1:29">
      <c r="A698" s="35" t="s">
        <v>7</v>
      </c>
      <c r="B698" s="35" t="s">
        <v>138</v>
      </c>
      <c r="C698" s="49" t="s">
        <v>89</v>
      </c>
      <c r="D698" s="36">
        <v>60.1</v>
      </c>
      <c r="E698" s="12">
        <v>50</v>
      </c>
      <c r="F698" s="21">
        <f>E698*2*10/D698</f>
        <v>16.638935108153078</v>
      </c>
      <c r="G698" s="35">
        <v>0</v>
      </c>
      <c r="H698" s="35">
        <v>0</v>
      </c>
      <c r="I698" s="35">
        <v>0</v>
      </c>
      <c r="J698" s="35">
        <v>0</v>
      </c>
      <c r="K698" s="35">
        <v>0</v>
      </c>
      <c r="L698" s="36">
        <v>733</v>
      </c>
      <c r="M698" s="35">
        <v>0.89</v>
      </c>
      <c r="N698" s="21">
        <v>7.01</v>
      </c>
      <c r="O698" s="12">
        <v>0</v>
      </c>
      <c r="P698" s="35">
        <v>0.04</v>
      </c>
      <c r="Q698" s="35">
        <v>300</v>
      </c>
      <c r="R698" s="35">
        <v>180</v>
      </c>
      <c r="S698" s="35">
        <v>25</v>
      </c>
      <c r="T698" s="54">
        <v>0.11</v>
      </c>
      <c r="U698" s="21">
        <f t="shared" si="42"/>
        <v>6.6110000000000006E-3</v>
      </c>
      <c r="V698" s="37" t="s">
        <v>6</v>
      </c>
      <c r="W698" s="37" t="s">
        <v>6</v>
      </c>
      <c r="X698" s="35" t="s">
        <v>6</v>
      </c>
      <c r="Y698" s="23" t="s">
        <v>6</v>
      </c>
      <c r="Z698" s="21" t="s">
        <v>6</v>
      </c>
      <c r="AA698" s="35" t="s">
        <v>6</v>
      </c>
      <c r="AB698" s="35" t="s">
        <v>6</v>
      </c>
      <c r="AC698" s="27" t="s">
        <v>142</v>
      </c>
    </row>
    <row r="699" spans="1:29">
      <c r="A699" s="35" t="s">
        <v>7</v>
      </c>
      <c r="B699" s="35" t="s">
        <v>138</v>
      </c>
      <c r="C699" s="49" t="s">
        <v>89</v>
      </c>
      <c r="D699" s="36">
        <v>60.1</v>
      </c>
      <c r="E699" s="12">
        <v>60</v>
      </c>
      <c r="F699" s="21">
        <f>E699*2*10/D699</f>
        <v>19.966722129783694</v>
      </c>
      <c r="G699" s="35">
        <v>0</v>
      </c>
      <c r="H699" s="35">
        <v>0</v>
      </c>
      <c r="I699" s="35">
        <v>0</v>
      </c>
      <c r="J699" s="35">
        <v>0</v>
      </c>
      <c r="K699" s="35">
        <v>0</v>
      </c>
      <c r="L699" s="36">
        <v>733</v>
      </c>
      <c r="M699" s="35">
        <v>0.89</v>
      </c>
      <c r="N699" s="21">
        <v>7.01</v>
      </c>
      <c r="O699" s="12">
        <v>0</v>
      </c>
      <c r="P699" s="35">
        <v>0.04</v>
      </c>
      <c r="Q699" s="35">
        <v>300</v>
      </c>
      <c r="R699" s="35">
        <v>180</v>
      </c>
      <c r="S699" s="35">
        <v>25</v>
      </c>
      <c r="T699" s="54">
        <v>0.12</v>
      </c>
      <c r="U699" s="21">
        <f t="shared" si="42"/>
        <v>6.0099999999999997E-3</v>
      </c>
      <c r="V699" s="37" t="s">
        <v>6</v>
      </c>
      <c r="W699" s="37" t="s">
        <v>6</v>
      </c>
      <c r="X699" s="35" t="s">
        <v>6</v>
      </c>
      <c r="Y699" s="23" t="s">
        <v>6</v>
      </c>
      <c r="Z699" s="21" t="s">
        <v>6</v>
      </c>
      <c r="AA699" s="35" t="s">
        <v>6</v>
      </c>
      <c r="AB699" s="35" t="s">
        <v>6</v>
      </c>
      <c r="AC699" s="27" t="s">
        <v>142</v>
      </c>
    </row>
    <row r="700" spans="1:29">
      <c r="A700" s="35" t="s">
        <v>7</v>
      </c>
      <c r="B700" s="35" t="s">
        <v>13</v>
      </c>
      <c r="C700" s="49" t="s">
        <v>68</v>
      </c>
      <c r="D700" s="36">
        <v>103.169</v>
      </c>
      <c r="E700" s="12">
        <v>50</v>
      </c>
      <c r="F700" s="21">
        <f>E700*3*10/D700</f>
        <v>14.53925113163838</v>
      </c>
      <c r="G700" s="35">
        <v>0</v>
      </c>
      <c r="H700" s="35">
        <v>0</v>
      </c>
      <c r="I700" s="35">
        <v>0</v>
      </c>
      <c r="J700" s="35">
        <v>0</v>
      </c>
      <c r="K700" s="35">
        <v>0</v>
      </c>
      <c r="L700" s="36">
        <v>733</v>
      </c>
      <c r="M700" s="35">
        <v>0.89</v>
      </c>
      <c r="N700" s="21">
        <v>7.01</v>
      </c>
      <c r="O700" s="12">
        <v>0</v>
      </c>
      <c r="P700" s="35">
        <v>0.04</v>
      </c>
      <c r="Q700" s="35">
        <v>300</v>
      </c>
      <c r="R700" s="35">
        <v>180</v>
      </c>
      <c r="S700" s="35">
        <v>25</v>
      </c>
      <c r="T700" s="54">
        <v>0.5</v>
      </c>
      <c r="U700" s="21">
        <f t="shared" si="42"/>
        <v>3.4389666666666666E-2</v>
      </c>
      <c r="V700" s="37" t="s">
        <v>6</v>
      </c>
      <c r="W700" s="37" t="s">
        <v>6</v>
      </c>
      <c r="X700" s="35" t="s">
        <v>6</v>
      </c>
      <c r="Y700" s="23" t="s">
        <v>6</v>
      </c>
      <c r="Z700" s="21" t="s">
        <v>6</v>
      </c>
      <c r="AA700" s="35" t="s">
        <v>6</v>
      </c>
      <c r="AB700" s="35" t="s">
        <v>6</v>
      </c>
      <c r="AC700" s="27" t="s">
        <v>142</v>
      </c>
    </row>
    <row r="701" spans="1:29">
      <c r="A701" s="35" t="s">
        <v>7</v>
      </c>
      <c r="B701" s="35" t="s">
        <v>13</v>
      </c>
      <c r="C701" s="49" t="s">
        <v>68</v>
      </c>
      <c r="D701" s="36">
        <v>103.169</v>
      </c>
      <c r="E701" s="12">
        <v>60</v>
      </c>
      <c r="F701" s="21">
        <f>E701*3*10/D701</f>
        <v>17.447101357966055</v>
      </c>
      <c r="G701" s="35">
        <v>0</v>
      </c>
      <c r="H701" s="35">
        <v>0</v>
      </c>
      <c r="I701" s="35">
        <v>0</v>
      </c>
      <c r="J701" s="35">
        <v>0</v>
      </c>
      <c r="K701" s="35">
        <v>0</v>
      </c>
      <c r="L701" s="36">
        <v>733</v>
      </c>
      <c r="M701" s="35">
        <v>0.89</v>
      </c>
      <c r="N701" s="21">
        <v>7.01</v>
      </c>
      <c r="O701" s="12">
        <v>0</v>
      </c>
      <c r="P701" s="35">
        <v>0.04</v>
      </c>
      <c r="Q701" s="35">
        <v>300</v>
      </c>
      <c r="R701" s="35">
        <v>180</v>
      </c>
      <c r="S701" s="35">
        <v>25</v>
      </c>
      <c r="T701" s="54">
        <v>0.45</v>
      </c>
      <c r="U701" s="21">
        <f t="shared" si="42"/>
        <v>2.5792250000000003E-2</v>
      </c>
      <c r="V701" s="37" t="s">
        <v>6</v>
      </c>
      <c r="W701" s="37" t="s">
        <v>6</v>
      </c>
      <c r="X701" s="35" t="s">
        <v>6</v>
      </c>
      <c r="Y701" s="23" t="s">
        <v>6</v>
      </c>
      <c r="Z701" s="21" t="s">
        <v>6</v>
      </c>
      <c r="AA701" s="35" t="s">
        <v>6</v>
      </c>
      <c r="AB701" s="35" t="s">
        <v>6</v>
      </c>
      <c r="AC701" s="27" t="s">
        <v>142</v>
      </c>
    </row>
    <row r="702" spans="1:29">
      <c r="A702" s="35" t="s">
        <v>7</v>
      </c>
      <c r="B702" s="35" t="s">
        <v>181</v>
      </c>
      <c r="C702" s="49" t="s">
        <v>89</v>
      </c>
      <c r="D702" s="36">
        <f>600/1.3</f>
        <v>461.53846153846155</v>
      </c>
      <c r="E702" s="12">
        <v>50</v>
      </c>
      <c r="F702" s="21">
        <f>E702*13*10/D702</f>
        <v>14.083333333333334</v>
      </c>
      <c r="G702" s="35">
        <v>0</v>
      </c>
      <c r="H702" s="35">
        <v>0</v>
      </c>
      <c r="I702" s="35">
        <v>0</v>
      </c>
      <c r="J702" s="35">
        <v>0</v>
      </c>
      <c r="K702" s="21">
        <f>(E702*1*1000/D702)/F702</f>
        <v>7.6923076923076916</v>
      </c>
      <c r="L702" s="36">
        <v>733</v>
      </c>
      <c r="M702" s="35">
        <v>0.89</v>
      </c>
      <c r="N702" s="21">
        <v>7.01</v>
      </c>
      <c r="O702" s="12">
        <v>60</v>
      </c>
      <c r="P702" s="35">
        <v>0.04</v>
      </c>
      <c r="Q702" s="35">
        <v>300</v>
      </c>
      <c r="R702" s="35">
        <v>180</v>
      </c>
      <c r="S702" s="35">
        <v>25</v>
      </c>
      <c r="T702" s="54">
        <v>2.16</v>
      </c>
      <c r="U702" s="21">
        <f t="shared" si="42"/>
        <v>0.15337278106508875</v>
      </c>
      <c r="V702" s="37" t="s">
        <v>6</v>
      </c>
      <c r="W702" s="37" t="s">
        <v>6</v>
      </c>
      <c r="X702" s="35">
        <v>80</v>
      </c>
      <c r="Y702" s="23" t="s">
        <v>6</v>
      </c>
      <c r="Z702" s="21">
        <v>9.2768681293195403</v>
      </c>
      <c r="AA702" s="35">
        <v>10</v>
      </c>
      <c r="AB702" s="35" t="s">
        <v>6</v>
      </c>
      <c r="AC702" s="27" t="s">
        <v>142</v>
      </c>
    </row>
    <row r="703" spans="1:29">
      <c r="A703" s="35" t="s">
        <v>7</v>
      </c>
      <c r="B703" s="35" t="s">
        <v>3</v>
      </c>
      <c r="C703" s="49" t="s">
        <v>65</v>
      </c>
      <c r="D703" s="36">
        <v>189</v>
      </c>
      <c r="E703" s="12">
        <v>50</v>
      </c>
      <c r="F703" s="21">
        <v>13.21</v>
      </c>
      <c r="G703" s="35">
        <v>0</v>
      </c>
      <c r="H703" s="35">
        <v>0</v>
      </c>
      <c r="I703" s="35">
        <v>0</v>
      </c>
      <c r="J703" s="35">
        <v>0</v>
      </c>
      <c r="K703" s="35">
        <v>0</v>
      </c>
      <c r="L703" s="36">
        <v>733</v>
      </c>
      <c r="M703" s="35">
        <v>0.89</v>
      </c>
      <c r="N703" s="21">
        <v>7.01</v>
      </c>
      <c r="O703" s="12">
        <v>60</v>
      </c>
      <c r="P703" s="35">
        <v>0.04</v>
      </c>
      <c r="Q703" s="35">
        <v>300</v>
      </c>
      <c r="R703" s="35">
        <v>180</v>
      </c>
      <c r="S703" s="35">
        <v>25</v>
      </c>
      <c r="T703" s="54">
        <v>2.12</v>
      </c>
      <c r="U703" s="21">
        <f t="shared" si="42"/>
        <v>0.16048448145344435</v>
      </c>
      <c r="V703" s="37" t="s">
        <v>6</v>
      </c>
      <c r="W703" s="37" t="s">
        <v>6</v>
      </c>
      <c r="X703" s="35">
        <v>80</v>
      </c>
      <c r="Y703" s="23" t="s">
        <v>6</v>
      </c>
      <c r="Z703" s="21">
        <v>9.0047393364928894</v>
      </c>
      <c r="AA703" s="35">
        <v>10</v>
      </c>
      <c r="AB703" s="35" t="s">
        <v>6</v>
      </c>
      <c r="AC703" s="27" t="s">
        <v>142</v>
      </c>
    </row>
    <row r="704" spans="1:29">
      <c r="A704" s="35" t="s">
        <v>7</v>
      </c>
      <c r="B704" s="35" t="s">
        <v>4</v>
      </c>
      <c r="C704" s="49" t="s">
        <v>72</v>
      </c>
      <c r="D704" s="36">
        <v>146</v>
      </c>
      <c r="E704" s="12">
        <v>50</v>
      </c>
      <c r="F704" s="21">
        <v>13.68</v>
      </c>
      <c r="G704" s="35">
        <v>0</v>
      </c>
      <c r="H704" s="35">
        <v>0</v>
      </c>
      <c r="I704" s="35">
        <v>0</v>
      </c>
      <c r="J704" s="35">
        <v>0</v>
      </c>
      <c r="K704" s="35">
        <v>0</v>
      </c>
      <c r="L704" s="36">
        <v>733</v>
      </c>
      <c r="M704" s="35">
        <v>0.89</v>
      </c>
      <c r="N704" s="21">
        <v>7.01</v>
      </c>
      <c r="O704" s="12">
        <v>60</v>
      </c>
      <c r="P704" s="35">
        <v>0.04</v>
      </c>
      <c r="Q704" s="35">
        <v>300</v>
      </c>
      <c r="R704" s="35">
        <v>180</v>
      </c>
      <c r="S704" s="35">
        <v>25</v>
      </c>
      <c r="T704" s="54">
        <v>1.8</v>
      </c>
      <c r="U704" s="21">
        <f t="shared" si="42"/>
        <v>0.13157894736842105</v>
      </c>
      <c r="V704" s="37" t="s">
        <v>6</v>
      </c>
      <c r="W704" s="37" t="s">
        <v>6</v>
      </c>
      <c r="X704" s="35">
        <v>80</v>
      </c>
      <c r="Y704" s="23" t="s">
        <v>6</v>
      </c>
      <c r="Z704" s="21">
        <v>25.759417574677467</v>
      </c>
      <c r="AA704" s="35">
        <v>10</v>
      </c>
      <c r="AB704" s="35" t="s">
        <v>6</v>
      </c>
      <c r="AC704" s="27" t="s">
        <v>142</v>
      </c>
    </row>
    <row r="705" spans="1:29">
      <c r="A705" s="35" t="s">
        <v>7</v>
      </c>
      <c r="B705" s="35" t="s">
        <v>145</v>
      </c>
      <c r="C705" s="49" t="s">
        <v>89</v>
      </c>
      <c r="D705" s="36">
        <v>60.1</v>
      </c>
      <c r="E705" s="12">
        <v>50</v>
      </c>
      <c r="F705" s="21">
        <f>E705*2*10/D705</f>
        <v>16.638935108153078</v>
      </c>
      <c r="G705" s="35">
        <v>0</v>
      </c>
      <c r="H705" s="35">
        <v>0</v>
      </c>
      <c r="I705" s="35">
        <v>0</v>
      </c>
      <c r="J705" s="35">
        <v>0</v>
      </c>
      <c r="K705" s="35">
        <v>0</v>
      </c>
      <c r="L705" s="36">
        <v>733</v>
      </c>
      <c r="M705" s="35">
        <v>0.89</v>
      </c>
      <c r="N705" s="21">
        <v>7.01</v>
      </c>
      <c r="O705" s="12">
        <v>60</v>
      </c>
      <c r="P705" s="35">
        <v>0.04</v>
      </c>
      <c r="Q705" s="35">
        <v>300</v>
      </c>
      <c r="R705" s="35">
        <v>180</v>
      </c>
      <c r="S705" s="35">
        <v>25</v>
      </c>
      <c r="T705" s="54">
        <v>0.18</v>
      </c>
      <c r="U705" s="21">
        <f t="shared" si="42"/>
        <v>1.0817999999999999E-2</v>
      </c>
      <c r="V705" s="37" t="s">
        <v>6</v>
      </c>
      <c r="W705" s="37" t="s">
        <v>6</v>
      </c>
      <c r="X705" s="35" t="s">
        <v>6</v>
      </c>
      <c r="Y705" s="23" t="s">
        <v>6</v>
      </c>
      <c r="Z705" s="21" t="s">
        <v>6</v>
      </c>
      <c r="AA705" s="35" t="s">
        <v>6</v>
      </c>
      <c r="AB705" s="35" t="s">
        <v>6</v>
      </c>
      <c r="AC705" s="27" t="s">
        <v>142</v>
      </c>
    </row>
    <row r="706" spans="1:29">
      <c r="A706" s="35" t="s">
        <v>8</v>
      </c>
      <c r="B706" s="35" t="s">
        <v>13</v>
      </c>
      <c r="C706" s="49" t="s">
        <v>68</v>
      </c>
      <c r="D706" s="36">
        <v>103.17</v>
      </c>
      <c r="E706" s="12">
        <v>50</v>
      </c>
      <c r="F706" s="21">
        <f>E706*3*10/D706</f>
        <v>14.539110206455364</v>
      </c>
      <c r="G706" s="35">
        <v>0</v>
      </c>
      <c r="H706" s="35">
        <v>0</v>
      </c>
      <c r="I706" s="35">
        <v>0</v>
      </c>
      <c r="J706" s="35">
        <v>0</v>
      </c>
      <c r="K706" s="35">
        <v>0</v>
      </c>
      <c r="L706" s="36">
        <v>733</v>
      </c>
      <c r="M706" s="35">
        <v>0.89</v>
      </c>
      <c r="N706" s="21">
        <v>7.01</v>
      </c>
      <c r="O706" s="12">
        <v>60</v>
      </c>
      <c r="P706" s="35">
        <v>0.04</v>
      </c>
      <c r="Q706" s="35">
        <v>300</v>
      </c>
      <c r="R706" s="35">
        <v>180</v>
      </c>
      <c r="S706" s="35">
        <v>25</v>
      </c>
      <c r="T706" s="54">
        <v>1.1499999999999999</v>
      </c>
      <c r="U706" s="21">
        <f t="shared" si="42"/>
        <v>7.9097000000000001E-2</v>
      </c>
      <c r="V706" s="37" t="s">
        <v>1</v>
      </c>
      <c r="W706" s="37" t="s">
        <v>1</v>
      </c>
      <c r="X706" s="35" t="s">
        <v>6</v>
      </c>
      <c r="Y706" s="23" t="s">
        <v>6</v>
      </c>
      <c r="Z706" s="21" t="s">
        <v>6</v>
      </c>
      <c r="AA706" s="35" t="s">
        <v>6</v>
      </c>
      <c r="AB706" s="35" t="s">
        <v>6</v>
      </c>
      <c r="AC706" s="27" t="s">
        <v>142</v>
      </c>
    </row>
    <row r="707" spans="1:29" ht="14.55" customHeight="1">
      <c r="A707" s="35" t="s">
        <v>16</v>
      </c>
      <c r="B707" s="35" t="s">
        <v>181</v>
      </c>
      <c r="C707" s="49" t="s">
        <v>89</v>
      </c>
      <c r="D707" s="36">
        <v>462</v>
      </c>
      <c r="E707" s="12">
        <v>40</v>
      </c>
      <c r="F707" s="21">
        <f>E707*13*10/D707</f>
        <v>11.255411255411255</v>
      </c>
      <c r="G707" s="35">
        <v>0</v>
      </c>
      <c r="H707" s="35">
        <v>0</v>
      </c>
      <c r="I707" s="35">
        <v>0</v>
      </c>
      <c r="J707" s="35">
        <v>0</v>
      </c>
      <c r="K707" s="21">
        <f>((E707*1*1000)/D707)/F707</f>
        <v>7.6923076923076925</v>
      </c>
      <c r="L707" s="36">
        <v>1380</v>
      </c>
      <c r="M707" s="35">
        <v>0.65</v>
      </c>
      <c r="N707" s="21">
        <v>2.1</v>
      </c>
      <c r="O707" s="12">
        <v>0</v>
      </c>
      <c r="P707" s="35">
        <v>0.04</v>
      </c>
      <c r="Q707" s="35">
        <v>300</v>
      </c>
      <c r="R707" s="35">
        <v>180</v>
      </c>
      <c r="S707" s="35">
        <v>25</v>
      </c>
      <c r="T707" s="54">
        <v>0.31</v>
      </c>
      <c r="U707" s="21">
        <f t="shared" si="42"/>
        <v>2.7542307692307692E-2</v>
      </c>
      <c r="V707" s="37" t="s">
        <v>6</v>
      </c>
      <c r="W707" s="37" t="s">
        <v>6</v>
      </c>
      <c r="X707" s="35" t="s">
        <v>6</v>
      </c>
      <c r="Y707" s="23" t="s">
        <v>6</v>
      </c>
      <c r="Z707" s="21" t="s">
        <v>6</v>
      </c>
      <c r="AA707" s="35" t="s">
        <v>6</v>
      </c>
      <c r="AB707" s="35" t="s">
        <v>6</v>
      </c>
      <c r="AC707" s="27" t="s">
        <v>142</v>
      </c>
    </row>
    <row r="708" spans="1:29" ht="13.2" customHeight="1">
      <c r="A708" s="35" t="s">
        <v>16</v>
      </c>
      <c r="B708" s="35" t="s">
        <v>181</v>
      </c>
      <c r="C708" s="49" t="s">
        <v>89</v>
      </c>
      <c r="D708" s="36">
        <v>462</v>
      </c>
      <c r="E708" s="12">
        <v>50</v>
      </c>
      <c r="F708" s="21">
        <f>E708*13*10/D708</f>
        <v>14.069264069264069</v>
      </c>
      <c r="G708" s="35">
        <v>0</v>
      </c>
      <c r="H708" s="35">
        <v>0</v>
      </c>
      <c r="I708" s="35">
        <v>0</v>
      </c>
      <c r="J708" s="35">
        <v>0</v>
      </c>
      <c r="K708" s="21">
        <f>((E708*1*1000)/D708)/F708</f>
        <v>7.6923076923076925</v>
      </c>
      <c r="L708" s="36">
        <v>1380</v>
      </c>
      <c r="M708" s="35">
        <v>0.65</v>
      </c>
      <c r="N708" s="21">
        <v>2.1</v>
      </c>
      <c r="O708" s="12">
        <v>0</v>
      </c>
      <c r="P708" s="35">
        <v>0.04</v>
      </c>
      <c r="Q708" s="35">
        <v>300</v>
      </c>
      <c r="R708" s="35">
        <v>180</v>
      </c>
      <c r="S708" s="35">
        <v>25</v>
      </c>
      <c r="T708" s="54">
        <v>0.37</v>
      </c>
      <c r="U708" s="21">
        <f t="shared" si="42"/>
        <v>2.6298461538461538E-2</v>
      </c>
      <c r="V708" s="37" t="s">
        <v>6</v>
      </c>
      <c r="W708" s="37" t="s">
        <v>6</v>
      </c>
      <c r="X708" s="35" t="s">
        <v>6</v>
      </c>
      <c r="Y708" s="23" t="s">
        <v>6</v>
      </c>
      <c r="Z708" s="21" t="s">
        <v>6</v>
      </c>
      <c r="AA708" s="35" t="s">
        <v>6</v>
      </c>
      <c r="AB708" s="35" t="s">
        <v>6</v>
      </c>
      <c r="AC708" s="27" t="s">
        <v>142</v>
      </c>
    </row>
    <row r="709" spans="1:29">
      <c r="A709" s="35" t="s">
        <v>16</v>
      </c>
      <c r="B709" s="35" t="s">
        <v>181</v>
      </c>
      <c r="C709" s="49" t="s">
        <v>89</v>
      </c>
      <c r="D709" s="36">
        <v>462</v>
      </c>
      <c r="E709" s="12">
        <v>60</v>
      </c>
      <c r="F709" s="21">
        <f>E709*13*10/D709</f>
        <v>16.883116883116884</v>
      </c>
      <c r="G709" s="35">
        <v>0</v>
      </c>
      <c r="H709" s="35">
        <v>0</v>
      </c>
      <c r="I709" s="35">
        <v>0</v>
      </c>
      <c r="J709" s="35">
        <v>0</v>
      </c>
      <c r="K709" s="21">
        <f>((E709*1*1000)/D709)/F709</f>
        <v>7.6923076923076916</v>
      </c>
      <c r="L709" s="36">
        <v>1380</v>
      </c>
      <c r="M709" s="35">
        <v>0.65</v>
      </c>
      <c r="N709" s="21">
        <v>2.1</v>
      </c>
      <c r="O709" s="12">
        <v>0</v>
      </c>
      <c r="P709" s="35">
        <v>0.04</v>
      </c>
      <c r="Q709" s="35">
        <v>300</v>
      </c>
      <c r="R709" s="35">
        <v>180</v>
      </c>
      <c r="S709" s="35">
        <v>25</v>
      </c>
      <c r="T709" s="54">
        <v>0.28999999999999998</v>
      </c>
      <c r="U709" s="21">
        <f t="shared" si="42"/>
        <v>1.7176923076923076E-2</v>
      </c>
      <c r="V709" s="37" t="s">
        <v>6</v>
      </c>
      <c r="W709" s="37" t="s">
        <v>6</v>
      </c>
      <c r="X709" s="35" t="s">
        <v>6</v>
      </c>
      <c r="Y709" s="23" t="s">
        <v>6</v>
      </c>
      <c r="Z709" s="21" t="s">
        <v>6</v>
      </c>
      <c r="AA709" s="35" t="s">
        <v>6</v>
      </c>
      <c r="AB709" s="35" t="s">
        <v>6</v>
      </c>
      <c r="AC709" s="27" t="s">
        <v>142</v>
      </c>
    </row>
    <row r="710" spans="1:29">
      <c r="A710" s="35" t="s">
        <v>16</v>
      </c>
      <c r="B710" s="35" t="s">
        <v>4</v>
      </c>
      <c r="C710" s="49" t="s">
        <v>72</v>
      </c>
      <c r="D710" s="36">
        <v>146.22999999999999</v>
      </c>
      <c r="E710" s="12">
        <v>40</v>
      </c>
      <c r="F710" s="21">
        <f>E710*4*10/D710</f>
        <v>10.94166723654517</v>
      </c>
      <c r="G710" s="35">
        <v>0</v>
      </c>
      <c r="H710" s="35">
        <v>0</v>
      </c>
      <c r="I710" s="35">
        <v>0</v>
      </c>
      <c r="J710" s="35">
        <v>0</v>
      </c>
      <c r="K710" s="35">
        <v>0</v>
      </c>
      <c r="L710" s="36">
        <v>1380</v>
      </c>
      <c r="M710" s="35">
        <v>0.65</v>
      </c>
      <c r="N710" s="21">
        <v>2.1</v>
      </c>
      <c r="O710" s="12">
        <v>0</v>
      </c>
      <c r="P710" s="35">
        <v>0.04</v>
      </c>
      <c r="Q710" s="35">
        <v>300</v>
      </c>
      <c r="R710" s="35">
        <v>180</v>
      </c>
      <c r="S710" s="35">
        <v>25</v>
      </c>
      <c r="T710" s="54">
        <v>0.63</v>
      </c>
      <c r="U710" s="21">
        <f t="shared" si="42"/>
        <v>5.7578062499999992E-2</v>
      </c>
      <c r="V710" s="37" t="s">
        <v>6</v>
      </c>
      <c r="W710" s="37" t="s">
        <v>6</v>
      </c>
      <c r="X710" s="35" t="s">
        <v>6</v>
      </c>
      <c r="Y710" s="23" t="s">
        <v>6</v>
      </c>
      <c r="Z710" s="21" t="s">
        <v>6</v>
      </c>
      <c r="AA710" s="35" t="s">
        <v>6</v>
      </c>
      <c r="AB710" s="35" t="s">
        <v>6</v>
      </c>
      <c r="AC710" s="27" t="s">
        <v>142</v>
      </c>
    </row>
    <row r="711" spans="1:29">
      <c r="A711" s="35" t="s">
        <v>16</v>
      </c>
      <c r="B711" s="35" t="s">
        <v>4</v>
      </c>
      <c r="C711" s="49" t="s">
        <v>72</v>
      </c>
      <c r="D711" s="36">
        <v>146.22999999999999</v>
      </c>
      <c r="E711" s="12">
        <v>50</v>
      </c>
      <c r="F711" s="21">
        <f>E711*4*10/D711</f>
        <v>13.677084045681461</v>
      </c>
      <c r="G711" s="35">
        <v>0</v>
      </c>
      <c r="H711" s="35">
        <v>0</v>
      </c>
      <c r="I711" s="35">
        <v>0</v>
      </c>
      <c r="J711" s="35">
        <v>0</v>
      </c>
      <c r="K711" s="35">
        <v>0</v>
      </c>
      <c r="L711" s="36">
        <v>1380</v>
      </c>
      <c r="M711" s="35">
        <v>0.65</v>
      </c>
      <c r="N711" s="21">
        <v>2.1</v>
      </c>
      <c r="O711" s="12">
        <v>0</v>
      </c>
      <c r="P711" s="35">
        <v>0.04</v>
      </c>
      <c r="Q711" s="35">
        <v>300</v>
      </c>
      <c r="R711" s="35">
        <v>180</v>
      </c>
      <c r="S711" s="35">
        <v>25</v>
      </c>
      <c r="T711" s="54">
        <v>0.68</v>
      </c>
      <c r="U711" s="21">
        <f t="shared" si="42"/>
        <v>4.9718200000000004E-2</v>
      </c>
      <c r="V711" s="37" t="s">
        <v>6</v>
      </c>
      <c r="W711" s="37" t="s">
        <v>6</v>
      </c>
      <c r="X711" s="35" t="s">
        <v>6</v>
      </c>
      <c r="Y711" s="23" t="s">
        <v>6</v>
      </c>
      <c r="Z711" s="21" t="s">
        <v>6</v>
      </c>
      <c r="AA711" s="35" t="s">
        <v>6</v>
      </c>
      <c r="AB711" s="35" t="s">
        <v>6</v>
      </c>
      <c r="AC711" s="27" t="s">
        <v>142</v>
      </c>
    </row>
    <row r="712" spans="1:29">
      <c r="A712" s="35" t="s">
        <v>16</v>
      </c>
      <c r="B712" s="35" t="s">
        <v>4</v>
      </c>
      <c r="C712" s="49" t="s">
        <v>72</v>
      </c>
      <c r="D712" s="36">
        <v>146.22999999999999</v>
      </c>
      <c r="E712" s="12">
        <v>60</v>
      </c>
      <c r="F712" s="21">
        <f>E712*4*10/D712</f>
        <v>16.412500854817754</v>
      </c>
      <c r="G712" s="35">
        <v>0</v>
      </c>
      <c r="H712" s="35">
        <v>0</v>
      </c>
      <c r="I712" s="35">
        <v>0</v>
      </c>
      <c r="J712" s="35">
        <v>0</v>
      </c>
      <c r="K712" s="35">
        <v>0</v>
      </c>
      <c r="L712" s="36">
        <v>1380</v>
      </c>
      <c r="M712" s="35">
        <v>0.65</v>
      </c>
      <c r="N712" s="21">
        <v>2.1</v>
      </c>
      <c r="O712" s="12">
        <v>0</v>
      </c>
      <c r="P712" s="35">
        <v>0.04</v>
      </c>
      <c r="Q712" s="35">
        <v>300</v>
      </c>
      <c r="R712" s="35">
        <v>180</v>
      </c>
      <c r="S712" s="35">
        <v>25</v>
      </c>
      <c r="T712" s="54">
        <v>1.28</v>
      </c>
      <c r="U712" s="21">
        <f t="shared" si="42"/>
        <v>7.7989333333333327E-2</v>
      </c>
      <c r="V712" s="37" t="s">
        <v>6</v>
      </c>
      <c r="W712" s="37" t="s">
        <v>6</v>
      </c>
      <c r="X712" s="35" t="s">
        <v>6</v>
      </c>
      <c r="Y712" s="23" t="s">
        <v>6</v>
      </c>
      <c r="Z712" s="21" t="s">
        <v>6</v>
      </c>
      <c r="AA712" s="35" t="s">
        <v>6</v>
      </c>
      <c r="AB712" s="35" t="s">
        <v>6</v>
      </c>
      <c r="AC712" s="27" t="s">
        <v>142</v>
      </c>
    </row>
    <row r="713" spans="1:29">
      <c r="A713" s="35" t="s">
        <v>21</v>
      </c>
      <c r="B713" s="35" t="s">
        <v>4</v>
      </c>
      <c r="C713" s="49" t="s">
        <v>72</v>
      </c>
      <c r="D713" s="36">
        <v>146.22999999999999</v>
      </c>
      <c r="E713" s="12">
        <v>70</v>
      </c>
      <c r="F713" s="21">
        <f>E713*4*10/D713</f>
        <v>19.147917663954047</v>
      </c>
      <c r="G713" s="35">
        <v>0</v>
      </c>
      <c r="H713" s="35">
        <v>0</v>
      </c>
      <c r="I713" s="35">
        <v>0</v>
      </c>
      <c r="J713" s="35">
        <v>0</v>
      </c>
      <c r="K713" s="35">
        <v>0</v>
      </c>
      <c r="L713" s="36">
        <v>1380</v>
      </c>
      <c r="M713" s="35">
        <v>0.65</v>
      </c>
      <c r="N713" s="21">
        <v>2.1</v>
      </c>
      <c r="O713" s="12">
        <v>0</v>
      </c>
      <c r="P713" s="35">
        <v>0.04</v>
      </c>
      <c r="Q713" s="35">
        <v>300</v>
      </c>
      <c r="R713" s="35">
        <v>180</v>
      </c>
      <c r="S713" s="35">
        <v>25</v>
      </c>
      <c r="T713" s="54">
        <v>0.46</v>
      </c>
      <c r="U713" s="21">
        <f t="shared" si="42"/>
        <v>2.40235E-2</v>
      </c>
      <c r="V713" s="37" t="s">
        <v>6</v>
      </c>
      <c r="W713" s="37" t="s">
        <v>6</v>
      </c>
      <c r="X713" s="35" t="s">
        <v>6</v>
      </c>
      <c r="Y713" s="23" t="s">
        <v>6</v>
      </c>
      <c r="Z713" s="21" t="s">
        <v>6</v>
      </c>
      <c r="AA713" s="35" t="s">
        <v>6</v>
      </c>
      <c r="AB713" s="35" t="s">
        <v>6</v>
      </c>
      <c r="AC713" s="27" t="s">
        <v>142</v>
      </c>
    </row>
    <row r="714" spans="1:29">
      <c r="A714" s="35" t="s">
        <v>21</v>
      </c>
      <c r="B714" s="35" t="s">
        <v>3</v>
      </c>
      <c r="C714" s="49" t="s">
        <v>65</v>
      </c>
      <c r="D714" s="36">
        <v>189.30699999999999</v>
      </c>
      <c r="E714" s="12">
        <v>40</v>
      </c>
      <c r="F714" s="21">
        <f>E714*5*10/D714</f>
        <v>10.564849688601056</v>
      </c>
      <c r="G714" s="35">
        <v>0</v>
      </c>
      <c r="H714" s="35">
        <v>0</v>
      </c>
      <c r="I714" s="35">
        <v>0</v>
      </c>
      <c r="J714" s="35">
        <v>0</v>
      </c>
      <c r="K714" s="35">
        <v>0</v>
      </c>
      <c r="L714" s="36">
        <v>1380</v>
      </c>
      <c r="M714" s="35">
        <v>0.65</v>
      </c>
      <c r="N714" s="21">
        <v>2.1</v>
      </c>
      <c r="O714" s="12">
        <v>0</v>
      </c>
      <c r="P714" s="35">
        <v>0.04</v>
      </c>
      <c r="Q714" s="35">
        <v>300</v>
      </c>
      <c r="R714" s="35">
        <v>180</v>
      </c>
      <c r="S714" s="35">
        <v>25</v>
      </c>
      <c r="T714" s="54">
        <v>0.18</v>
      </c>
      <c r="U714" s="21">
        <f t="shared" si="42"/>
        <v>1.7037629999999998E-2</v>
      </c>
      <c r="V714" s="37" t="s">
        <v>6</v>
      </c>
      <c r="W714" s="37" t="s">
        <v>6</v>
      </c>
      <c r="X714" s="35" t="s">
        <v>6</v>
      </c>
      <c r="Y714" s="23" t="s">
        <v>6</v>
      </c>
      <c r="Z714" s="21" t="s">
        <v>6</v>
      </c>
      <c r="AA714" s="35" t="s">
        <v>6</v>
      </c>
      <c r="AB714" s="35" t="s">
        <v>6</v>
      </c>
      <c r="AC714" s="27" t="s">
        <v>142</v>
      </c>
    </row>
    <row r="715" spans="1:29">
      <c r="A715" s="35" t="s">
        <v>21</v>
      </c>
      <c r="B715" s="35" t="s">
        <v>3</v>
      </c>
      <c r="C715" s="49" t="s">
        <v>65</v>
      </c>
      <c r="D715" s="36">
        <v>189.30699999999999</v>
      </c>
      <c r="E715" s="12">
        <v>50</v>
      </c>
      <c r="F715" s="21">
        <f>E715*5*10/D715</f>
        <v>13.20606211075132</v>
      </c>
      <c r="G715" s="35">
        <v>0</v>
      </c>
      <c r="H715" s="35">
        <v>0</v>
      </c>
      <c r="I715" s="35">
        <v>0</v>
      </c>
      <c r="J715" s="35">
        <v>0</v>
      </c>
      <c r="K715" s="35">
        <v>0</v>
      </c>
      <c r="L715" s="36">
        <v>1380</v>
      </c>
      <c r="M715" s="35">
        <v>0.65</v>
      </c>
      <c r="N715" s="21">
        <v>2.1</v>
      </c>
      <c r="O715" s="12">
        <v>0</v>
      </c>
      <c r="P715" s="35">
        <v>0.04</v>
      </c>
      <c r="Q715" s="35">
        <v>300</v>
      </c>
      <c r="R715" s="35">
        <v>180</v>
      </c>
      <c r="S715" s="35">
        <v>25</v>
      </c>
      <c r="T715" s="54">
        <v>0.65</v>
      </c>
      <c r="U715" s="21">
        <f t="shared" si="42"/>
        <v>4.9219819999999997E-2</v>
      </c>
      <c r="V715" s="37" t="s">
        <v>6</v>
      </c>
      <c r="W715" s="37" t="s">
        <v>6</v>
      </c>
      <c r="X715" s="35" t="s">
        <v>6</v>
      </c>
      <c r="Y715" s="23" t="s">
        <v>6</v>
      </c>
      <c r="Z715" s="21" t="s">
        <v>6</v>
      </c>
      <c r="AA715" s="35" t="s">
        <v>6</v>
      </c>
      <c r="AB715" s="35" t="s">
        <v>6</v>
      </c>
      <c r="AC715" s="27" t="s">
        <v>142</v>
      </c>
    </row>
    <row r="716" spans="1:29">
      <c r="A716" s="35" t="s">
        <v>21</v>
      </c>
      <c r="B716" s="35" t="s">
        <v>3</v>
      </c>
      <c r="C716" s="49" t="s">
        <v>65</v>
      </c>
      <c r="D716" s="36">
        <v>189.30699999999999</v>
      </c>
      <c r="E716" s="12">
        <v>60</v>
      </c>
      <c r="F716" s="21">
        <f>E716*5*10/D716</f>
        <v>15.847274532901585</v>
      </c>
      <c r="G716" s="35">
        <v>0</v>
      </c>
      <c r="H716" s="35">
        <v>0</v>
      </c>
      <c r="I716" s="35">
        <v>0</v>
      </c>
      <c r="J716" s="35">
        <v>0</v>
      </c>
      <c r="K716" s="35">
        <v>0</v>
      </c>
      <c r="L716" s="36">
        <v>1380</v>
      </c>
      <c r="M716" s="35">
        <v>0.65</v>
      </c>
      <c r="N716" s="21">
        <v>2.1</v>
      </c>
      <c r="O716" s="12">
        <v>0</v>
      </c>
      <c r="P716" s="35">
        <v>0.04</v>
      </c>
      <c r="Q716" s="35">
        <v>300</v>
      </c>
      <c r="R716" s="35">
        <v>180</v>
      </c>
      <c r="S716" s="35">
        <v>25</v>
      </c>
      <c r="T716" s="54">
        <v>0.77</v>
      </c>
      <c r="U716" s="21">
        <f t="shared" si="42"/>
        <v>4.8588796666666663E-2</v>
      </c>
      <c r="V716" s="37" t="s">
        <v>6</v>
      </c>
      <c r="W716" s="37" t="s">
        <v>6</v>
      </c>
      <c r="X716" s="35" t="s">
        <v>6</v>
      </c>
      <c r="Y716" s="23" t="s">
        <v>6</v>
      </c>
      <c r="Z716" s="21" t="s">
        <v>6</v>
      </c>
      <c r="AA716" s="35" t="s">
        <v>6</v>
      </c>
      <c r="AB716" s="35" t="s">
        <v>6</v>
      </c>
      <c r="AC716" s="27" t="s">
        <v>142</v>
      </c>
    </row>
    <row r="717" spans="1:29">
      <c r="A717" s="35" t="s">
        <v>21</v>
      </c>
      <c r="B717" s="35" t="s">
        <v>3</v>
      </c>
      <c r="C717" s="49" t="s">
        <v>65</v>
      </c>
      <c r="D717" s="36">
        <v>189.30699999999999</v>
      </c>
      <c r="E717" s="12">
        <v>70</v>
      </c>
      <c r="F717" s="21">
        <f>E717*5*10/D717</f>
        <v>18.488486955051847</v>
      </c>
      <c r="G717" s="35">
        <v>0</v>
      </c>
      <c r="H717" s="35">
        <v>0</v>
      </c>
      <c r="I717" s="35">
        <v>0</v>
      </c>
      <c r="J717" s="35">
        <v>0</v>
      </c>
      <c r="K717" s="35">
        <v>0</v>
      </c>
      <c r="L717" s="36">
        <v>1380</v>
      </c>
      <c r="M717" s="35">
        <v>0.65</v>
      </c>
      <c r="N717" s="21">
        <v>2.1</v>
      </c>
      <c r="O717" s="12">
        <v>0</v>
      </c>
      <c r="P717" s="35">
        <v>0.04</v>
      </c>
      <c r="Q717" s="35">
        <v>300</v>
      </c>
      <c r="R717" s="35">
        <v>180</v>
      </c>
      <c r="S717" s="35">
        <v>25</v>
      </c>
      <c r="T717" s="54">
        <v>0.17</v>
      </c>
      <c r="U717" s="21">
        <f t="shared" si="42"/>
        <v>9.1949114285714284E-3</v>
      </c>
      <c r="V717" s="37" t="s">
        <v>6</v>
      </c>
      <c r="W717" s="37" t="s">
        <v>6</v>
      </c>
      <c r="X717" s="35" t="s">
        <v>6</v>
      </c>
      <c r="Y717" s="23" t="s">
        <v>6</v>
      </c>
      <c r="Z717" s="21" t="s">
        <v>6</v>
      </c>
      <c r="AA717" s="35" t="s">
        <v>6</v>
      </c>
      <c r="AB717" s="35" t="s">
        <v>6</v>
      </c>
      <c r="AC717" s="27" t="s">
        <v>142</v>
      </c>
    </row>
    <row r="718" spans="1:29">
      <c r="A718" s="35" t="s">
        <v>21</v>
      </c>
      <c r="B718" s="35" t="s">
        <v>180</v>
      </c>
      <c r="C718" s="49" t="s">
        <v>89</v>
      </c>
      <c r="D718" s="36">
        <v>600</v>
      </c>
      <c r="E718" s="12">
        <v>50</v>
      </c>
      <c r="F718" s="21">
        <f>E718*13*10/D718</f>
        <v>10.833333333333334</v>
      </c>
      <c r="G718" s="35">
        <v>0</v>
      </c>
      <c r="H718" s="35">
        <v>0</v>
      </c>
      <c r="I718" s="35">
        <v>0</v>
      </c>
      <c r="J718" s="35">
        <v>0</v>
      </c>
      <c r="K718" s="35">
        <v>0</v>
      </c>
      <c r="L718" s="36">
        <v>1380</v>
      </c>
      <c r="M718" s="35">
        <v>0.65</v>
      </c>
      <c r="N718" s="21">
        <v>2.1</v>
      </c>
      <c r="O718" s="12">
        <v>60</v>
      </c>
      <c r="P718" s="35">
        <v>0.04</v>
      </c>
      <c r="Q718" s="35">
        <v>100</v>
      </c>
      <c r="R718" s="35">
        <v>180</v>
      </c>
      <c r="S718" s="35">
        <v>25</v>
      </c>
      <c r="T718" s="54">
        <v>0.66</v>
      </c>
      <c r="U718" s="21">
        <f t="shared" si="42"/>
        <v>6.092307692307692E-2</v>
      </c>
      <c r="V718" s="37" t="s">
        <v>6</v>
      </c>
      <c r="W718" s="37" t="s">
        <v>6</v>
      </c>
      <c r="X718" s="35" t="s">
        <v>6</v>
      </c>
      <c r="Y718" s="23" t="s">
        <v>6</v>
      </c>
      <c r="Z718" s="21" t="s">
        <v>6</v>
      </c>
      <c r="AA718" s="35" t="s">
        <v>6</v>
      </c>
      <c r="AB718" s="35" t="s">
        <v>6</v>
      </c>
      <c r="AC718" s="27" t="s">
        <v>142</v>
      </c>
    </row>
    <row r="719" spans="1:29">
      <c r="A719" s="35" t="s">
        <v>21</v>
      </c>
      <c r="B719" s="35" t="s">
        <v>4</v>
      </c>
      <c r="C719" s="49" t="s">
        <v>72</v>
      </c>
      <c r="D719" s="36">
        <v>146.19999999999999</v>
      </c>
      <c r="E719" s="12">
        <v>50</v>
      </c>
      <c r="F719" s="21">
        <f>E719*4*10/D719</f>
        <v>13.679890560875513</v>
      </c>
      <c r="G719" s="35">
        <v>0</v>
      </c>
      <c r="H719" s="35">
        <v>0</v>
      </c>
      <c r="I719" s="35">
        <v>0</v>
      </c>
      <c r="J719" s="35">
        <v>0</v>
      </c>
      <c r="K719" s="35">
        <v>0</v>
      </c>
      <c r="L719" s="36">
        <v>1380</v>
      </c>
      <c r="M719" s="35">
        <v>0.65</v>
      </c>
      <c r="N719" s="21">
        <v>2.1</v>
      </c>
      <c r="O719" s="12">
        <v>60</v>
      </c>
      <c r="P719" s="35">
        <v>0.04</v>
      </c>
      <c r="Q719" s="35">
        <v>100</v>
      </c>
      <c r="R719" s="35">
        <v>180</v>
      </c>
      <c r="S719" s="35">
        <v>25</v>
      </c>
      <c r="T719" s="54">
        <v>1.05</v>
      </c>
      <c r="U719" s="21">
        <f t="shared" si="42"/>
        <v>7.6755000000000004E-2</v>
      </c>
      <c r="V719" s="37" t="s">
        <v>6</v>
      </c>
      <c r="W719" s="37" t="s">
        <v>6</v>
      </c>
      <c r="X719" s="35" t="s">
        <v>6</v>
      </c>
      <c r="Y719" s="23" t="s">
        <v>6</v>
      </c>
      <c r="Z719" s="21" t="s">
        <v>6</v>
      </c>
      <c r="AA719" s="35" t="s">
        <v>6</v>
      </c>
      <c r="AB719" s="35" t="s">
        <v>6</v>
      </c>
      <c r="AC719" s="27" t="s">
        <v>142</v>
      </c>
    </row>
    <row r="720" spans="1:29">
      <c r="A720" s="35" t="s">
        <v>16</v>
      </c>
      <c r="B720" s="35" t="s">
        <v>3</v>
      </c>
      <c r="C720" s="49" t="s">
        <v>65</v>
      </c>
      <c r="D720" s="36">
        <v>189.3</v>
      </c>
      <c r="E720" s="12">
        <v>50</v>
      </c>
      <c r="F720" s="21">
        <f>E720*5*10/D720</f>
        <v>13.206550449022714</v>
      </c>
      <c r="G720" s="35">
        <v>0</v>
      </c>
      <c r="H720" s="35">
        <v>0</v>
      </c>
      <c r="I720" s="35">
        <v>0</v>
      </c>
      <c r="J720" s="35">
        <v>0</v>
      </c>
      <c r="K720" s="35">
        <v>0</v>
      </c>
      <c r="L720" s="36">
        <v>1380</v>
      </c>
      <c r="M720" s="35">
        <v>0.65</v>
      </c>
      <c r="N720" s="21">
        <v>2.1</v>
      </c>
      <c r="O720" s="12">
        <v>60</v>
      </c>
      <c r="P720" s="35">
        <v>0.04</v>
      </c>
      <c r="Q720" s="35">
        <v>100</v>
      </c>
      <c r="R720" s="35">
        <v>180</v>
      </c>
      <c r="S720" s="35">
        <v>25</v>
      </c>
      <c r="T720" s="54">
        <v>0.86</v>
      </c>
      <c r="U720" s="21">
        <f t="shared" si="42"/>
        <v>6.5119200000000002E-2</v>
      </c>
      <c r="V720" s="37" t="s">
        <v>6</v>
      </c>
      <c r="W720" s="37" t="s">
        <v>6</v>
      </c>
      <c r="X720" s="35" t="s">
        <v>6</v>
      </c>
      <c r="Y720" s="23" t="s">
        <v>6</v>
      </c>
      <c r="Z720" s="21" t="s">
        <v>6</v>
      </c>
      <c r="AA720" s="35" t="s">
        <v>6</v>
      </c>
      <c r="AB720" s="35" t="s">
        <v>6</v>
      </c>
      <c r="AC720" s="27" t="s">
        <v>142</v>
      </c>
    </row>
    <row r="721" spans="1:29">
      <c r="A721" s="35" t="s">
        <v>23</v>
      </c>
      <c r="B721" s="35" t="s">
        <v>181</v>
      </c>
      <c r="C721" s="49" t="s">
        <v>89</v>
      </c>
      <c r="D721" s="36">
        <v>462</v>
      </c>
      <c r="E721" s="12">
        <v>40</v>
      </c>
      <c r="F721" s="21">
        <f>E721*13*10/D721</f>
        <v>11.255411255411255</v>
      </c>
      <c r="G721" s="35">
        <v>0</v>
      </c>
      <c r="H721" s="35">
        <v>0</v>
      </c>
      <c r="I721" s="35">
        <v>0</v>
      </c>
      <c r="J721" s="35">
        <v>0</v>
      </c>
      <c r="K721" s="21">
        <f>(E721*1*1000/D721)/F721</f>
        <v>7.6923076923076925</v>
      </c>
      <c r="L721" s="36">
        <v>1650</v>
      </c>
      <c r="M721" s="35">
        <v>0.92</v>
      </c>
      <c r="N721" s="21">
        <v>1.82</v>
      </c>
      <c r="O721" s="12">
        <v>0</v>
      </c>
      <c r="P721" s="35">
        <v>0.04</v>
      </c>
      <c r="Q721" s="35">
        <v>300</v>
      </c>
      <c r="R721" s="35">
        <v>180</v>
      </c>
      <c r="S721" s="35">
        <v>25</v>
      </c>
      <c r="T721" s="54">
        <v>0.22</v>
      </c>
      <c r="U721" s="21">
        <f t="shared" si="42"/>
        <v>1.9546153846153845E-2</v>
      </c>
      <c r="V721" s="37" t="s">
        <v>6</v>
      </c>
      <c r="W721" s="37" t="s">
        <v>6</v>
      </c>
      <c r="X721" s="35" t="s">
        <v>6</v>
      </c>
      <c r="Y721" s="23" t="s">
        <v>6</v>
      </c>
      <c r="Z721" s="21" t="s">
        <v>6</v>
      </c>
      <c r="AA721" s="35" t="s">
        <v>6</v>
      </c>
      <c r="AB721" s="35" t="s">
        <v>6</v>
      </c>
      <c r="AC721" s="27" t="s">
        <v>142</v>
      </c>
    </row>
    <row r="722" spans="1:29">
      <c r="A722" s="35" t="s">
        <v>23</v>
      </c>
      <c r="B722" s="35" t="s">
        <v>181</v>
      </c>
      <c r="C722" s="49" t="s">
        <v>89</v>
      </c>
      <c r="D722" s="36">
        <v>462</v>
      </c>
      <c r="E722" s="12">
        <v>50</v>
      </c>
      <c r="F722" s="21">
        <f>E722*13*10/D722</f>
        <v>14.069264069264069</v>
      </c>
      <c r="G722" s="35">
        <v>0</v>
      </c>
      <c r="H722" s="35">
        <v>0</v>
      </c>
      <c r="I722" s="35">
        <v>0</v>
      </c>
      <c r="J722" s="35">
        <v>0</v>
      </c>
      <c r="K722" s="21">
        <f>(E722*1*1000/D722)/F722</f>
        <v>7.6923076923076925</v>
      </c>
      <c r="L722" s="36">
        <v>1650</v>
      </c>
      <c r="M722" s="35">
        <v>0.92</v>
      </c>
      <c r="N722" s="21">
        <v>1.82</v>
      </c>
      <c r="O722" s="12">
        <v>0</v>
      </c>
      <c r="P722" s="35">
        <v>0.04</v>
      </c>
      <c r="Q722" s="35">
        <v>300</v>
      </c>
      <c r="R722" s="35">
        <v>180</v>
      </c>
      <c r="S722" s="35">
        <v>25</v>
      </c>
      <c r="T722" s="54">
        <v>0.28999999999999998</v>
      </c>
      <c r="U722" s="21">
        <f t="shared" si="42"/>
        <v>2.061230769230769E-2</v>
      </c>
      <c r="V722" s="37" t="s">
        <v>6</v>
      </c>
      <c r="W722" s="37" t="s">
        <v>6</v>
      </c>
      <c r="X722" s="35" t="s">
        <v>6</v>
      </c>
      <c r="Y722" s="23" t="s">
        <v>6</v>
      </c>
      <c r="Z722" s="21" t="s">
        <v>6</v>
      </c>
      <c r="AA722" s="35" t="s">
        <v>6</v>
      </c>
      <c r="AB722" s="35" t="s">
        <v>6</v>
      </c>
      <c r="AC722" s="27" t="s">
        <v>142</v>
      </c>
    </row>
    <row r="723" spans="1:29">
      <c r="A723" s="35" t="s">
        <v>23</v>
      </c>
      <c r="B723" s="35" t="s">
        <v>181</v>
      </c>
      <c r="C723" s="49" t="s">
        <v>89</v>
      </c>
      <c r="D723" s="36">
        <v>462</v>
      </c>
      <c r="E723" s="12">
        <v>60</v>
      </c>
      <c r="F723" s="21">
        <f>E723*13*10/D723</f>
        <v>16.883116883116884</v>
      </c>
      <c r="G723" s="35">
        <v>0</v>
      </c>
      <c r="H723" s="35">
        <v>0</v>
      </c>
      <c r="I723" s="35">
        <v>0</v>
      </c>
      <c r="J723" s="35">
        <v>0</v>
      </c>
      <c r="K723" s="21">
        <f>(E723*1*1000/D723)/F723</f>
        <v>7.6923076923076916</v>
      </c>
      <c r="L723" s="36">
        <v>1650</v>
      </c>
      <c r="M723" s="35">
        <v>0.92</v>
      </c>
      <c r="N723" s="21">
        <v>1.82</v>
      </c>
      <c r="O723" s="12">
        <v>0</v>
      </c>
      <c r="P723" s="35">
        <v>0.04</v>
      </c>
      <c r="Q723" s="35">
        <v>300</v>
      </c>
      <c r="R723" s="35">
        <v>180</v>
      </c>
      <c r="S723" s="35">
        <v>25</v>
      </c>
      <c r="T723" s="54">
        <v>0.28999999999999998</v>
      </c>
      <c r="U723" s="21">
        <f t="shared" si="42"/>
        <v>1.7176923076923076E-2</v>
      </c>
      <c r="V723" s="37" t="s">
        <v>6</v>
      </c>
      <c r="W723" s="37" t="s">
        <v>6</v>
      </c>
      <c r="X723" s="35" t="s">
        <v>6</v>
      </c>
      <c r="Y723" s="23" t="s">
        <v>6</v>
      </c>
      <c r="Z723" s="21" t="s">
        <v>6</v>
      </c>
      <c r="AA723" s="35" t="s">
        <v>6</v>
      </c>
      <c r="AB723" s="35" t="s">
        <v>6</v>
      </c>
      <c r="AC723" s="27" t="s">
        <v>142</v>
      </c>
    </row>
    <row r="724" spans="1:29">
      <c r="A724" s="35" t="s">
        <v>22</v>
      </c>
      <c r="B724" s="35" t="s">
        <v>4</v>
      </c>
      <c r="C724" s="49" t="s">
        <v>72</v>
      </c>
      <c r="D724" s="36">
        <v>146.22999999999999</v>
      </c>
      <c r="E724" s="12">
        <v>40</v>
      </c>
      <c r="F724" s="21">
        <f>E724*4*10/D724</f>
        <v>10.94166723654517</v>
      </c>
      <c r="G724" s="35">
        <v>0</v>
      </c>
      <c r="H724" s="35">
        <v>0</v>
      </c>
      <c r="I724" s="35">
        <v>0</v>
      </c>
      <c r="J724" s="35">
        <v>0</v>
      </c>
      <c r="K724" s="35">
        <v>0</v>
      </c>
      <c r="L724" s="36">
        <v>1650</v>
      </c>
      <c r="M724" s="35">
        <v>0.92</v>
      </c>
      <c r="N724" s="21">
        <v>1.82</v>
      </c>
      <c r="O724" s="12">
        <v>0</v>
      </c>
      <c r="P724" s="35">
        <v>0.04</v>
      </c>
      <c r="Q724" s="35">
        <v>300</v>
      </c>
      <c r="R724" s="35">
        <v>180</v>
      </c>
      <c r="S724" s="35">
        <v>25</v>
      </c>
      <c r="T724" s="54">
        <v>0.95</v>
      </c>
      <c r="U724" s="21">
        <f t="shared" si="42"/>
        <v>8.6824062499999979E-2</v>
      </c>
      <c r="V724" s="37" t="s">
        <v>6</v>
      </c>
      <c r="W724" s="37" t="s">
        <v>6</v>
      </c>
      <c r="X724" s="35" t="s">
        <v>6</v>
      </c>
      <c r="Y724" s="23" t="s">
        <v>6</v>
      </c>
      <c r="Z724" s="21" t="s">
        <v>6</v>
      </c>
      <c r="AA724" s="35" t="s">
        <v>6</v>
      </c>
      <c r="AB724" s="35" t="s">
        <v>6</v>
      </c>
      <c r="AC724" s="27" t="s">
        <v>142</v>
      </c>
    </row>
    <row r="725" spans="1:29">
      <c r="A725" s="35" t="s">
        <v>22</v>
      </c>
      <c r="B725" s="35" t="s">
        <v>4</v>
      </c>
      <c r="C725" s="49" t="s">
        <v>72</v>
      </c>
      <c r="D725" s="36">
        <v>146.22999999999999</v>
      </c>
      <c r="E725" s="12">
        <v>50</v>
      </c>
      <c r="F725" s="21">
        <f>E725*4*10/D725</f>
        <v>13.677084045681461</v>
      </c>
      <c r="G725" s="35">
        <v>0</v>
      </c>
      <c r="H725" s="35">
        <v>0</v>
      </c>
      <c r="I725" s="35">
        <v>0</v>
      </c>
      <c r="J725" s="35">
        <v>0</v>
      </c>
      <c r="K725" s="35">
        <v>0</v>
      </c>
      <c r="L725" s="36">
        <v>1650</v>
      </c>
      <c r="M725" s="35">
        <v>0.92</v>
      </c>
      <c r="N725" s="21">
        <v>1.82</v>
      </c>
      <c r="O725" s="12">
        <v>0</v>
      </c>
      <c r="P725" s="35">
        <v>0.04</v>
      </c>
      <c r="Q725" s="35">
        <v>300</v>
      </c>
      <c r="R725" s="35">
        <v>180</v>
      </c>
      <c r="S725" s="35">
        <v>25</v>
      </c>
      <c r="T725" s="54">
        <v>0.83</v>
      </c>
      <c r="U725" s="21">
        <f t="shared" ref="U725:U734" si="43">T725/F725</f>
        <v>6.0685449999999995E-2</v>
      </c>
      <c r="V725" s="37" t="s">
        <v>6</v>
      </c>
      <c r="W725" s="37" t="s">
        <v>6</v>
      </c>
      <c r="X725" s="35" t="s">
        <v>6</v>
      </c>
      <c r="Y725" s="23" t="s">
        <v>6</v>
      </c>
      <c r="Z725" s="21" t="s">
        <v>6</v>
      </c>
      <c r="AA725" s="35" t="s">
        <v>6</v>
      </c>
      <c r="AB725" s="35" t="s">
        <v>6</v>
      </c>
      <c r="AC725" s="27" t="s">
        <v>142</v>
      </c>
    </row>
    <row r="726" spans="1:29">
      <c r="A726" s="35" t="s">
        <v>22</v>
      </c>
      <c r="B726" s="35" t="s">
        <v>4</v>
      </c>
      <c r="C726" s="49" t="s">
        <v>72</v>
      </c>
      <c r="D726" s="36">
        <v>146.22999999999999</v>
      </c>
      <c r="E726" s="12">
        <v>60</v>
      </c>
      <c r="F726" s="21">
        <f>E726*4*10/D726</f>
        <v>16.412500854817754</v>
      </c>
      <c r="G726" s="35">
        <v>0</v>
      </c>
      <c r="H726" s="35">
        <v>0</v>
      </c>
      <c r="I726" s="35">
        <v>0</v>
      </c>
      <c r="J726" s="35">
        <v>0</v>
      </c>
      <c r="K726" s="35">
        <v>0</v>
      </c>
      <c r="L726" s="36">
        <v>1650</v>
      </c>
      <c r="M726" s="35">
        <v>0.92</v>
      </c>
      <c r="N726" s="21">
        <v>1.82</v>
      </c>
      <c r="O726" s="12">
        <v>0</v>
      </c>
      <c r="P726" s="35">
        <v>0.04</v>
      </c>
      <c r="Q726" s="35">
        <v>300</v>
      </c>
      <c r="R726" s="35">
        <v>180</v>
      </c>
      <c r="S726" s="35">
        <v>25</v>
      </c>
      <c r="T726" s="54">
        <v>1.25</v>
      </c>
      <c r="U726" s="21">
        <f t="shared" si="43"/>
        <v>7.6161458333333334E-2</v>
      </c>
      <c r="V726" s="37" t="s">
        <v>6</v>
      </c>
      <c r="W726" s="37" t="s">
        <v>6</v>
      </c>
      <c r="X726" s="35" t="s">
        <v>6</v>
      </c>
      <c r="Y726" s="23" t="s">
        <v>6</v>
      </c>
      <c r="Z726" s="21" t="s">
        <v>6</v>
      </c>
      <c r="AA726" s="35" t="s">
        <v>6</v>
      </c>
      <c r="AB726" s="35" t="s">
        <v>6</v>
      </c>
      <c r="AC726" s="27" t="s">
        <v>142</v>
      </c>
    </row>
    <row r="727" spans="1:29" ht="13.8" customHeight="1">
      <c r="A727" s="35" t="s">
        <v>22</v>
      </c>
      <c r="B727" s="35" t="s">
        <v>4</v>
      </c>
      <c r="C727" s="49" t="s">
        <v>72</v>
      </c>
      <c r="D727" s="36">
        <v>146.22999999999999</v>
      </c>
      <c r="E727" s="12">
        <v>70</v>
      </c>
      <c r="F727" s="21">
        <f>E727*4*10/D727</f>
        <v>19.147917663954047</v>
      </c>
      <c r="G727" s="35">
        <v>0</v>
      </c>
      <c r="H727" s="35">
        <v>0</v>
      </c>
      <c r="I727" s="35">
        <v>0</v>
      </c>
      <c r="J727" s="35">
        <v>0</v>
      </c>
      <c r="K727" s="35">
        <v>0</v>
      </c>
      <c r="L727" s="36">
        <v>1650</v>
      </c>
      <c r="M727" s="35">
        <v>0.92</v>
      </c>
      <c r="N727" s="21">
        <v>1.82</v>
      </c>
      <c r="O727" s="12">
        <v>0</v>
      </c>
      <c r="P727" s="35">
        <v>0.04</v>
      </c>
      <c r="Q727" s="35">
        <v>300</v>
      </c>
      <c r="R727" s="35">
        <v>180</v>
      </c>
      <c r="S727" s="35">
        <v>25</v>
      </c>
      <c r="T727" s="54">
        <v>0.73</v>
      </c>
      <c r="U727" s="21">
        <f t="shared" si="43"/>
        <v>3.8124249999999998E-2</v>
      </c>
      <c r="V727" s="37" t="s">
        <v>6</v>
      </c>
      <c r="W727" s="37" t="s">
        <v>6</v>
      </c>
      <c r="X727" s="35" t="s">
        <v>6</v>
      </c>
      <c r="Y727" s="23" t="s">
        <v>6</v>
      </c>
      <c r="Z727" s="21" t="s">
        <v>6</v>
      </c>
      <c r="AA727" s="35" t="s">
        <v>6</v>
      </c>
      <c r="AB727" s="35" t="s">
        <v>6</v>
      </c>
      <c r="AC727" s="27" t="s">
        <v>142</v>
      </c>
    </row>
    <row r="728" spans="1:29">
      <c r="A728" s="35" t="s">
        <v>22</v>
      </c>
      <c r="B728" s="35" t="s">
        <v>3</v>
      </c>
      <c r="C728" s="49" t="s">
        <v>65</v>
      </c>
      <c r="D728" s="36">
        <v>189.30699999999999</v>
      </c>
      <c r="E728" s="12">
        <v>40</v>
      </c>
      <c r="F728" s="21">
        <f>E728*5*10/D728</f>
        <v>10.564849688601056</v>
      </c>
      <c r="G728" s="35">
        <v>0</v>
      </c>
      <c r="H728" s="35">
        <v>0</v>
      </c>
      <c r="I728" s="35">
        <v>0</v>
      </c>
      <c r="J728" s="35">
        <v>0</v>
      </c>
      <c r="K728" s="35">
        <v>0</v>
      </c>
      <c r="L728" s="36">
        <v>1650</v>
      </c>
      <c r="M728" s="35">
        <v>0.92</v>
      </c>
      <c r="N728" s="21">
        <v>1.82</v>
      </c>
      <c r="O728" s="12">
        <v>0</v>
      </c>
      <c r="P728" s="35">
        <v>0.04</v>
      </c>
      <c r="Q728" s="35">
        <v>300</v>
      </c>
      <c r="R728" s="35">
        <v>180</v>
      </c>
      <c r="S728" s="35">
        <v>25</v>
      </c>
      <c r="T728" s="54">
        <v>0.5</v>
      </c>
      <c r="U728" s="21">
        <f t="shared" si="43"/>
        <v>4.7326750000000001E-2</v>
      </c>
      <c r="V728" s="37" t="s">
        <v>6</v>
      </c>
      <c r="W728" s="37" t="s">
        <v>6</v>
      </c>
      <c r="X728" s="35" t="s">
        <v>6</v>
      </c>
      <c r="Y728" s="23" t="s">
        <v>6</v>
      </c>
      <c r="Z728" s="21" t="s">
        <v>6</v>
      </c>
      <c r="AA728" s="35" t="s">
        <v>6</v>
      </c>
      <c r="AB728" s="35" t="s">
        <v>6</v>
      </c>
      <c r="AC728" s="27" t="s">
        <v>142</v>
      </c>
    </row>
    <row r="729" spans="1:29">
      <c r="A729" s="35" t="s">
        <v>22</v>
      </c>
      <c r="B729" s="35" t="s">
        <v>3</v>
      </c>
      <c r="C729" s="49" t="s">
        <v>65</v>
      </c>
      <c r="D729" s="36">
        <v>189.30699999999999</v>
      </c>
      <c r="E729" s="12">
        <v>50</v>
      </c>
      <c r="F729" s="21">
        <f>E729*5*10/D729</f>
        <v>13.20606211075132</v>
      </c>
      <c r="G729" s="35">
        <v>0</v>
      </c>
      <c r="H729" s="35">
        <v>0</v>
      </c>
      <c r="I729" s="35">
        <v>0</v>
      </c>
      <c r="J729" s="35">
        <v>0</v>
      </c>
      <c r="K729" s="35">
        <v>0</v>
      </c>
      <c r="L729" s="36">
        <v>1650</v>
      </c>
      <c r="M729" s="35">
        <v>0.92</v>
      </c>
      <c r="N729" s="21">
        <v>1.82</v>
      </c>
      <c r="O729" s="12">
        <v>0</v>
      </c>
      <c r="P729" s="35">
        <v>0.04</v>
      </c>
      <c r="Q729" s="35">
        <v>300</v>
      </c>
      <c r="R729" s="35">
        <v>180</v>
      </c>
      <c r="S729" s="35">
        <v>25</v>
      </c>
      <c r="T729" s="54">
        <v>0.85</v>
      </c>
      <c r="U729" s="21">
        <f t="shared" si="43"/>
        <v>6.4364379999999999E-2</v>
      </c>
      <c r="V729" s="37" t="s">
        <v>6</v>
      </c>
      <c r="W729" s="37" t="s">
        <v>6</v>
      </c>
      <c r="X729" s="35" t="s">
        <v>6</v>
      </c>
      <c r="Y729" s="23" t="s">
        <v>6</v>
      </c>
      <c r="Z729" s="21" t="s">
        <v>6</v>
      </c>
      <c r="AA729" s="35" t="s">
        <v>6</v>
      </c>
      <c r="AB729" s="35" t="s">
        <v>6</v>
      </c>
      <c r="AC729" s="27" t="s">
        <v>142</v>
      </c>
    </row>
    <row r="730" spans="1:29">
      <c r="A730" s="35" t="s">
        <v>22</v>
      </c>
      <c r="B730" s="35" t="s">
        <v>3</v>
      </c>
      <c r="C730" s="49" t="s">
        <v>65</v>
      </c>
      <c r="D730" s="36">
        <v>189.30699999999999</v>
      </c>
      <c r="E730" s="12">
        <v>60</v>
      </c>
      <c r="F730" s="21">
        <f>E730*5*10/D730</f>
        <v>15.847274532901585</v>
      </c>
      <c r="G730" s="35">
        <v>0</v>
      </c>
      <c r="H730" s="35">
        <v>0</v>
      </c>
      <c r="I730" s="35">
        <v>0</v>
      </c>
      <c r="J730" s="35">
        <v>0</v>
      </c>
      <c r="K730" s="35">
        <v>0</v>
      </c>
      <c r="L730" s="36">
        <v>1650</v>
      </c>
      <c r="M730" s="35">
        <v>0.92</v>
      </c>
      <c r="N730" s="21">
        <v>1.82</v>
      </c>
      <c r="O730" s="12">
        <v>0</v>
      </c>
      <c r="P730" s="35">
        <v>0.04</v>
      </c>
      <c r="Q730" s="35">
        <v>300</v>
      </c>
      <c r="R730" s="35">
        <v>180</v>
      </c>
      <c r="S730" s="35">
        <v>25</v>
      </c>
      <c r="T730" s="54">
        <v>1.1200000000000001</v>
      </c>
      <c r="U730" s="21">
        <f t="shared" si="43"/>
        <v>7.067461333333333E-2</v>
      </c>
      <c r="V730" s="37" t="s">
        <v>6</v>
      </c>
      <c r="W730" s="37" t="s">
        <v>6</v>
      </c>
      <c r="X730" s="35" t="s">
        <v>6</v>
      </c>
      <c r="Y730" s="23" t="s">
        <v>6</v>
      </c>
      <c r="Z730" s="21" t="s">
        <v>6</v>
      </c>
      <c r="AA730" s="35" t="s">
        <v>6</v>
      </c>
      <c r="AB730" s="35" t="s">
        <v>6</v>
      </c>
      <c r="AC730" s="27" t="s">
        <v>142</v>
      </c>
    </row>
    <row r="731" spans="1:29">
      <c r="A731" s="35" t="s">
        <v>22</v>
      </c>
      <c r="B731" s="35" t="s">
        <v>3</v>
      </c>
      <c r="C731" s="49" t="s">
        <v>65</v>
      </c>
      <c r="D731" s="36">
        <v>189.30699999999999</v>
      </c>
      <c r="E731" s="12">
        <v>70</v>
      </c>
      <c r="F731" s="21">
        <f>E731*5*10/D731</f>
        <v>18.488486955051847</v>
      </c>
      <c r="G731" s="35">
        <v>0</v>
      </c>
      <c r="H731" s="35">
        <v>0</v>
      </c>
      <c r="I731" s="35">
        <v>0</v>
      </c>
      <c r="J731" s="35">
        <v>0</v>
      </c>
      <c r="K731" s="35">
        <v>0</v>
      </c>
      <c r="L731" s="36">
        <v>1650</v>
      </c>
      <c r="M731" s="35">
        <v>0.92</v>
      </c>
      <c r="N731" s="21">
        <v>1.82</v>
      </c>
      <c r="O731" s="12">
        <v>0</v>
      </c>
      <c r="P731" s="35">
        <v>0.04</v>
      </c>
      <c r="Q731" s="35">
        <v>300</v>
      </c>
      <c r="R731" s="35">
        <v>180</v>
      </c>
      <c r="S731" s="35">
        <v>25</v>
      </c>
      <c r="T731" s="54">
        <v>0.41</v>
      </c>
      <c r="U731" s="21">
        <f t="shared" si="43"/>
        <v>2.2175962857142854E-2</v>
      </c>
      <c r="V731" s="37" t="s">
        <v>6</v>
      </c>
      <c r="W731" s="37" t="s">
        <v>6</v>
      </c>
      <c r="X731" s="35" t="s">
        <v>6</v>
      </c>
      <c r="Y731" s="23" t="s">
        <v>6</v>
      </c>
      <c r="Z731" s="21" t="s">
        <v>6</v>
      </c>
      <c r="AA731" s="35" t="s">
        <v>6</v>
      </c>
      <c r="AB731" s="35" t="s">
        <v>6</v>
      </c>
      <c r="AC731" s="27" t="s">
        <v>142</v>
      </c>
    </row>
    <row r="732" spans="1:29">
      <c r="A732" s="35" t="s">
        <v>22</v>
      </c>
      <c r="B732" s="35" t="s">
        <v>181</v>
      </c>
      <c r="C732" s="49" t="s">
        <v>89</v>
      </c>
      <c r="D732" s="36">
        <v>462</v>
      </c>
      <c r="E732" s="12">
        <v>50</v>
      </c>
      <c r="F732" s="21">
        <f>E732*13*10/D732</f>
        <v>14.069264069264069</v>
      </c>
      <c r="G732" s="35">
        <v>0</v>
      </c>
      <c r="H732" s="35">
        <v>0</v>
      </c>
      <c r="I732" s="35">
        <v>0</v>
      </c>
      <c r="J732" s="35">
        <v>0</v>
      </c>
      <c r="K732" s="21">
        <f>(E732*1*1000/D732)/F732</f>
        <v>7.6923076923076925</v>
      </c>
      <c r="L732" s="36">
        <v>1650</v>
      </c>
      <c r="M732" s="35">
        <v>0.92</v>
      </c>
      <c r="N732" s="21">
        <v>1.82</v>
      </c>
      <c r="O732" s="12">
        <v>60</v>
      </c>
      <c r="P732" s="35">
        <v>0.04</v>
      </c>
      <c r="Q732" s="35">
        <v>100</v>
      </c>
      <c r="R732" s="35">
        <v>180</v>
      </c>
      <c r="S732" s="35">
        <v>25</v>
      </c>
      <c r="T732" s="54">
        <v>0.81</v>
      </c>
      <c r="U732" s="21">
        <f t="shared" si="43"/>
        <v>5.75723076923077E-2</v>
      </c>
      <c r="V732" s="37" t="s">
        <v>6</v>
      </c>
      <c r="W732" s="37" t="s">
        <v>6</v>
      </c>
      <c r="X732" s="35" t="s">
        <v>6</v>
      </c>
      <c r="Y732" s="23" t="s">
        <v>6</v>
      </c>
      <c r="Z732" s="21" t="s">
        <v>6</v>
      </c>
      <c r="AA732" s="35" t="s">
        <v>6</v>
      </c>
      <c r="AB732" s="35" t="s">
        <v>6</v>
      </c>
      <c r="AC732" s="27" t="s">
        <v>142</v>
      </c>
    </row>
    <row r="733" spans="1:29">
      <c r="A733" s="35" t="s">
        <v>22</v>
      </c>
      <c r="B733" s="35" t="s">
        <v>143</v>
      </c>
      <c r="C733" s="49" t="s">
        <v>72</v>
      </c>
      <c r="D733" s="36">
        <v>146.22999999999999</v>
      </c>
      <c r="E733" s="12">
        <v>50</v>
      </c>
      <c r="F733" s="21">
        <f>E733*4*10/D733</f>
        <v>13.677084045681461</v>
      </c>
      <c r="G733" s="35">
        <v>0</v>
      </c>
      <c r="H733" s="35">
        <v>0</v>
      </c>
      <c r="I733" s="35">
        <v>0</v>
      </c>
      <c r="J733" s="35">
        <v>0</v>
      </c>
      <c r="K733" s="35">
        <v>0</v>
      </c>
      <c r="L733" s="36">
        <v>1650</v>
      </c>
      <c r="M733" s="35">
        <v>0.92</v>
      </c>
      <c r="N733" s="21">
        <v>1.82</v>
      </c>
      <c r="O733" s="12">
        <v>60</v>
      </c>
      <c r="P733" s="35">
        <v>0.04</v>
      </c>
      <c r="Q733" s="35">
        <v>100</v>
      </c>
      <c r="R733" s="35">
        <v>180</v>
      </c>
      <c r="S733" s="35">
        <v>25</v>
      </c>
      <c r="T733" s="54">
        <v>1.24</v>
      </c>
      <c r="U733" s="21">
        <f t="shared" si="43"/>
        <v>9.0662599999999996E-2</v>
      </c>
      <c r="V733" s="37" t="s">
        <v>6</v>
      </c>
      <c r="W733" s="37" t="s">
        <v>6</v>
      </c>
      <c r="X733" s="35" t="s">
        <v>6</v>
      </c>
      <c r="Y733" s="23" t="s">
        <v>6</v>
      </c>
      <c r="Z733" s="21" t="s">
        <v>6</v>
      </c>
      <c r="AA733" s="35" t="s">
        <v>6</v>
      </c>
      <c r="AB733" s="35" t="s">
        <v>6</v>
      </c>
      <c r="AC733" s="27" t="s">
        <v>142</v>
      </c>
    </row>
    <row r="734" spans="1:29">
      <c r="A734" s="35" t="s">
        <v>22</v>
      </c>
      <c r="B734" s="35" t="s">
        <v>3</v>
      </c>
      <c r="C734" s="49" t="s">
        <v>65</v>
      </c>
      <c r="D734" s="36">
        <v>189.30699999999999</v>
      </c>
      <c r="E734" s="12">
        <v>50</v>
      </c>
      <c r="F734" s="21">
        <f>E734*5*10/D734</f>
        <v>13.20606211075132</v>
      </c>
      <c r="G734" s="35">
        <v>0</v>
      </c>
      <c r="H734" s="35">
        <v>0</v>
      </c>
      <c r="I734" s="35">
        <v>0</v>
      </c>
      <c r="J734" s="35">
        <v>0</v>
      </c>
      <c r="K734" s="35">
        <v>0</v>
      </c>
      <c r="L734" s="36">
        <v>1650</v>
      </c>
      <c r="M734" s="35">
        <v>0.92</v>
      </c>
      <c r="N734" s="21">
        <v>1.82</v>
      </c>
      <c r="O734" s="12">
        <v>60</v>
      </c>
      <c r="P734" s="35">
        <v>0.04</v>
      </c>
      <c r="Q734" s="35">
        <v>100</v>
      </c>
      <c r="R734" s="35">
        <v>180</v>
      </c>
      <c r="S734" s="35">
        <v>25</v>
      </c>
      <c r="T734" s="54">
        <v>1.19</v>
      </c>
      <c r="U734" s="21">
        <f t="shared" si="43"/>
        <v>9.0110131999999996E-2</v>
      </c>
      <c r="V734" s="37" t="s">
        <v>6</v>
      </c>
      <c r="W734" s="37" t="s">
        <v>6</v>
      </c>
      <c r="X734" s="35" t="s">
        <v>6</v>
      </c>
      <c r="Y734" s="23" t="s">
        <v>6</v>
      </c>
      <c r="Z734" s="21" t="s">
        <v>6</v>
      </c>
      <c r="AA734" s="35" t="s">
        <v>6</v>
      </c>
      <c r="AB734" s="35" t="s">
        <v>6</v>
      </c>
      <c r="AC734" s="27" t="s">
        <v>142</v>
      </c>
    </row>
    <row r="735" spans="1:29">
      <c r="A735" s="48" t="s">
        <v>274</v>
      </c>
      <c r="B735" s="35" t="s">
        <v>180</v>
      </c>
      <c r="C735" s="35" t="s">
        <v>60</v>
      </c>
      <c r="D735" s="36">
        <v>600</v>
      </c>
      <c r="E735" s="12">
        <v>35.699999999999996</v>
      </c>
      <c r="F735" s="21">
        <f>E735*15*10/600</f>
        <v>8.9249999999999989</v>
      </c>
      <c r="G735" s="35">
        <v>0</v>
      </c>
      <c r="H735" s="35">
        <v>0</v>
      </c>
      <c r="I735" s="35">
        <v>0</v>
      </c>
      <c r="J735" s="35">
        <v>0</v>
      </c>
      <c r="K735" s="35">
        <v>0</v>
      </c>
      <c r="L735" s="36">
        <v>124</v>
      </c>
      <c r="M735" s="35">
        <v>1</v>
      </c>
      <c r="N735" s="21">
        <v>16.100000000000001</v>
      </c>
      <c r="O735" s="12">
        <v>0</v>
      </c>
      <c r="P735" s="35">
        <v>0.04</v>
      </c>
      <c r="Q735" s="35">
        <v>90</v>
      </c>
      <c r="R735" s="35">
        <v>720</v>
      </c>
      <c r="S735" s="35">
        <v>25</v>
      </c>
      <c r="T735" s="55">
        <v>1</v>
      </c>
      <c r="U735" s="21">
        <v>7.0000000000000007E-2</v>
      </c>
      <c r="V735" s="37" t="s">
        <v>6</v>
      </c>
      <c r="W735" s="37" t="s">
        <v>6</v>
      </c>
      <c r="X735" s="35">
        <v>60</v>
      </c>
      <c r="Y735" s="23" t="s">
        <v>6</v>
      </c>
      <c r="Z735" s="21">
        <v>-5.9190679288463484</v>
      </c>
      <c r="AA735" s="35">
        <v>5</v>
      </c>
      <c r="AB735" s="35" t="s">
        <v>6</v>
      </c>
      <c r="AC735" s="2" t="s">
        <v>152</v>
      </c>
    </row>
    <row r="736" spans="1:29">
      <c r="A736" s="48" t="s">
        <v>275</v>
      </c>
      <c r="B736" s="35" t="s">
        <v>180</v>
      </c>
      <c r="C736" s="35" t="s">
        <v>60</v>
      </c>
      <c r="D736" s="36">
        <v>600</v>
      </c>
      <c r="E736" s="12">
        <v>35.699999999999996</v>
      </c>
      <c r="F736" s="21">
        <f t="shared" ref="F736:F744" si="44">E736*14*10/600</f>
        <v>8.33</v>
      </c>
      <c r="G736" s="35">
        <v>0</v>
      </c>
      <c r="H736" s="35">
        <v>0</v>
      </c>
      <c r="I736" s="35">
        <v>0</v>
      </c>
      <c r="J736" s="35">
        <v>0</v>
      </c>
      <c r="K736" s="35">
        <v>0</v>
      </c>
      <c r="L736" s="36">
        <v>124</v>
      </c>
      <c r="M736" s="35">
        <v>1</v>
      </c>
      <c r="N736" s="21">
        <v>16.100000000000001</v>
      </c>
      <c r="O736" s="12">
        <v>0</v>
      </c>
      <c r="P736" s="35">
        <v>0.04</v>
      </c>
      <c r="Q736" s="35">
        <v>90</v>
      </c>
      <c r="R736" s="35">
        <v>720</v>
      </c>
      <c r="S736" s="35">
        <v>-20</v>
      </c>
      <c r="T736" s="55">
        <v>0.49</v>
      </c>
      <c r="U736" s="21">
        <v>0.03</v>
      </c>
      <c r="V736" s="37" t="s">
        <v>6</v>
      </c>
      <c r="W736" s="37" t="s">
        <v>6</v>
      </c>
      <c r="X736" s="35">
        <v>60</v>
      </c>
      <c r="Y736" s="23" t="s">
        <v>6</v>
      </c>
      <c r="Z736" s="21">
        <v>-15.390435835351091</v>
      </c>
      <c r="AA736" s="35">
        <v>10</v>
      </c>
      <c r="AB736" s="35" t="s">
        <v>6</v>
      </c>
      <c r="AC736" s="1" t="s">
        <v>194</v>
      </c>
    </row>
    <row r="737" spans="1:29">
      <c r="A737" s="48" t="s">
        <v>275</v>
      </c>
      <c r="B737" s="35" t="s">
        <v>180</v>
      </c>
      <c r="C737" s="35" t="s">
        <v>60</v>
      </c>
      <c r="D737" s="36">
        <v>600</v>
      </c>
      <c r="E737" s="12">
        <v>35.699999999999996</v>
      </c>
      <c r="F737" s="21">
        <f t="shared" si="44"/>
        <v>8.33</v>
      </c>
      <c r="G737" s="35">
        <v>0</v>
      </c>
      <c r="H737" s="35">
        <v>0</v>
      </c>
      <c r="I737" s="35">
        <v>0</v>
      </c>
      <c r="J737" s="35">
        <v>0</v>
      </c>
      <c r="K737" s="35">
        <v>0</v>
      </c>
      <c r="L737" s="36">
        <v>124</v>
      </c>
      <c r="M737" s="35">
        <v>1</v>
      </c>
      <c r="N737" s="21">
        <v>16.100000000000001</v>
      </c>
      <c r="O737" s="12">
        <v>70</v>
      </c>
      <c r="P737" s="35">
        <v>0.04</v>
      </c>
      <c r="Q737" s="35">
        <v>50</v>
      </c>
      <c r="R737" s="35">
        <v>720</v>
      </c>
      <c r="S737" s="35">
        <v>25</v>
      </c>
      <c r="T737" s="55">
        <v>2</v>
      </c>
      <c r="U737" s="21">
        <v>0.14000000000000001</v>
      </c>
      <c r="V737" s="37">
        <v>89.79</v>
      </c>
      <c r="W737" s="37">
        <v>250.69</v>
      </c>
      <c r="X737" s="35" t="s">
        <v>6</v>
      </c>
      <c r="Y737" s="23" t="s">
        <v>6</v>
      </c>
      <c r="Z737" s="21" t="s">
        <v>6</v>
      </c>
      <c r="AA737" s="35" t="s">
        <v>6</v>
      </c>
      <c r="AB737" s="35" t="s">
        <v>6</v>
      </c>
      <c r="AC737" s="2" t="s">
        <v>152</v>
      </c>
    </row>
    <row r="738" spans="1:29">
      <c r="A738" s="48" t="s">
        <v>275</v>
      </c>
      <c r="B738" s="35" t="s">
        <v>180</v>
      </c>
      <c r="C738" s="35" t="s">
        <v>60</v>
      </c>
      <c r="D738" s="36">
        <v>600</v>
      </c>
      <c r="E738" s="12">
        <v>35.699999999999996</v>
      </c>
      <c r="F738" s="21">
        <f t="shared" si="44"/>
        <v>8.33</v>
      </c>
      <c r="G738" s="35">
        <v>0</v>
      </c>
      <c r="H738" s="35">
        <v>0</v>
      </c>
      <c r="I738" s="35">
        <v>0</v>
      </c>
      <c r="J738" s="35">
        <v>0</v>
      </c>
      <c r="K738" s="35">
        <v>0</v>
      </c>
      <c r="L738" s="36">
        <v>124</v>
      </c>
      <c r="M738" s="35">
        <v>1</v>
      </c>
      <c r="N738" s="21">
        <v>16.100000000000001</v>
      </c>
      <c r="O738" s="12">
        <v>70</v>
      </c>
      <c r="P738" s="35">
        <v>0.04</v>
      </c>
      <c r="Q738" s="35">
        <v>50</v>
      </c>
      <c r="R738" s="35">
        <v>720</v>
      </c>
      <c r="S738" s="35">
        <v>-20</v>
      </c>
      <c r="T738" s="55">
        <v>1.8</v>
      </c>
      <c r="U738" s="21">
        <v>0.12</v>
      </c>
      <c r="V738" s="37">
        <v>79.31</v>
      </c>
      <c r="W738" s="37">
        <v>233.07</v>
      </c>
      <c r="X738" s="35" t="s">
        <v>6</v>
      </c>
      <c r="Y738" s="23" t="s">
        <v>6</v>
      </c>
      <c r="Z738" s="21" t="s">
        <v>6</v>
      </c>
      <c r="AA738" s="35" t="s">
        <v>6</v>
      </c>
      <c r="AB738" s="35" t="s">
        <v>6</v>
      </c>
      <c r="AC738" s="2" t="s">
        <v>152</v>
      </c>
    </row>
    <row r="739" spans="1:29">
      <c r="A739" s="48" t="s">
        <v>275</v>
      </c>
      <c r="B739" s="35" t="s">
        <v>180</v>
      </c>
      <c r="C739" s="35" t="s">
        <v>60</v>
      </c>
      <c r="D739" s="36">
        <v>600</v>
      </c>
      <c r="E739" s="12">
        <v>18.3</v>
      </c>
      <c r="F739" s="21">
        <f t="shared" si="44"/>
        <v>4.2699999999999996</v>
      </c>
      <c r="G739" s="35">
        <v>0</v>
      </c>
      <c r="H739" s="35">
        <v>0</v>
      </c>
      <c r="I739" s="35">
        <v>0</v>
      </c>
      <c r="J739" s="35">
        <v>0</v>
      </c>
      <c r="K739" s="35">
        <v>0</v>
      </c>
      <c r="L739" s="36">
        <v>124</v>
      </c>
      <c r="M739" s="35">
        <v>1</v>
      </c>
      <c r="N739" s="21">
        <v>16.100000000000001</v>
      </c>
      <c r="O739" s="12">
        <v>0</v>
      </c>
      <c r="P739" s="35">
        <v>0.04</v>
      </c>
      <c r="Q739" s="35">
        <v>90</v>
      </c>
      <c r="R739" s="35">
        <v>720</v>
      </c>
      <c r="S739" s="35">
        <v>25</v>
      </c>
      <c r="T739" s="55">
        <v>0.57999999999999996</v>
      </c>
      <c r="U739" s="21">
        <v>0.08</v>
      </c>
      <c r="V739" s="37" t="s">
        <v>6</v>
      </c>
      <c r="W739" s="37" t="s">
        <v>6</v>
      </c>
      <c r="X739" s="35">
        <v>50</v>
      </c>
      <c r="Y739" s="23" t="s">
        <v>6</v>
      </c>
      <c r="Z739" s="21">
        <v>-53.674879051427595</v>
      </c>
      <c r="AA739" s="35">
        <v>5</v>
      </c>
      <c r="AB739" s="35" t="s">
        <v>6</v>
      </c>
      <c r="AC739" s="27" t="s">
        <v>152</v>
      </c>
    </row>
    <row r="740" spans="1:29">
      <c r="A740" s="48" t="s">
        <v>275</v>
      </c>
      <c r="B740" s="35" t="s">
        <v>180</v>
      </c>
      <c r="C740" s="35" t="s">
        <v>60</v>
      </c>
      <c r="D740" s="36">
        <v>600</v>
      </c>
      <c r="E740" s="12">
        <v>18.3</v>
      </c>
      <c r="F740" s="21">
        <f t="shared" si="44"/>
        <v>4.2699999999999996</v>
      </c>
      <c r="G740" s="35">
        <v>0</v>
      </c>
      <c r="H740" s="35">
        <v>0</v>
      </c>
      <c r="I740" s="35">
        <v>0</v>
      </c>
      <c r="J740" s="35">
        <v>0</v>
      </c>
      <c r="K740" s="35">
        <v>0</v>
      </c>
      <c r="L740" s="36">
        <v>124</v>
      </c>
      <c r="M740" s="35">
        <v>1</v>
      </c>
      <c r="N740" s="21">
        <v>16.100000000000001</v>
      </c>
      <c r="O740" s="12">
        <v>0</v>
      </c>
      <c r="P740" s="35">
        <v>0.04</v>
      </c>
      <c r="Q740" s="35">
        <v>90</v>
      </c>
      <c r="R740" s="35">
        <v>720</v>
      </c>
      <c r="S740" s="35">
        <v>-20</v>
      </c>
      <c r="T740" s="55">
        <v>0.47</v>
      </c>
      <c r="U740" s="21">
        <v>0.06</v>
      </c>
      <c r="V740" s="37" t="s">
        <v>6</v>
      </c>
      <c r="W740" s="37" t="s">
        <v>6</v>
      </c>
      <c r="X740" s="35">
        <v>50</v>
      </c>
      <c r="Y740" s="23">
        <v>1.0254878534448439</v>
      </c>
      <c r="Z740" s="21">
        <v>-0.47419999999999995</v>
      </c>
      <c r="AA740" s="35">
        <v>10</v>
      </c>
      <c r="AB740" s="35" t="s">
        <v>6</v>
      </c>
      <c r="AC740" s="2" t="s">
        <v>152</v>
      </c>
    </row>
    <row r="741" spans="1:29">
      <c r="A741" s="48" t="s">
        <v>275</v>
      </c>
      <c r="B741" s="35" t="s">
        <v>180</v>
      </c>
      <c r="C741" s="35" t="s">
        <v>60</v>
      </c>
      <c r="D741" s="36">
        <v>600</v>
      </c>
      <c r="E741" s="12">
        <v>18.3</v>
      </c>
      <c r="F741" s="21">
        <f t="shared" si="44"/>
        <v>4.2699999999999996</v>
      </c>
      <c r="G741" s="35">
        <v>0</v>
      </c>
      <c r="H741" s="35">
        <v>0</v>
      </c>
      <c r="I741" s="35">
        <v>0</v>
      </c>
      <c r="J741" s="35">
        <v>0</v>
      </c>
      <c r="K741" s="35">
        <v>0</v>
      </c>
      <c r="L741" s="36">
        <v>124</v>
      </c>
      <c r="M741" s="35">
        <v>1</v>
      </c>
      <c r="N741" s="21">
        <v>16.100000000000001</v>
      </c>
      <c r="O741" s="12">
        <v>70</v>
      </c>
      <c r="P741" s="35">
        <v>0.04</v>
      </c>
      <c r="Q741" s="35">
        <v>50</v>
      </c>
      <c r="R741" s="35">
        <v>720</v>
      </c>
      <c r="S741" s="35">
        <v>25</v>
      </c>
      <c r="T741" s="55">
        <v>0.87</v>
      </c>
      <c r="U741" s="21">
        <v>0.12</v>
      </c>
      <c r="V741" s="37">
        <v>51.68</v>
      </c>
      <c r="W741" s="37">
        <v>78.37</v>
      </c>
      <c r="X741" s="35" t="s">
        <v>6</v>
      </c>
      <c r="Y741" s="23" t="s">
        <v>6</v>
      </c>
      <c r="Z741" s="21" t="s">
        <v>6</v>
      </c>
      <c r="AA741" s="35" t="s">
        <v>6</v>
      </c>
      <c r="AB741" s="35" t="s">
        <v>6</v>
      </c>
      <c r="AC741" s="2" t="s">
        <v>152</v>
      </c>
    </row>
    <row r="742" spans="1:29">
      <c r="A742" s="48" t="s">
        <v>275</v>
      </c>
      <c r="B742" s="35" t="s">
        <v>180</v>
      </c>
      <c r="C742" s="35" t="s">
        <v>60</v>
      </c>
      <c r="D742" s="36">
        <v>600</v>
      </c>
      <c r="E742" s="12">
        <v>18.3</v>
      </c>
      <c r="F742" s="21">
        <f t="shared" si="44"/>
        <v>4.2699999999999996</v>
      </c>
      <c r="G742" s="35">
        <v>0</v>
      </c>
      <c r="H742" s="35">
        <v>0</v>
      </c>
      <c r="I742" s="35">
        <v>0</v>
      </c>
      <c r="J742" s="35">
        <v>0</v>
      </c>
      <c r="K742" s="35">
        <v>0</v>
      </c>
      <c r="L742" s="36">
        <v>124</v>
      </c>
      <c r="M742" s="35">
        <v>1</v>
      </c>
      <c r="N742" s="21">
        <v>16.100000000000001</v>
      </c>
      <c r="O742" s="12">
        <v>70</v>
      </c>
      <c r="P742" s="35">
        <v>0.04</v>
      </c>
      <c r="Q742" s="35">
        <v>50</v>
      </c>
      <c r="R742" s="35">
        <v>720</v>
      </c>
      <c r="S742" s="35">
        <v>-20</v>
      </c>
      <c r="T742" s="54">
        <v>1.26</v>
      </c>
      <c r="U742" s="21">
        <v>0.17</v>
      </c>
      <c r="V742" s="37">
        <v>29.89</v>
      </c>
      <c r="W742" s="37">
        <v>90.28</v>
      </c>
      <c r="X742" s="35" t="s">
        <v>6</v>
      </c>
      <c r="Y742" s="23" t="s">
        <v>6</v>
      </c>
      <c r="Z742" s="21" t="s">
        <v>6</v>
      </c>
      <c r="AA742" s="35" t="s">
        <v>6</v>
      </c>
      <c r="AB742" s="35" t="s">
        <v>6</v>
      </c>
      <c r="AC742" s="27" t="s">
        <v>152</v>
      </c>
    </row>
    <row r="743" spans="1:29">
      <c r="A743" s="48" t="s">
        <v>275</v>
      </c>
      <c r="B743" s="35" t="s">
        <v>180</v>
      </c>
      <c r="C743" s="35" t="s">
        <v>60</v>
      </c>
      <c r="D743" s="36">
        <v>600</v>
      </c>
      <c r="E743" s="12">
        <v>9.1999999999999993</v>
      </c>
      <c r="F743" s="21">
        <f t="shared" si="44"/>
        <v>2.1466666666666665</v>
      </c>
      <c r="G743" s="35">
        <v>0</v>
      </c>
      <c r="H743" s="35">
        <v>0</v>
      </c>
      <c r="I743" s="35">
        <v>0</v>
      </c>
      <c r="J743" s="35">
        <v>0</v>
      </c>
      <c r="K743" s="35">
        <v>0</v>
      </c>
      <c r="L743" s="36">
        <v>124</v>
      </c>
      <c r="M743" s="35">
        <v>1</v>
      </c>
      <c r="N743" s="21">
        <v>16.100000000000001</v>
      </c>
      <c r="O743" s="12">
        <v>0</v>
      </c>
      <c r="P743" s="35">
        <v>0.04</v>
      </c>
      <c r="Q743" s="35">
        <v>90</v>
      </c>
      <c r="R743" s="35">
        <v>720</v>
      </c>
      <c r="S743" s="35">
        <v>25</v>
      </c>
      <c r="T743" s="54">
        <v>0.2</v>
      </c>
      <c r="U743" s="21">
        <v>0.05</v>
      </c>
      <c r="V743" s="37" t="s">
        <v>6</v>
      </c>
      <c r="W743" s="37" t="s">
        <v>6</v>
      </c>
      <c r="X743" s="35" t="s">
        <v>6</v>
      </c>
      <c r="Y743" s="23" t="s">
        <v>6</v>
      </c>
      <c r="Z743" s="21" t="s">
        <v>6</v>
      </c>
      <c r="AA743" s="35" t="s">
        <v>6</v>
      </c>
      <c r="AB743" s="35" t="s">
        <v>6</v>
      </c>
      <c r="AC743" s="2" t="s">
        <v>152</v>
      </c>
    </row>
    <row r="744" spans="1:29">
      <c r="A744" s="48" t="s">
        <v>275</v>
      </c>
      <c r="B744" s="35" t="s">
        <v>180</v>
      </c>
      <c r="C744" s="35" t="s">
        <v>60</v>
      </c>
      <c r="D744" s="36">
        <v>600</v>
      </c>
      <c r="E744" s="12">
        <v>9.1999999999999993</v>
      </c>
      <c r="F744" s="21">
        <f t="shared" si="44"/>
        <v>2.1466666666666665</v>
      </c>
      <c r="G744" s="35">
        <v>0</v>
      </c>
      <c r="H744" s="35">
        <v>0</v>
      </c>
      <c r="I744" s="35">
        <v>0</v>
      </c>
      <c r="J744" s="35">
        <v>0</v>
      </c>
      <c r="K744" s="35">
        <v>0</v>
      </c>
      <c r="L744" s="36">
        <v>124</v>
      </c>
      <c r="M744" s="35">
        <v>1</v>
      </c>
      <c r="N744" s="21">
        <v>16.100000000000001</v>
      </c>
      <c r="O744" s="12">
        <v>0</v>
      </c>
      <c r="P744" s="35">
        <v>0.04</v>
      </c>
      <c r="Q744" s="35">
        <v>90</v>
      </c>
      <c r="R744" s="35">
        <v>720</v>
      </c>
      <c r="S744" s="35">
        <v>-20</v>
      </c>
      <c r="T744" s="54">
        <v>0.3</v>
      </c>
      <c r="U744" s="21">
        <v>0.08</v>
      </c>
      <c r="V744" s="37" t="s">
        <v>6</v>
      </c>
      <c r="W744" s="37" t="s">
        <v>6</v>
      </c>
      <c r="X744" s="35" t="s">
        <v>1</v>
      </c>
      <c r="Y744" s="23" t="s">
        <v>6</v>
      </c>
      <c r="Z744" s="21" t="s">
        <v>6</v>
      </c>
      <c r="AA744" s="35" t="s">
        <v>6</v>
      </c>
      <c r="AB744" s="35" t="s">
        <v>6</v>
      </c>
      <c r="AC744" s="2" t="s">
        <v>152</v>
      </c>
    </row>
    <row r="745" spans="1:29">
      <c r="A745" s="48" t="s">
        <v>275</v>
      </c>
      <c r="B745" s="35" t="s">
        <v>3</v>
      </c>
      <c r="C745" s="49" t="s">
        <v>65</v>
      </c>
      <c r="D745" s="36">
        <v>189.3</v>
      </c>
      <c r="E745" s="12">
        <v>37.5</v>
      </c>
      <c r="F745" s="21">
        <f t="shared" ref="F745:F754" si="45">E745*5*10/D745</f>
        <v>9.9049128367670356</v>
      </c>
      <c r="G745" s="35">
        <v>0</v>
      </c>
      <c r="H745" s="35">
        <v>0</v>
      </c>
      <c r="I745" s="35">
        <v>0</v>
      </c>
      <c r="J745" s="35">
        <v>0</v>
      </c>
      <c r="K745" s="35">
        <v>0</v>
      </c>
      <c r="L745" s="36">
        <v>124</v>
      </c>
      <c r="M745" s="35">
        <v>1</v>
      </c>
      <c r="N745" s="21">
        <v>16.100000000000001</v>
      </c>
      <c r="O745" s="12">
        <v>0</v>
      </c>
      <c r="P745" s="35">
        <v>0.04</v>
      </c>
      <c r="Q745" s="35">
        <v>90</v>
      </c>
      <c r="R745" s="35">
        <v>720</v>
      </c>
      <c r="S745" s="35">
        <v>25</v>
      </c>
      <c r="T745" s="54">
        <v>1.8</v>
      </c>
      <c r="U745" s="21">
        <v>0.17</v>
      </c>
      <c r="V745" s="37">
        <v>93.36</v>
      </c>
      <c r="W745" s="37">
        <v>329.72</v>
      </c>
      <c r="X745" s="35">
        <v>70</v>
      </c>
      <c r="Y745" s="23" t="s">
        <v>6</v>
      </c>
      <c r="Z745" s="21">
        <v>-13</v>
      </c>
      <c r="AA745" s="35">
        <v>5</v>
      </c>
      <c r="AB745" s="35" t="s">
        <v>6</v>
      </c>
      <c r="AC745" s="27" t="s">
        <v>152</v>
      </c>
    </row>
    <row r="746" spans="1:29">
      <c r="A746" s="48" t="s">
        <v>275</v>
      </c>
      <c r="B746" s="35" t="s">
        <v>3</v>
      </c>
      <c r="C746" s="49" t="s">
        <v>65</v>
      </c>
      <c r="D746" s="36">
        <v>189.3</v>
      </c>
      <c r="E746" s="12">
        <v>37.5</v>
      </c>
      <c r="F746" s="21">
        <f t="shared" si="45"/>
        <v>9.9049128367670356</v>
      </c>
      <c r="G746" s="35">
        <v>0</v>
      </c>
      <c r="H746" s="35">
        <v>0</v>
      </c>
      <c r="I746" s="35">
        <v>0</v>
      </c>
      <c r="J746" s="35">
        <v>0</v>
      </c>
      <c r="K746" s="35">
        <v>0</v>
      </c>
      <c r="L746" s="36">
        <v>124</v>
      </c>
      <c r="M746" s="35">
        <v>1</v>
      </c>
      <c r="N746" s="21">
        <v>16.100000000000001</v>
      </c>
      <c r="O746" s="12">
        <v>0</v>
      </c>
      <c r="P746" s="35">
        <v>0.04</v>
      </c>
      <c r="Q746" s="35">
        <v>90</v>
      </c>
      <c r="R746" s="35">
        <v>720</v>
      </c>
      <c r="S746" s="35">
        <v>-20</v>
      </c>
      <c r="T746" s="54">
        <v>1.2</v>
      </c>
      <c r="U746" s="21">
        <v>0.12</v>
      </c>
      <c r="V746" s="37">
        <v>57.637999999999998</v>
      </c>
      <c r="W746" s="37">
        <v>403.11</v>
      </c>
      <c r="X746" s="35">
        <v>70</v>
      </c>
      <c r="Y746" s="23" t="s">
        <v>6</v>
      </c>
      <c r="Z746" s="21">
        <v>-7.534246575342463</v>
      </c>
      <c r="AA746" s="35">
        <v>10</v>
      </c>
      <c r="AB746" s="35" t="s">
        <v>6</v>
      </c>
      <c r="AC746" s="2" t="s">
        <v>152</v>
      </c>
    </row>
    <row r="747" spans="1:29">
      <c r="A747" s="48" t="s">
        <v>275</v>
      </c>
      <c r="B747" s="35" t="s">
        <v>29</v>
      </c>
      <c r="C747" s="49" t="s">
        <v>65</v>
      </c>
      <c r="D747" s="36">
        <v>189.3</v>
      </c>
      <c r="E747" s="12">
        <v>37.5</v>
      </c>
      <c r="F747" s="21">
        <f t="shared" si="45"/>
        <v>9.9049128367670356</v>
      </c>
      <c r="G747" s="35">
        <v>0</v>
      </c>
      <c r="H747" s="35">
        <v>0</v>
      </c>
      <c r="I747" s="35">
        <v>0</v>
      </c>
      <c r="J747" s="35">
        <v>0</v>
      </c>
      <c r="K747" s="35">
        <v>0</v>
      </c>
      <c r="L747" s="36">
        <v>124</v>
      </c>
      <c r="M747" s="35">
        <v>1</v>
      </c>
      <c r="N747" s="21">
        <v>16.100000000000001</v>
      </c>
      <c r="O747" s="12">
        <v>70</v>
      </c>
      <c r="P747" s="35">
        <v>0.04</v>
      </c>
      <c r="Q747" s="35">
        <v>50</v>
      </c>
      <c r="R747" s="35">
        <v>720</v>
      </c>
      <c r="S747" s="35">
        <v>25</v>
      </c>
      <c r="T747" s="54">
        <v>2.5</v>
      </c>
      <c r="U747" s="21">
        <v>0.25</v>
      </c>
      <c r="V747" s="37">
        <v>92.506900000000002</v>
      </c>
      <c r="W747" s="37">
        <v>152.405</v>
      </c>
      <c r="X747" s="35" t="s">
        <v>6</v>
      </c>
      <c r="Y747" s="23" t="s">
        <v>6</v>
      </c>
      <c r="Z747" s="21" t="s">
        <v>6</v>
      </c>
      <c r="AA747" s="35" t="s">
        <v>6</v>
      </c>
      <c r="AB747" s="35" t="s">
        <v>6</v>
      </c>
      <c r="AC747" s="2" t="s">
        <v>152</v>
      </c>
    </row>
    <row r="748" spans="1:29">
      <c r="A748" s="48" t="s">
        <v>275</v>
      </c>
      <c r="B748" s="35" t="s">
        <v>29</v>
      </c>
      <c r="C748" s="49" t="s">
        <v>65</v>
      </c>
      <c r="D748" s="36">
        <v>189.3</v>
      </c>
      <c r="E748" s="12">
        <v>37.5</v>
      </c>
      <c r="F748" s="21">
        <f t="shared" si="45"/>
        <v>9.9049128367670356</v>
      </c>
      <c r="G748" s="35">
        <v>0</v>
      </c>
      <c r="H748" s="35">
        <v>0</v>
      </c>
      <c r="I748" s="35">
        <v>0</v>
      </c>
      <c r="J748" s="35">
        <v>0</v>
      </c>
      <c r="K748" s="35">
        <v>0</v>
      </c>
      <c r="L748" s="36">
        <v>124</v>
      </c>
      <c r="M748" s="35">
        <v>1</v>
      </c>
      <c r="N748" s="21">
        <v>16.100000000000001</v>
      </c>
      <c r="O748" s="12">
        <v>70</v>
      </c>
      <c r="P748" s="35">
        <v>0.04</v>
      </c>
      <c r="Q748" s="35">
        <v>50</v>
      </c>
      <c r="R748" s="35">
        <v>720</v>
      </c>
      <c r="S748" s="35">
        <v>-20</v>
      </c>
      <c r="T748" s="54">
        <v>0.65</v>
      </c>
      <c r="U748" s="21">
        <v>6.5000000000000002E-2</v>
      </c>
      <c r="V748" s="37">
        <v>122.72</v>
      </c>
      <c r="W748" s="37">
        <v>246.2</v>
      </c>
      <c r="X748" s="35" t="s">
        <v>6</v>
      </c>
      <c r="Y748" s="23" t="s">
        <v>6</v>
      </c>
      <c r="Z748" s="21" t="s">
        <v>6</v>
      </c>
      <c r="AA748" s="35" t="s">
        <v>6</v>
      </c>
      <c r="AB748" s="35" t="s">
        <v>6</v>
      </c>
      <c r="AC748" s="27" t="s">
        <v>152</v>
      </c>
    </row>
    <row r="749" spans="1:29">
      <c r="A749" s="48" t="s">
        <v>275</v>
      </c>
      <c r="B749" s="35" t="s">
        <v>3</v>
      </c>
      <c r="C749" s="49" t="s">
        <v>65</v>
      </c>
      <c r="D749" s="36">
        <v>189.3</v>
      </c>
      <c r="E749" s="12">
        <v>23</v>
      </c>
      <c r="F749" s="21">
        <f t="shared" si="45"/>
        <v>6.075013206550449</v>
      </c>
      <c r="G749" s="35">
        <v>0</v>
      </c>
      <c r="H749" s="35">
        <v>0</v>
      </c>
      <c r="I749" s="35">
        <v>0</v>
      </c>
      <c r="J749" s="35">
        <v>0</v>
      </c>
      <c r="K749" s="35">
        <v>0</v>
      </c>
      <c r="L749" s="36">
        <v>124</v>
      </c>
      <c r="M749" s="35">
        <v>1</v>
      </c>
      <c r="N749" s="21">
        <v>16.100000000000001</v>
      </c>
      <c r="O749" s="12">
        <v>0</v>
      </c>
      <c r="P749" s="35">
        <v>0.04</v>
      </c>
      <c r="Q749" s="35">
        <v>90</v>
      </c>
      <c r="R749" s="35">
        <v>720</v>
      </c>
      <c r="S749" s="35">
        <v>25</v>
      </c>
      <c r="T749" s="54">
        <v>1.2</v>
      </c>
      <c r="U749" s="21">
        <v>0.2</v>
      </c>
      <c r="V749" s="37">
        <v>52.77</v>
      </c>
      <c r="W749" s="37">
        <v>213.18</v>
      </c>
      <c r="X749" s="35">
        <v>60</v>
      </c>
      <c r="Y749" s="23" t="s">
        <v>6</v>
      </c>
      <c r="Z749" s="21">
        <v>-7.4279379157428007</v>
      </c>
      <c r="AA749" s="35">
        <v>5</v>
      </c>
      <c r="AB749" s="35" t="s">
        <v>6</v>
      </c>
      <c r="AC749" s="2" t="s">
        <v>152</v>
      </c>
    </row>
    <row r="750" spans="1:29">
      <c r="A750" s="48" t="s">
        <v>275</v>
      </c>
      <c r="B750" s="35" t="s">
        <v>3</v>
      </c>
      <c r="C750" s="49" t="s">
        <v>65</v>
      </c>
      <c r="D750" s="36">
        <v>189.3</v>
      </c>
      <c r="E750" s="12">
        <v>23</v>
      </c>
      <c r="F750" s="21">
        <f t="shared" si="45"/>
        <v>6.075013206550449</v>
      </c>
      <c r="G750" s="35">
        <v>0</v>
      </c>
      <c r="H750" s="35">
        <v>0</v>
      </c>
      <c r="I750" s="35">
        <v>0</v>
      </c>
      <c r="J750" s="35">
        <v>0</v>
      </c>
      <c r="K750" s="35">
        <v>0</v>
      </c>
      <c r="L750" s="36">
        <v>124</v>
      </c>
      <c r="M750" s="35">
        <v>1</v>
      </c>
      <c r="N750" s="21">
        <v>16.100000000000001</v>
      </c>
      <c r="O750" s="12">
        <v>0</v>
      </c>
      <c r="P750" s="35">
        <v>0.04</v>
      </c>
      <c r="Q750" s="35">
        <v>90</v>
      </c>
      <c r="R750" s="35">
        <v>720</v>
      </c>
      <c r="S750" s="35">
        <v>-20</v>
      </c>
      <c r="T750" s="54">
        <v>0.9</v>
      </c>
      <c r="U750" s="21">
        <v>0.15</v>
      </c>
      <c r="V750" s="37" t="s">
        <v>6</v>
      </c>
      <c r="W750" s="37" t="s">
        <v>6</v>
      </c>
      <c r="X750" s="35">
        <v>60</v>
      </c>
      <c r="Y750" s="23">
        <v>0.38350910834131491</v>
      </c>
      <c r="Z750" s="21">
        <v>-11</v>
      </c>
      <c r="AA750" s="35">
        <v>10</v>
      </c>
      <c r="AB750" s="35" t="s">
        <v>6</v>
      </c>
      <c r="AC750" s="2" t="s">
        <v>152</v>
      </c>
    </row>
    <row r="751" spans="1:29">
      <c r="A751" s="48" t="s">
        <v>275</v>
      </c>
      <c r="B751" s="35" t="s">
        <v>29</v>
      </c>
      <c r="C751" s="49" t="s">
        <v>65</v>
      </c>
      <c r="D751" s="36">
        <v>189.3</v>
      </c>
      <c r="E751" s="12">
        <v>23</v>
      </c>
      <c r="F751" s="21">
        <f t="shared" si="45"/>
        <v>6.075013206550449</v>
      </c>
      <c r="G751" s="35">
        <v>0</v>
      </c>
      <c r="H751" s="35">
        <v>0</v>
      </c>
      <c r="I751" s="35">
        <v>0</v>
      </c>
      <c r="J751" s="35">
        <v>0</v>
      </c>
      <c r="K751" s="35">
        <v>0</v>
      </c>
      <c r="L751" s="36">
        <v>124</v>
      </c>
      <c r="M751" s="35">
        <v>1</v>
      </c>
      <c r="N751" s="21">
        <v>16.100000000000001</v>
      </c>
      <c r="O751" s="12">
        <v>70</v>
      </c>
      <c r="P751" s="35">
        <v>0.04</v>
      </c>
      <c r="Q751" s="35">
        <v>50</v>
      </c>
      <c r="R751" s="35">
        <v>720</v>
      </c>
      <c r="S751" s="35">
        <v>25</v>
      </c>
      <c r="T751" s="54">
        <v>1.5</v>
      </c>
      <c r="U751" s="21">
        <v>0.25</v>
      </c>
      <c r="V751" s="37">
        <v>51.47</v>
      </c>
      <c r="W751" s="37">
        <v>78.27</v>
      </c>
      <c r="X751" s="35" t="s">
        <v>6</v>
      </c>
      <c r="Y751" s="23" t="s">
        <v>6</v>
      </c>
      <c r="Z751" s="21" t="s">
        <v>6</v>
      </c>
      <c r="AA751" s="35" t="s">
        <v>6</v>
      </c>
      <c r="AB751" s="35" t="s">
        <v>6</v>
      </c>
      <c r="AC751" s="27" t="s">
        <v>152</v>
      </c>
    </row>
    <row r="752" spans="1:29">
      <c r="A752" s="48" t="s">
        <v>275</v>
      </c>
      <c r="B752" s="35" t="s">
        <v>29</v>
      </c>
      <c r="C752" s="49" t="s">
        <v>65</v>
      </c>
      <c r="D752" s="36">
        <v>189.3</v>
      </c>
      <c r="E752" s="12">
        <v>23</v>
      </c>
      <c r="F752" s="21">
        <f t="shared" si="45"/>
        <v>6.075013206550449</v>
      </c>
      <c r="G752" s="35">
        <v>0</v>
      </c>
      <c r="H752" s="35">
        <v>0</v>
      </c>
      <c r="I752" s="35">
        <v>0</v>
      </c>
      <c r="J752" s="35">
        <v>0</v>
      </c>
      <c r="K752" s="35">
        <v>0</v>
      </c>
      <c r="L752" s="36">
        <v>124</v>
      </c>
      <c r="M752" s="35">
        <v>1</v>
      </c>
      <c r="N752" s="21">
        <v>16.100000000000001</v>
      </c>
      <c r="O752" s="12">
        <v>70</v>
      </c>
      <c r="P752" s="35">
        <v>0.04</v>
      </c>
      <c r="Q752" s="35">
        <v>50</v>
      </c>
      <c r="R752" s="35">
        <v>720</v>
      </c>
      <c r="S752" s="35">
        <v>-20</v>
      </c>
      <c r="T752" s="54">
        <v>1.88</v>
      </c>
      <c r="U752" s="21">
        <v>0.31</v>
      </c>
      <c r="V752" s="37">
        <v>23.65</v>
      </c>
      <c r="W752" s="37">
        <v>91.698800000000006</v>
      </c>
      <c r="X752" s="35">
        <v>60</v>
      </c>
      <c r="Y752" s="23" t="s">
        <v>6</v>
      </c>
      <c r="Z752" s="21">
        <v>9.1785638184530107</v>
      </c>
      <c r="AA752" s="35">
        <v>5</v>
      </c>
      <c r="AB752" s="35" t="s">
        <v>6</v>
      </c>
      <c r="AC752" s="2" t="s">
        <v>152</v>
      </c>
    </row>
    <row r="753" spans="1:29">
      <c r="A753" s="48" t="s">
        <v>275</v>
      </c>
      <c r="B753" s="35" t="s">
        <v>3</v>
      </c>
      <c r="C753" s="49" t="s">
        <v>65</v>
      </c>
      <c r="D753" s="36">
        <v>189.3</v>
      </c>
      <c r="E753" s="12">
        <v>11.4</v>
      </c>
      <c r="F753" s="21">
        <f t="shared" si="45"/>
        <v>3.0110935023771788</v>
      </c>
      <c r="G753" s="35">
        <v>0</v>
      </c>
      <c r="H753" s="35">
        <v>0</v>
      </c>
      <c r="I753" s="35">
        <v>0</v>
      </c>
      <c r="J753" s="35">
        <v>0</v>
      </c>
      <c r="K753" s="35">
        <v>0</v>
      </c>
      <c r="L753" s="36">
        <v>124</v>
      </c>
      <c r="M753" s="35">
        <v>1</v>
      </c>
      <c r="N753" s="21">
        <v>16.100000000000001</v>
      </c>
      <c r="O753" s="12">
        <v>0</v>
      </c>
      <c r="P753" s="35">
        <v>0.04</v>
      </c>
      <c r="Q753" s="35">
        <v>90</v>
      </c>
      <c r="R753" s="35">
        <v>720</v>
      </c>
      <c r="S753" s="35">
        <v>25</v>
      </c>
      <c r="T753" s="35">
        <v>0.22</v>
      </c>
      <c r="U753" s="21">
        <v>7.4999999999999997E-2</v>
      </c>
      <c r="V753" s="37" t="s">
        <v>6</v>
      </c>
      <c r="W753" s="37" t="s">
        <v>6</v>
      </c>
      <c r="X753" s="35" t="s">
        <v>6</v>
      </c>
      <c r="Y753" s="23" t="s">
        <v>6</v>
      </c>
      <c r="Z753" s="21" t="s">
        <v>6</v>
      </c>
      <c r="AA753" s="35" t="s">
        <v>6</v>
      </c>
      <c r="AB753" s="35" t="s">
        <v>6</v>
      </c>
      <c r="AC753" s="2" t="s">
        <v>152</v>
      </c>
    </row>
    <row r="754" spans="1:29">
      <c r="A754" s="48" t="s">
        <v>275</v>
      </c>
      <c r="B754" s="35" t="s">
        <v>3</v>
      </c>
      <c r="C754" s="49" t="s">
        <v>65</v>
      </c>
      <c r="D754" s="36">
        <v>189.3</v>
      </c>
      <c r="E754" s="12">
        <v>11.4</v>
      </c>
      <c r="F754" s="21">
        <f t="shared" si="45"/>
        <v>3.0110935023771788</v>
      </c>
      <c r="G754" s="35">
        <v>0</v>
      </c>
      <c r="H754" s="35">
        <v>0</v>
      </c>
      <c r="I754" s="35">
        <v>0</v>
      </c>
      <c r="J754" s="35">
        <v>0</v>
      </c>
      <c r="K754" s="35">
        <v>0</v>
      </c>
      <c r="L754" s="36">
        <v>124</v>
      </c>
      <c r="M754" s="35">
        <v>1</v>
      </c>
      <c r="N754" s="21">
        <v>16.100000000000001</v>
      </c>
      <c r="O754" s="12">
        <v>0</v>
      </c>
      <c r="P754" s="35">
        <v>0.04</v>
      </c>
      <c r="Q754" s="35">
        <v>90</v>
      </c>
      <c r="R754" s="35">
        <v>720</v>
      </c>
      <c r="S754" s="35">
        <v>-20</v>
      </c>
      <c r="T754" s="54">
        <v>0.36</v>
      </c>
      <c r="U754" s="21">
        <v>0.12</v>
      </c>
      <c r="V754" s="37">
        <v>13.92</v>
      </c>
      <c r="W754" s="37">
        <v>23.795999999999999</v>
      </c>
      <c r="X754" s="35" t="s">
        <v>6</v>
      </c>
      <c r="Y754" s="23" t="s">
        <v>6</v>
      </c>
      <c r="Z754" s="21" t="s">
        <v>6</v>
      </c>
      <c r="AA754" s="35" t="s">
        <v>6</v>
      </c>
      <c r="AB754" s="35" t="s">
        <v>6</v>
      </c>
      <c r="AC754" s="27" t="s">
        <v>152</v>
      </c>
    </row>
    <row r="755" spans="1:29">
      <c r="A755" s="48" t="s">
        <v>275</v>
      </c>
      <c r="B755" s="35" t="s">
        <v>146</v>
      </c>
      <c r="C755" s="49" t="s">
        <v>72</v>
      </c>
      <c r="D755" s="36">
        <v>202.34</v>
      </c>
      <c r="E755" s="12">
        <v>40</v>
      </c>
      <c r="F755" s="21">
        <f>E755*4*10/D755</f>
        <v>7.9074824552733025</v>
      </c>
      <c r="G755" s="35">
        <v>0</v>
      </c>
      <c r="H755" s="35">
        <v>0</v>
      </c>
      <c r="I755" s="35">
        <v>0</v>
      </c>
      <c r="J755" s="35">
        <v>0</v>
      </c>
      <c r="K755" s="35">
        <v>0</v>
      </c>
      <c r="L755" s="36">
        <v>124</v>
      </c>
      <c r="M755" s="35">
        <v>1</v>
      </c>
      <c r="N755" s="21">
        <v>16.100000000000001</v>
      </c>
      <c r="O755" s="12">
        <v>0</v>
      </c>
      <c r="P755" s="35">
        <v>0.04</v>
      </c>
      <c r="Q755" s="35">
        <v>90</v>
      </c>
      <c r="R755" s="35">
        <v>720</v>
      </c>
      <c r="S755" s="35">
        <v>25</v>
      </c>
      <c r="T755" s="55">
        <v>2.1012</v>
      </c>
      <c r="U755" s="21">
        <f>T755/F755</f>
        <v>0.26572300500000001</v>
      </c>
      <c r="V755" s="37" t="s">
        <v>6</v>
      </c>
      <c r="W755" s="37" t="s">
        <v>6</v>
      </c>
      <c r="X755" s="35" t="s">
        <v>6</v>
      </c>
      <c r="Y755" s="23" t="s">
        <v>6</v>
      </c>
      <c r="Z755" s="21" t="s">
        <v>6</v>
      </c>
      <c r="AA755" s="35" t="s">
        <v>6</v>
      </c>
      <c r="AB755" s="35" t="s">
        <v>6</v>
      </c>
      <c r="AC755" s="2" t="s">
        <v>152</v>
      </c>
    </row>
    <row r="756" spans="1:29">
      <c r="A756" s="48" t="s">
        <v>276</v>
      </c>
      <c r="B756" s="35" t="s">
        <v>146</v>
      </c>
      <c r="C756" s="49" t="s">
        <v>72</v>
      </c>
      <c r="D756" s="36">
        <v>202.34</v>
      </c>
      <c r="E756" s="12">
        <v>40</v>
      </c>
      <c r="F756" s="21">
        <f>E756*4*10/D756</f>
        <v>7.9074824552733025</v>
      </c>
      <c r="G756" s="35">
        <v>0</v>
      </c>
      <c r="H756" s="35">
        <v>0</v>
      </c>
      <c r="I756" s="35">
        <v>0</v>
      </c>
      <c r="J756" s="35">
        <v>0</v>
      </c>
      <c r="K756" s="35">
        <v>0</v>
      </c>
      <c r="L756" s="36">
        <v>124</v>
      </c>
      <c r="M756" s="35">
        <v>1</v>
      </c>
      <c r="N756" s="21">
        <v>16.100000000000001</v>
      </c>
      <c r="O756" s="12">
        <v>0</v>
      </c>
      <c r="P756" s="35">
        <v>0.04</v>
      </c>
      <c r="Q756" s="35">
        <v>90</v>
      </c>
      <c r="R756" s="35">
        <v>720</v>
      </c>
      <c r="S756" s="35">
        <v>-20</v>
      </c>
      <c r="T756" s="55">
        <v>0.50170000000000003</v>
      </c>
      <c r="U756" s="21">
        <f>T756/F756</f>
        <v>6.344623625000001E-2</v>
      </c>
      <c r="V756" s="37" t="s">
        <v>6</v>
      </c>
      <c r="W756" s="37" t="s">
        <v>6</v>
      </c>
      <c r="X756" s="35" t="s">
        <v>6</v>
      </c>
      <c r="Y756" s="23" t="s">
        <v>6</v>
      </c>
      <c r="Z756" s="21" t="s">
        <v>6</v>
      </c>
      <c r="AA756" s="35" t="s">
        <v>6</v>
      </c>
      <c r="AB756" s="35" t="s">
        <v>6</v>
      </c>
      <c r="AC756" s="2" t="s">
        <v>152</v>
      </c>
    </row>
    <row r="757" spans="1:29">
      <c r="A757" s="48" t="s">
        <v>275</v>
      </c>
      <c r="B757" s="35" t="s">
        <v>147</v>
      </c>
      <c r="C757" s="49" t="s">
        <v>148</v>
      </c>
      <c r="D757" s="36">
        <v>145.245</v>
      </c>
      <c r="E757" s="12">
        <v>40</v>
      </c>
      <c r="F757" s="21">
        <f>3*E757*10/D757</f>
        <v>8.2619023030052663</v>
      </c>
      <c r="G757" s="35">
        <v>0</v>
      </c>
      <c r="H757" s="35">
        <v>0</v>
      </c>
      <c r="I757" s="35">
        <v>0</v>
      </c>
      <c r="J757" s="35">
        <v>0</v>
      </c>
      <c r="K757" s="35">
        <v>0</v>
      </c>
      <c r="L757" s="36">
        <v>124</v>
      </c>
      <c r="M757" s="35">
        <v>1</v>
      </c>
      <c r="N757" s="21">
        <v>16.100000000000001</v>
      </c>
      <c r="O757" s="12">
        <v>0</v>
      </c>
      <c r="P757" s="35">
        <v>0.04</v>
      </c>
      <c r="Q757" s="35">
        <v>90</v>
      </c>
      <c r="R757" s="35">
        <v>720</v>
      </c>
      <c r="S757" s="35">
        <v>25</v>
      </c>
      <c r="T757" s="21">
        <v>0.19289999999999999</v>
      </c>
      <c r="U757" s="21">
        <f>T757/F757</f>
        <v>2.334813375E-2</v>
      </c>
      <c r="V757" s="37" t="s">
        <v>6</v>
      </c>
      <c r="W757" s="37" t="s">
        <v>6</v>
      </c>
      <c r="X757" s="35" t="s">
        <v>6</v>
      </c>
      <c r="Y757" s="23" t="s">
        <v>6</v>
      </c>
      <c r="Z757" s="21" t="s">
        <v>6</v>
      </c>
      <c r="AA757" s="35" t="s">
        <v>6</v>
      </c>
      <c r="AB757" s="35" t="s">
        <v>6</v>
      </c>
      <c r="AC757" s="27" t="s">
        <v>152</v>
      </c>
    </row>
    <row r="758" spans="1:29">
      <c r="A758" s="48" t="s">
        <v>275</v>
      </c>
      <c r="B758" s="35" t="s">
        <v>147</v>
      </c>
      <c r="C758" s="49" t="s">
        <v>148</v>
      </c>
      <c r="D758" s="36">
        <v>145.245</v>
      </c>
      <c r="E758" s="12">
        <v>40</v>
      </c>
      <c r="F758" s="21">
        <f>3*E758*10/D758</f>
        <v>8.2619023030052663</v>
      </c>
      <c r="G758" s="35">
        <v>0</v>
      </c>
      <c r="H758" s="35">
        <v>0</v>
      </c>
      <c r="I758" s="35">
        <v>0</v>
      </c>
      <c r="J758" s="35">
        <v>0</v>
      </c>
      <c r="K758" s="35">
        <v>0</v>
      </c>
      <c r="L758" s="36">
        <v>124</v>
      </c>
      <c r="M758" s="35">
        <v>1</v>
      </c>
      <c r="N758" s="21">
        <v>16.100000000000001</v>
      </c>
      <c r="O758" s="12">
        <v>0</v>
      </c>
      <c r="P758" s="35">
        <v>0.04</v>
      </c>
      <c r="Q758" s="35">
        <v>90</v>
      </c>
      <c r="R758" s="35">
        <v>720</v>
      </c>
      <c r="S758" s="35">
        <v>-20</v>
      </c>
      <c r="T758" s="21">
        <v>0.21010000000000001</v>
      </c>
      <c r="U758" s="21">
        <f>T758/F758</f>
        <v>2.5429978750000002E-2</v>
      </c>
      <c r="V758" s="37" t="s">
        <v>1</v>
      </c>
      <c r="W758" s="37" t="s">
        <v>1</v>
      </c>
      <c r="X758" s="35" t="s">
        <v>1</v>
      </c>
      <c r="Y758" s="23" t="s">
        <v>6</v>
      </c>
      <c r="Z758" s="21" t="s">
        <v>6</v>
      </c>
      <c r="AA758" s="35" t="s">
        <v>1</v>
      </c>
      <c r="AB758" s="35" t="s">
        <v>6</v>
      </c>
      <c r="AC758" s="2" t="s">
        <v>152</v>
      </c>
    </row>
    <row r="759" spans="1:29" ht="15" customHeight="1">
      <c r="A759" s="48" t="s">
        <v>150</v>
      </c>
      <c r="B759" s="35" t="s">
        <v>180</v>
      </c>
      <c r="C759" s="35" t="s">
        <v>60</v>
      </c>
      <c r="D759" s="36">
        <v>600</v>
      </c>
      <c r="E759" s="12">
        <v>10</v>
      </c>
      <c r="F759" s="21">
        <f t="shared" ref="F759:F765" si="46">E759*15*10/600</f>
        <v>2.5</v>
      </c>
      <c r="G759" s="35">
        <v>0</v>
      </c>
      <c r="H759" s="35">
        <v>0</v>
      </c>
      <c r="I759" s="35">
        <v>0</v>
      </c>
      <c r="J759" s="35">
        <v>0</v>
      </c>
      <c r="K759" s="35">
        <v>0</v>
      </c>
      <c r="L759" s="36">
        <v>3492</v>
      </c>
      <c r="M759" s="35">
        <v>2.2000000000000002</v>
      </c>
      <c r="N759" s="21">
        <v>2.5200458190148911</v>
      </c>
      <c r="O759" s="12">
        <v>0</v>
      </c>
      <c r="P759" s="35">
        <v>0.04</v>
      </c>
      <c r="Q759" s="35">
        <v>90</v>
      </c>
      <c r="R759" s="35">
        <v>750</v>
      </c>
      <c r="S759" s="35">
        <v>25</v>
      </c>
      <c r="T759" s="35">
        <v>6.0000000000000001E-3</v>
      </c>
      <c r="U759" s="21">
        <v>2E-3</v>
      </c>
      <c r="V759" s="35" t="s">
        <v>6</v>
      </c>
      <c r="W759" s="35" t="s">
        <v>6</v>
      </c>
      <c r="X759" s="35" t="s">
        <v>6</v>
      </c>
      <c r="Y759" s="23" t="s">
        <v>6</v>
      </c>
      <c r="Z759" s="21" t="s">
        <v>6</v>
      </c>
      <c r="AA759" s="35" t="s">
        <v>6</v>
      </c>
      <c r="AB759" s="35" t="s">
        <v>6</v>
      </c>
      <c r="AC759" s="27" t="s">
        <v>151</v>
      </c>
    </row>
    <row r="760" spans="1:29">
      <c r="A760" s="48" t="s">
        <v>150</v>
      </c>
      <c r="B760" s="35" t="s">
        <v>180</v>
      </c>
      <c r="C760" s="35" t="s">
        <v>60</v>
      </c>
      <c r="D760" s="36">
        <v>600</v>
      </c>
      <c r="E760" s="12">
        <v>10</v>
      </c>
      <c r="F760" s="21">
        <f t="shared" si="46"/>
        <v>2.5</v>
      </c>
      <c r="G760" s="35">
        <v>0</v>
      </c>
      <c r="H760" s="35">
        <v>0</v>
      </c>
      <c r="I760" s="35">
        <v>0</v>
      </c>
      <c r="J760" s="35">
        <v>0</v>
      </c>
      <c r="K760" s="35">
        <v>0</v>
      </c>
      <c r="L760" s="36">
        <v>3492</v>
      </c>
      <c r="M760" s="35">
        <v>2.2000000000000002</v>
      </c>
      <c r="N760" s="21">
        <v>2.5200458190148911</v>
      </c>
      <c r="O760" s="12">
        <v>0</v>
      </c>
      <c r="P760" s="35">
        <v>0.04</v>
      </c>
      <c r="Q760" s="35">
        <v>90</v>
      </c>
      <c r="R760" s="35">
        <v>750</v>
      </c>
      <c r="S760" s="35">
        <v>-20</v>
      </c>
      <c r="T760" s="35">
        <v>0.05</v>
      </c>
      <c r="U760" s="21">
        <v>0.02</v>
      </c>
      <c r="V760" s="37" t="s">
        <v>6</v>
      </c>
      <c r="W760" s="37" t="s">
        <v>6</v>
      </c>
      <c r="X760" s="35" t="s">
        <v>6</v>
      </c>
      <c r="Y760" s="23" t="s">
        <v>6</v>
      </c>
      <c r="Z760" s="21" t="s">
        <v>6</v>
      </c>
      <c r="AA760" s="35" t="s">
        <v>6</v>
      </c>
      <c r="AB760" s="35" t="s">
        <v>6</v>
      </c>
      <c r="AC760" s="27" t="s">
        <v>151</v>
      </c>
    </row>
    <row r="761" spans="1:29">
      <c r="A761" s="35" t="s">
        <v>149</v>
      </c>
      <c r="B761" s="35" t="s">
        <v>180</v>
      </c>
      <c r="C761" s="35" t="s">
        <v>60</v>
      </c>
      <c r="D761" s="36">
        <v>600</v>
      </c>
      <c r="E761" s="12">
        <v>30</v>
      </c>
      <c r="F761" s="21">
        <f t="shared" si="46"/>
        <v>7.5</v>
      </c>
      <c r="G761" s="35">
        <v>0</v>
      </c>
      <c r="H761" s="35">
        <v>0</v>
      </c>
      <c r="I761" s="35">
        <v>0</v>
      </c>
      <c r="J761" s="35">
        <v>0</v>
      </c>
      <c r="K761" s="35">
        <v>0</v>
      </c>
      <c r="L761" s="36">
        <v>3492</v>
      </c>
      <c r="M761" s="35">
        <v>2.2000000000000002</v>
      </c>
      <c r="N761" s="21">
        <v>2.5200458190148911</v>
      </c>
      <c r="O761" s="12">
        <v>0</v>
      </c>
      <c r="P761" s="35">
        <v>0.04</v>
      </c>
      <c r="Q761" s="35">
        <v>90</v>
      </c>
      <c r="R761" s="35">
        <v>750</v>
      </c>
      <c r="S761" s="35">
        <v>25</v>
      </c>
      <c r="T761" s="35">
        <v>0.24</v>
      </c>
      <c r="U761" s="21">
        <v>0.03</v>
      </c>
      <c r="V761" s="37">
        <v>19.850000000000001</v>
      </c>
      <c r="W761" s="37">
        <v>4.99</v>
      </c>
      <c r="X761" s="35" t="s">
        <v>6</v>
      </c>
      <c r="Y761" s="23" t="s">
        <v>6</v>
      </c>
      <c r="Z761" s="21" t="s">
        <v>6</v>
      </c>
      <c r="AA761" s="35" t="s">
        <v>6</v>
      </c>
      <c r="AB761" s="35">
        <v>40</v>
      </c>
      <c r="AC761" s="27" t="s">
        <v>151</v>
      </c>
    </row>
    <row r="762" spans="1:29">
      <c r="A762" s="35" t="s">
        <v>149</v>
      </c>
      <c r="B762" s="35" t="s">
        <v>180</v>
      </c>
      <c r="C762" s="35" t="s">
        <v>60</v>
      </c>
      <c r="D762" s="36">
        <v>600</v>
      </c>
      <c r="E762" s="12">
        <v>30</v>
      </c>
      <c r="F762" s="21">
        <f t="shared" si="46"/>
        <v>7.5</v>
      </c>
      <c r="G762" s="35">
        <v>0</v>
      </c>
      <c r="H762" s="35">
        <v>0</v>
      </c>
      <c r="I762" s="35">
        <v>0</v>
      </c>
      <c r="J762" s="35">
        <v>0</v>
      </c>
      <c r="K762" s="35">
        <v>0</v>
      </c>
      <c r="L762" s="36">
        <v>3492</v>
      </c>
      <c r="M762" s="35">
        <v>2.2000000000000002</v>
      </c>
      <c r="N762" s="21">
        <v>2.5200458190148911</v>
      </c>
      <c r="O762" s="12">
        <v>0</v>
      </c>
      <c r="P762" s="35">
        <v>0.04</v>
      </c>
      <c r="Q762" s="35">
        <v>90</v>
      </c>
      <c r="R762" s="35">
        <v>750</v>
      </c>
      <c r="S762" s="35">
        <v>-20</v>
      </c>
      <c r="T762" s="35">
        <v>0.78</v>
      </c>
      <c r="U762" s="21">
        <v>0.11</v>
      </c>
      <c r="V762" s="37" t="s">
        <v>6</v>
      </c>
      <c r="W762" s="37" t="s">
        <v>6</v>
      </c>
      <c r="X762" s="35">
        <v>25</v>
      </c>
      <c r="Y762" s="23" t="s">
        <v>6</v>
      </c>
      <c r="Z762" s="21">
        <v>36.282051282051285</v>
      </c>
      <c r="AA762" s="35">
        <v>5</v>
      </c>
      <c r="AB762" s="35" t="s">
        <v>6</v>
      </c>
      <c r="AC762" s="27" t="s">
        <v>151</v>
      </c>
    </row>
    <row r="763" spans="1:29">
      <c r="A763" s="48" t="s">
        <v>149</v>
      </c>
      <c r="B763" s="35" t="s">
        <v>180</v>
      </c>
      <c r="C763" s="35" t="s">
        <v>60</v>
      </c>
      <c r="D763" s="36">
        <v>600</v>
      </c>
      <c r="E763" s="12">
        <v>50</v>
      </c>
      <c r="F763" s="21">
        <f t="shared" si="46"/>
        <v>12.5</v>
      </c>
      <c r="G763" s="35">
        <v>0</v>
      </c>
      <c r="H763" s="35">
        <v>0</v>
      </c>
      <c r="I763" s="35">
        <v>0</v>
      </c>
      <c r="J763" s="35">
        <v>0</v>
      </c>
      <c r="K763" s="35">
        <v>0</v>
      </c>
      <c r="L763" s="36">
        <v>3492</v>
      </c>
      <c r="M763" s="35">
        <v>2.2000000000000002</v>
      </c>
      <c r="N763" s="21">
        <v>2.5200458190148911</v>
      </c>
      <c r="O763" s="12">
        <v>0</v>
      </c>
      <c r="P763" s="35">
        <v>0.04</v>
      </c>
      <c r="Q763" s="35">
        <v>90</v>
      </c>
      <c r="R763" s="35">
        <v>750</v>
      </c>
      <c r="S763" s="35">
        <v>25</v>
      </c>
      <c r="T763" s="35">
        <v>1.81</v>
      </c>
      <c r="U763" s="21">
        <v>0.14000000000000001</v>
      </c>
      <c r="V763" s="37">
        <v>55.28</v>
      </c>
      <c r="W763" s="37">
        <v>611.54999999999995</v>
      </c>
      <c r="X763" s="35">
        <v>60</v>
      </c>
      <c r="Y763" s="23" t="s">
        <v>6</v>
      </c>
      <c r="Z763" s="21">
        <v>41.436464088397791</v>
      </c>
      <c r="AA763" s="35">
        <v>14</v>
      </c>
      <c r="AB763" s="35">
        <v>95</v>
      </c>
      <c r="AC763" s="27" t="s">
        <v>151</v>
      </c>
    </row>
    <row r="764" spans="1:29">
      <c r="A764" s="48" t="s">
        <v>149</v>
      </c>
      <c r="B764" s="35" t="s">
        <v>180</v>
      </c>
      <c r="C764" s="35" t="s">
        <v>60</v>
      </c>
      <c r="D764" s="36">
        <v>600</v>
      </c>
      <c r="E764" s="12">
        <v>50</v>
      </c>
      <c r="F764" s="21">
        <f t="shared" si="46"/>
        <v>12.5</v>
      </c>
      <c r="G764" s="35">
        <v>0</v>
      </c>
      <c r="H764" s="35">
        <v>0</v>
      </c>
      <c r="I764" s="35">
        <v>0</v>
      </c>
      <c r="J764" s="35">
        <v>0</v>
      </c>
      <c r="K764" s="35">
        <v>0</v>
      </c>
      <c r="L764" s="36">
        <v>3492</v>
      </c>
      <c r="M764" s="35">
        <v>2.2000000000000002</v>
      </c>
      <c r="N764" s="21">
        <v>2.5200458190148911</v>
      </c>
      <c r="O764" s="12">
        <v>0</v>
      </c>
      <c r="P764" s="35">
        <v>0.04</v>
      </c>
      <c r="Q764" s="35">
        <v>90</v>
      </c>
      <c r="R764" s="35">
        <v>750</v>
      </c>
      <c r="S764" s="35">
        <v>-20</v>
      </c>
      <c r="T764" s="35">
        <v>1.64</v>
      </c>
      <c r="U764" s="21">
        <v>0.13</v>
      </c>
      <c r="V764" s="37">
        <v>51.86</v>
      </c>
      <c r="W764" s="37">
        <v>199.57</v>
      </c>
      <c r="X764" s="35">
        <v>25</v>
      </c>
      <c r="Y764" s="23" t="s">
        <v>6</v>
      </c>
      <c r="Z764" s="21">
        <v>58.079268292682926</v>
      </c>
      <c r="AA764" s="35">
        <v>5</v>
      </c>
      <c r="AB764" s="35" t="s">
        <v>6</v>
      </c>
      <c r="AC764" s="27" t="s">
        <v>151</v>
      </c>
    </row>
    <row r="765" spans="1:29">
      <c r="A765" s="48" t="s">
        <v>149</v>
      </c>
      <c r="B765" s="35" t="s">
        <v>180</v>
      </c>
      <c r="C765" s="35" t="s">
        <v>60</v>
      </c>
      <c r="D765" s="36">
        <v>600</v>
      </c>
      <c r="E765" s="12">
        <v>50</v>
      </c>
      <c r="F765" s="21">
        <f t="shared" si="46"/>
        <v>12.5</v>
      </c>
      <c r="G765" s="35">
        <v>0</v>
      </c>
      <c r="H765" s="35">
        <v>0</v>
      </c>
      <c r="I765" s="35">
        <v>0</v>
      </c>
      <c r="J765" s="35">
        <v>0</v>
      </c>
      <c r="K765" s="35">
        <v>0</v>
      </c>
      <c r="L765" s="36">
        <v>3492</v>
      </c>
      <c r="M765" s="35">
        <v>2.2000000000000002</v>
      </c>
      <c r="N765" s="21">
        <v>2.5200458190148911</v>
      </c>
      <c r="O765" s="12">
        <v>0</v>
      </c>
      <c r="P765" s="35">
        <v>0.04</v>
      </c>
      <c r="Q765" s="35">
        <v>90</v>
      </c>
      <c r="R765" s="35">
        <v>750</v>
      </c>
      <c r="S765" s="35">
        <v>-20</v>
      </c>
      <c r="T765" s="35">
        <v>1.64</v>
      </c>
      <c r="U765" s="21">
        <v>0.13</v>
      </c>
      <c r="V765" s="37">
        <v>51.86</v>
      </c>
      <c r="W765" s="37">
        <v>199.57</v>
      </c>
      <c r="X765" s="35">
        <v>60</v>
      </c>
      <c r="Y765" s="23">
        <v>0.71427892068746235</v>
      </c>
      <c r="Z765" s="21">
        <v>31.341463414634145</v>
      </c>
      <c r="AA765" s="35">
        <v>15</v>
      </c>
      <c r="AB765" s="35" t="s">
        <v>6</v>
      </c>
      <c r="AC765" s="27" t="s">
        <v>151</v>
      </c>
    </row>
    <row r="766" spans="1:29">
      <c r="A766" s="35" t="s">
        <v>149</v>
      </c>
      <c r="B766" s="35" t="s">
        <v>29</v>
      </c>
      <c r="C766" s="35" t="s">
        <v>65</v>
      </c>
      <c r="D766" s="36">
        <v>189.3</v>
      </c>
      <c r="E766" s="12">
        <v>10</v>
      </c>
      <c r="F766" s="21">
        <f t="shared" ref="F766:F773" si="47">E766*5*10/D766</f>
        <v>2.6413100898045427</v>
      </c>
      <c r="G766" s="35">
        <v>0</v>
      </c>
      <c r="H766" s="35">
        <v>0</v>
      </c>
      <c r="I766" s="35">
        <v>0</v>
      </c>
      <c r="J766" s="35">
        <v>0</v>
      </c>
      <c r="K766" s="35">
        <v>0</v>
      </c>
      <c r="L766" s="36">
        <v>3492</v>
      </c>
      <c r="M766" s="35">
        <v>2.2000000000000002</v>
      </c>
      <c r="N766" s="21">
        <v>2.5200458190148911</v>
      </c>
      <c r="O766" s="12">
        <v>0</v>
      </c>
      <c r="P766" s="35">
        <v>0.04</v>
      </c>
      <c r="Q766" s="35">
        <v>90</v>
      </c>
      <c r="R766" s="35">
        <v>750</v>
      </c>
      <c r="S766" s="35">
        <v>25</v>
      </c>
      <c r="T766" s="35">
        <v>2E-3</v>
      </c>
      <c r="U766" s="21">
        <v>5.0000000000000001E-4</v>
      </c>
      <c r="V766" s="37" t="s">
        <v>6</v>
      </c>
      <c r="W766" s="37" t="s">
        <v>6</v>
      </c>
      <c r="X766" s="35" t="s">
        <v>6</v>
      </c>
      <c r="Y766" s="23" t="s">
        <v>6</v>
      </c>
      <c r="Z766" s="21" t="s">
        <v>6</v>
      </c>
      <c r="AA766" s="35" t="s">
        <v>6</v>
      </c>
      <c r="AB766" s="35" t="s">
        <v>6</v>
      </c>
      <c r="AC766" s="27" t="s">
        <v>151</v>
      </c>
    </row>
    <row r="767" spans="1:29" ht="12.45" customHeight="1">
      <c r="A767" s="35" t="s">
        <v>149</v>
      </c>
      <c r="B767" s="35" t="s">
        <v>29</v>
      </c>
      <c r="C767" s="35" t="s">
        <v>65</v>
      </c>
      <c r="D767" s="36">
        <v>189.3</v>
      </c>
      <c r="E767" s="12">
        <v>10</v>
      </c>
      <c r="F767" s="21">
        <f t="shared" si="47"/>
        <v>2.6413100898045427</v>
      </c>
      <c r="G767" s="35">
        <v>0</v>
      </c>
      <c r="H767" s="35">
        <v>0</v>
      </c>
      <c r="I767" s="35">
        <v>0</v>
      </c>
      <c r="J767" s="35">
        <v>0</v>
      </c>
      <c r="K767" s="35">
        <v>0</v>
      </c>
      <c r="L767" s="36">
        <v>3492</v>
      </c>
      <c r="M767" s="35">
        <v>2.2000000000000002</v>
      </c>
      <c r="N767" s="21">
        <v>2.5200458190148911</v>
      </c>
      <c r="O767" s="12">
        <v>0</v>
      </c>
      <c r="P767" s="35">
        <v>0.04</v>
      </c>
      <c r="Q767" s="35">
        <v>90</v>
      </c>
      <c r="R767" s="35">
        <v>750</v>
      </c>
      <c r="S767" s="35">
        <v>-20</v>
      </c>
      <c r="T767" s="35">
        <v>0.02</v>
      </c>
      <c r="U767" s="21">
        <v>0.01</v>
      </c>
      <c r="V767" s="37" t="s">
        <v>6</v>
      </c>
      <c r="W767" s="37" t="s">
        <v>6</v>
      </c>
      <c r="X767" s="35" t="s">
        <v>6</v>
      </c>
      <c r="Y767" s="23" t="s">
        <v>6</v>
      </c>
      <c r="Z767" s="21" t="s">
        <v>6</v>
      </c>
      <c r="AA767" s="35" t="s">
        <v>6</v>
      </c>
      <c r="AB767" s="35" t="s">
        <v>6</v>
      </c>
      <c r="AC767" s="27" t="s">
        <v>151</v>
      </c>
    </row>
    <row r="768" spans="1:29" ht="14.55" customHeight="1">
      <c r="A768" s="48" t="s">
        <v>149</v>
      </c>
      <c r="B768" s="35" t="s">
        <v>29</v>
      </c>
      <c r="C768" s="35" t="s">
        <v>65</v>
      </c>
      <c r="D768" s="36">
        <v>189.3</v>
      </c>
      <c r="E768" s="12">
        <v>30</v>
      </c>
      <c r="F768" s="21">
        <f t="shared" si="47"/>
        <v>7.9239302694136287</v>
      </c>
      <c r="G768" s="35">
        <v>0</v>
      </c>
      <c r="H768" s="35">
        <v>0</v>
      </c>
      <c r="I768" s="35">
        <v>0</v>
      </c>
      <c r="J768" s="35">
        <v>0</v>
      </c>
      <c r="K768" s="35">
        <v>0</v>
      </c>
      <c r="L768" s="36">
        <v>3492</v>
      </c>
      <c r="M768" s="35">
        <v>2.2000000000000002</v>
      </c>
      <c r="N768" s="21">
        <v>2.5200458190148911</v>
      </c>
      <c r="O768" s="12">
        <v>0</v>
      </c>
      <c r="P768" s="35">
        <v>0.04</v>
      </c>
      <c r="Q768" s="35">
        <v>90</v>
      </c>
      <c r="R768" s="35">
        <v>750</v>
      </c>
      <c r="S768" s="35">
        <v>25</v>
      </c>
      <c r="T768" s="21">
        <v>0.39</v>
      </c>
      <c r="U768" s="21">
        <v>0.05</v>
      </c>
      <c r="V768" s="37">
        <v>8.92</v>
      </c>
      <c r="W768" s="37">
        <v>55.28</v>
      </c>
      <c r="X768" s="35" t="s">
        <v>6</v>
      </c>
      <c r="Y768" s="23" t="s">
        <v>6</v>
      </c>
      <c r="Z768" s="21" t="s">
        <v>6</v>
      </c>
      <c r="AA768" s="35" t="s">
        <v>6</v>
      </c>
      <c r="AB768" s="35">
        <v>65</v>
      </c>
      <c r="AC768" s="27" t="s">
        <v>151</v>
      </c>
    </row>
    <row r="769" spans="1:29">
      <c r="A769" s="48" t="s">
        <v>149</v>
      </c>
      <c r="B769" s="35" t="s">
        <v>29</v>
      </c>
      <c r="C769" s="35" t="s">
        <v>65</v>
      </c>
      <c r="D769" s="36">
        <v>189.3</v>
      </c>
      <c r="E769" s="12">
        <v>30</v>
      </c>
      <c r="F769" s="21">
        <f t="shared" si="47"/>
        <v>7.9239302694136287</v>
      </c>
      <c r="G769" s="35">
        <v>0</v>
      </c>
      <c r="H769" s="35">
        <v>0</v>
      </c>
      <c r="I769" s="35">
        <v>0</v>
      </c>
      <c r="J769" s="35">
        <v>0</v>
      </c>
      <c r="K769" s="35">
        <v>0</v>
      </c>
      <c r="L769" s="36">
        <v>3492</v>
      </c>
      <c r="M769" s="35">
        <v>2.2000000000000002</v>
      </c>
      <c r="N769" s="21">
        <v>2.5200458190148911</v>
      </c>
      <c r="O769" s="12">
        <v>0</v>
      </c>
      <c r="P769" s="35">
        <v>0.04</v>
      </c>
      <c r="Q769" s="35">
        <v>90</v>
      </c>
      <c r="R769" s="35">
        <v>750</v>
      </c>
      <c r="S769" s="35">
        <v>-20</v>
      </c>
      <c r="T769" s="35">
        <v>1.1200000000000001</v>
      </c>
      <c r="U769" s="21">
        <v>0.14000000000000001</v>
      </c>
      <c r="V769" s="37">
        <v>24.88</v>
      </c>
      <c r="W769" s="37">
        <v>93.02</v>
      </c>
      <c r="X769" s="35">
        <v>25</v>
      </c>
      <c r="Y769" s="23">
        <v>-0.50546574921585796</v>
      </c>
      <c r="Z769" s="21">
        <v>35.803571428571438</v>
      </c>
      <c r="AA769" s="35">
        <v>15</v>
      </c>
      <c r="AB769" s="35" t="s">
        <v>6</v>
      </c>
      <c r="AC769" s="27" t="s">
        <v>151</v>
      </c>
    </row>
    <row r="770" spans="1:29">
      <c r="A770" s="48" t="s">
        <v>149</v>
      </c>
      <c r="B770" s="35" t="s">
        <v>29</v>
      </c>
      <c r="C770" s="35" t="s">
        <v>65</v>
      </c>
      <c r="D770" s="36">
        <v>189.3</v>
      </c>
      <c r="E770" s="12">
        <v>30</v>
      </c>
      <c r="F770" s="21">
        <f t="shared" si="47"/>
        <v>7.9239302694136287</v>
      </c>
      <c r="G770" s="35">
        <v>0</v>
      </c>
      <c r="H770" s="35">
        <v>0</v>
      </c>
      <c r="I770" s="35">
        <v>0</v>
      </c>
      <c r="J770" s="35">
        <v>0</v>
      </c>
      <c r="K770" s="35">
        <v>0</v>
      </c>
      <c r="L770" s="36">
        <v>3492</v>
      </c>
      <c r="M770" s="35">
        <v>2.2000000000000002</v>
      </c>
      <c r="N770" s="21">
        <v>2.5200458190148911</v>
      </c>
      <c r="O770" s="12">
        <v>0</v>
      </c>
      <c r="P770" s="35">
        <v>0.04</v>
      </c>
      <c r="Q770" s="35">
        <v>90</v>
      </c>
      <c r="R770" s="35">
        <v>750</v>
      </c>
      <c r="S770" s="35">
        <v>-10</v>
      </c>
      <c r="T770" s="35">
        <v>0.69</v>
      </c>
      <c r="U770" s="21">
        <f>T770/F770</f>
        <v>8.7078000000000003E-2</v>
      </c>
      <c r="V770" s="37">
        <v>15.09</v>
      </c>
      <c r="W770" s="37">
        <v>122.2</v>
      </c>
      <c r="X770" s="35" t="s">
        <v>1</v>
      </c>
      <c r="Y770" s="23" t="s">
        <v>6</v>
      </c>
      <c r="Z770" s="21" t="s">
        <v>6</v>
      </c>
      <c r="AA770" s="35" t="s">
        <v>6</v>
      </c>
      <c r="AB770" s="35" t="s">
        <v>6</v>
      </c>
      <c r="AC770" s="27" t="s">
        <v>151</v>
      </c>
    </row>
    <row r="771" spans="1:29">
      <c r="A771" s="48" t="s">
        <v>149</v>
      </c>
      <c r="B771" s="35" t="s">
        <v>29</v>
      </c>
      <c r="C771" s="35" t="s">
        <v>65</v>
      </c>
      <c r="D771" s="36">
        <v>189.3</v>
      </c>
      <c r="E771" s="12">
        <v>30</v>
      </c>
      <c r="F771" s="21">
        <f t="shared" si="47"/>
        <v>7.9239302694136287</v>
      </c>
      <c r="G771" s="35">
        <v>0</v>
      </c>
      <c r="H771" s="35">
        <v>0</v>
      </c>
      <c r="I771" s="35">
        <v>0</v>
      </c>
      <c r="J771" s="35">
        <v>0</v>
      </c>
      <c r="K771" s="35">
        <v>0</v>
      </c>
      <c r="L771" s="36">
        <v>3492</v>
      </c>
      <c r="M771" s="35">
        <v>2.2000000000000002</v>
      </c>
      <c r="N771" s="21">
        <v>2.5200458190148911</v>
      </c>
      <c r="O771" s="12">
        <v>0</v>
      </c>
      <c r="P771" s="35">
        <v>0.04</v>
      </c>
      <c r="Q771" s="35">
        <v>90</v>
      </c>
      <c r="R771" s="35">
        <v>750</v>
      </c>
      <c r="S771" s="35">
        <v>5</v>
      </c>
      <c r="T771" s="35">
        <v>0.51400000000000001</v>
      </c>
      <c r="U771" s="21">
        <f>T771/F771</f>
        <v>6.4866800000000002E-2</v>
      </c>
      <c r="V771" s="37">
        <v>8.48</v>
      </c>
      <c r="W771" s="37">
        <v>69.31</v>
      </c>
      <c r="X771" s="35" t="s">
        <v>1</v>
      </c>
      <c r="Y771" s="23" t="s">
        <v>6</v>
      </c>
      <c r="Z771" s="21" t="s">
        <v>6</v>
      </c>
      <c r="AA771" s="35" t="s">
        <v>6</v>
      </c>
      <c r="AB771" s="35" t="s">
        <v>6</v>
      </c>
      <c r="AC771" s="27" t="s">
        <v>151</v>
      </c>
    </row>
    <row r="772" spans="1:29">
      <c r="A772" s="48" t="s">
        <v>149</v>
      </c>
      <c r="B772" s="35" t="s">
        <v>29</v>
      </c>
      <c r="C772" s="35" t="s">
        <v>65</v>
      </c>
      <c r="D772" s="36">
        <v>189.3</v>
      </c>
      <c r="E772" s="12">
        <v>30</v>
      </c>
      <c r="F772" s="21">
        <f t="shared" si="47"/>
        <v>7.9239302694136287</v>
      </c>
      <c r="G772" s="35">
        <v>0</v>
      </c>
      <c r="H772" s="35">
        <v>0</v>
      </c>
      <c r="I772" s="35">
        <v>0</v>
      </c>
      <c r="J772" s="35">
        <v>0</v>
      </c>
      <c r="K772" s="35">
        <v>0</v>
      </c>
      <c r="L772" s="36">
        <v>3492</v>
      </c>
      <c r="M772" s="35">
        <v>2.2000000000000002</v>
      </c>
      <c r="N772" s="21">
        <v>2.5200458190148911</v>
      </c>
      <c r="O772" s="12">
        <v>70</v>
      </c>
      <c r="P772" s="35">
        <v>0.04</v>
      </c>
      <c r="Q772" s="35">
        <v>50</v>
      </c>
      <c r="R772" s="35">
        <v>750</v>
      </c>
      <c r="S772" s="35">
        <v>-20</v>
      </c>
      <c r="T772" s="35">
        <v>0.95</v>
      </c>
      <c r="U772" s="21">
        <f>T772/F772</f>
        <v>0.11989</v>
      </c>
      <c r="V772" s="37">
        <v>37.767000000000003</v>
      </c>
      <c r="W772" s="37">
        <v>51.94</v>
      </c>
      <c r="X772" s="35">
        <v>25</v>
      </c>
      <c r="Y772" s="23" t="s">
        <v>6</v>
      </c>
      <c r="Z772" s="21">
        <v>14.000000000000002</v>
      </c>
      <c r="AA772" s="35">
        <v>5</v>
      </c>
      <c r="AB772" s="35" t="s">
        <v>6</v>
      </c>
      <c r="AC772" s="27" t="s">
        <v>151</v>
      </c>
    </row>
    <row r="773" spans="1:29">
      <c r="A773" s="48" t="s">
        <v>149</v>
      </c>
      <c r="B773" s="35" t="s">
        <v>29</v>
      </c>
      <c r="C773" s="35" t="s">
        <v>65</v>
      </c>
      <c r="D773" s="36">
        <v>189.3</v>
      </c>
      <c r="E773" s="12">
        <v>50</v>
      </c>
      <c r="F773" s="21">
        <f t="shared" si="47"/>
        <v>13.206550449022714</v>
      </c>
      <c r="G773" s="35">
        <v>0</v>
      </c>
      <c r="H773" s="35">
        <v>0</v>
      </c>
      <c r="I773" s="35">
        <v>0</v>
      </c>
      <c r="J773" s="35">
        <v>0</v>
      </c>
      <c r="K773" s="35">
        <v>0</v>
      </c>
      <c r="L773" s="36">
        <v>3492</v>
      </c>
      <c r="M773" s="35">
        <v>2.2000000000000002</v>
      </c>
      <c r="N773" s="21">
        <v>2.5200458190148911</v>
      </c>
      <c r="O773" s="12">
        <v>0</v>
      </c>
      <c r="P773" s="35">
        <v>0.04</v>
      </c>
      <c r="Q773" s="35">
        <v>90</v>
      </c>
      <c r="R773" s="35">
        <v>750</v>
      </c>
      <c r="S773" s="35">
        <v>25</v>
      </c>
      <c r="T773" s="35">
        <v>2.14</v>
      </c>
      <c r="U773" s="21">
        <v>0.16</v>
      </c>
      <c r="V773" s="37">
        <v>50.029000000000003</v>
      </c>
      <c r="W773" s="37">
        <v>157.16999999999999</v>
      </c>
      <c r="X773" s="35" t="s">
        <v>1</v>
      </c>
      <c r="Y773" s="23" t="s">
        <v>6</v>
      </c>
      <c r="Z773" s="21" t="s">
        <v>6</v>
      </c>
      <c r="AA773" s="35" t="s">
        <v>1</v>
      </c>
      <c r="AB773" s="35" t="s">
        <v>6</v>
      </c>
      <c r="AC773" s="1" t="s">
        <v>156</v>
      </c>
    </row>
    <row r="774" spans="1:29" ht="15" customHeight="1">
      <c r="A774" s="48" t="s">
        <v>149</v>
      </c>
      <c r="B774" s="35" t="s">
        <v>29</v>
      </c>
      <c r="C774" s="56">
        <v>4.2424768518518521E-2</v>
      </c>
      <c r="D774" s="36">
        <v>189.3</v>
      </c>
      <c r="E774" s="12">
        <v>50</v>
      </c>
      <c r="F774" s="21">
        <v>13.206550449022714</v>
      </c>
      <c r="G774" s="35">
        <v>0</v>
      </c>
      <c r="H774" s="35">
        <v>0</v>
      </c>
      <c r="I774" s="35">
        <v>0</v>
      </c>
      <c r="J774" s="35">
        <v>0</v>
      </c>
      <c r="K774" s="35">
        <v>0</v>
      </c>
      <c r="L774" s="36">
        <v>3492</v>
      </c>
      <c r="M774" s="35">
        <v>2.2000000000000002</v>
      </c>
      <c r="N774" s="21">
        <v>2.5200458190148911</v>
      </c>
      <c r="O774" s="12">
        <v>0</v>
      </c>
      <c r="P774" s="35">
        <v>0.04</v>
      </c>
      <c r="Q774" s="35">
        <v>90</v>
      </c>
      <c r="R774" s="35">
        <v>750</v>
      </c>
      <c r="S774" s="35">
        <v>-20</v>
      </c>
      <c r="T774" s="35">
        <v>1.26</v>
      </c>
      <c r="U774" s="21">
        <v>0.1</v>
      </c>
      <c r="V774" s="37">
        <v>61.920999999999999</v>
      </c>
      <c r="W774" s="37">
        <v>452.92700000000002</v>
      </c>
      <c r="X774" s="35">
        <v>25</v>
      </c>
      <c r="Y774" s="23" t="s">
        <v>6</v>
      </c>
      <c r="Z774" s="21">
        <v>44.095238095238095</v>
      </c>
      <c r="AA774" s="35">
        <v>5</v>
      </c>
      <c r="AB774" s="35">
        <v>110</v>
      </c>
      <c r="AC774" s="27" t="s">
        <v>151</v>
      </c>
    </row>
    <row r="775" spans="1:29" ht="10.95" customHeight="1">
      <c r="A775" s="48" t="s">
        <v>149</v>
      </c>
      <c r="B775" s="35" t="s">
        <v>29</v>
      </c>
      <c r="C775" s="35" t="s">
        <v>65</v>
      </c>
      <c r="D775" s="36">
        <v>189.3</v>
      </c>
      <c r="E775" s="12">
        <v>50</v>
      </c>
      <c r="F775" s="21">
        <f>E775*5*10/D775</f>
        <v>13.206550449022714</v>
      </c>
      <c r="G775" s="35">
        <v>0</v>
      </c>
      <c r="H775" s="35">
        <v>0</v>
      </c>
      <c r="I775" s="35">
        <v>0</v>
      </c>
      <c r="J775" s="35">
        <v>0</v>
      </c>
      <c r="K775" s="35">
        <v>0</v>
      </c>
      <c r="L775" s="36">
        <v>3492</v>
      </c>
      <c r="M775" s="35">
        <v>2.2000000000000002</v>
      </c>
      <c r="N775" s="21">
        <v>2.5200458190148911</v>
      </c>
      <c r="O775" s="12">
        <v>0</v>
      </c>
      <c r="P775" s="35">
        <v>0.04</v>
      </c>
      <c r="Q775" s="35">
        <v>90</v>
      </c>
      <c r="R775" s="35">
        <v>750</v>
      </c>
      <c r="S775" s="35">
        <v>-20</v>
      </c>
      <c r="T775" s="35">
        <v>1.26</v>
      </c>
      <c r="U775" s="21">
        <v>0.1</v>
      </c>
      <c r="V775" s="37">
        <v>61.920999999999999</v>
      </c>
      <c r="W775" s="37">
        <v>452.92700000000002</v>
      </c>
      <c r="X775" s="35">
        <v>60</v>
      </c>
      <c r="Y775" s="23" t="s">
        <v>6</v>
      </c>
      <c r="Z775" s="21">
        <v>25.634920634920633</v>
      </c>
      <c r="AA775" s="35">
        <v>5</v>
      </c>
      <c r="AB775" s="35" t="s">
        <v>6</v>
      </c>
      <c r="AC775" s="27" t="s">
        <v>151</v>
      </c>
    </row>
    <row r="776" spans="1:29" s="44" customFormat="1" ht="14.55" customHeight="1">
      <c r="A776" s="48" t="s">
        <v>149</v>
      </c>
      <c r="B776" s="35" t="s">
        <v>180</v>
      </c>
      <c r="C776" s="35" t="s">
        <v>60</v>
      </c>
      <c r="D776" s="57">
        <v>600</v>
      </c>
      <c r="E776" s="13">
        <v>9.75</v>
      </c>
      <c r="F776" s="21">
        <v>3.0142857142857098</v>
      </c>
      <c r="G776" s="35">
        <v>0</v>
      </c>
      <c r="H776" s="35">
        <v>0</v>
      </c>
      <c r="I776" s="35">
        <v>0</v>
      </c>
      <c r="J776" s="35">
        <v>0</v>
      </c>
      <c r="K776" s="35">
        <v>0</v>
      </c>
      <c r="L776" s="36">
        <v>3340</v>
      </c>
      <c r="M776" s="35">
        <v>2.2000000000000002</v>
      </c>
      <c r="N776" s="21">
        <v>2.6347305389221556</v>
      </c>
      <c r="O776" s="12">
        <v>0</v>
      </c>
      <c r="P776" s="35">
        <v>0.04</v>
      </c>
      <c r="Q776" s="35">
        <v>90</v>
      </c>
      <c r="R776" s="35">
        <v>50</v>
      </c>
      <c r="S776" s="35">
        <v>25</v>
      </c>
      <c r="T776" s="21">
        <v>7.7852858939382097E-2</v>
      </c>
      <c r="U776" s="21">
        <v>2.7409240924092304E-2</v>
      </c>
      <c r="V776" s="37" t="s">
        <v>1</v>
      </c>
      <c r="W776" s="37" t="s">
        <v>1</v>
      </c>
      <c r="X776" s="35" t="s">
        <v>1</v>
      </c>
      <c r="Y776" s="23" t="s">
        <v>6</v>
      </c>
      <c r="Z776" s="21" t="s">
        <v>6</v>
      </c>
      <c r="AA776" s="35" t="s">
        <v>1</v>
      </c>
      <c r="AB776" s="35" t="s">
        <v>6</v>
      </c>
      <c r="AC776" s="27" t="s">
        <v>153</v>
      </c>
    </row>
    <row r="777" spans="1:29" s="44" customFormat="1" ht="13.8">
      <c r="A777" s="48" t="s">
        <v>149</v>
      </c>
      <c r="B777" s="35" t="s">
        <v>180</v>
      </c>
      <c r="C777" s="35" t="s">
        <v>60</v>
      </c>
      <c r="D777" s="57">
        <v>600</v>
      </c>
      <c r="E777" s="13">
        <v>17.760000000000002</v>
      </c>
      <c r="F777" s="21">
        <v>5.35</v>
      </c>
      <c r="G777" s="35">
        <v>0</v>
      </c>
      <c r="H777" s="35">
        <v>0</v>
      </c>
      <c r="I777" s="35">
        <v>0</v>
      </c>
      <c r="J777" s="35">
        <v>0</v>
      </c>
      <c r="K777" s="35">
        <v>0</v>
      </c>
      <c r="L777" s="36">
        <v>3340</v>
      </c>
      <c r="M777" s="35">
        <v>2.2000000000000002</v>
      </c>
      <c r="N777" s="21">
        <v>2.6347305389221556</v>
      </c>
      <c r="O777" s="12">
        <v>0</v>
      </c>
      <c r="P777" s="35">
        <v>0.04</v>
      </c>
      <c r="Q777" s="35">
        <v>90</v>
      </c>
      <c r="R777" s="35">
        <v>50</v>
      </c>
      <c r="S777" s="35">
        <v>25</v>
      </c>
      <c r="T777" s="21">
        <v>6.4596927915171895E-2</v>
      </c>
      <c r="U777" s="21">
        <v>1.5478547854785401E-2</v>
      </c>
      <c r="V777" s="37" t="s">
        <v>1</v>
      </c>
      <c r="W777" s="37" t="s">
        <v>1</v>
      </c>
      <c r="X777" s="35" t="s">
        <v>1</v>
      </c>
      <c r="Y777" s="23" t="s">
        <v>6</v>
      </c>
      <c r="Z777" s="21" t="s">
        <v>6</v>
      </c>
      <c r="AA777" s="35" t="s">
        <v>1</v>
      </c>
      <c r="AB777" s="35" t="s">
        <v>6</v>
      </c>
      <c r="AC777" s="1" t="s">
        <v>249</v>
      </c>
    </row>
    <row r="778" spans="1:29" s="44" customFormat="1" ht="13.8">
      <c r="A778" s="48" t="s">
        <v>149</v>
      </c>
      <c r="B778" s="35" t="s">
        <v>180</v>
      </c>
      <c r="C778" s="35" t="s">
        <v>60</v>
      </c>
      <c r="D778" s="57">
        <v>600</v>
      </c>
      <c r="E778" s="13">
        <v>31.6</v>
      </c>
      <c r="F778" s="21">
        <v>9.1142857142857139</v>
      </c>
      <c r="G778" s="35">
        <v>0</v>
      </c>
      <c r="H778" s="35">
        <v>0</v>
      </c>
      <c r="I778" s="35">
        <v>0</v>
      </c>
      <c r="J778" s="35">
        <v>0</v>
      </c>
      <c r="K778" s="35">
        <v>0</v>
      </c>
      <c r="L778" s="36">
        <v>3340</v>
      </c>
      <c r="M778" s="35">
        <v>2.2000000000000002</v>
      </c>
      <c r="N778" s="21">
        <v>2.6347305389221556</v>
      </c>
      <c r="O778" s="12">
        <v>0</v>
      </c>
      <c r="P778" s="35">
        <v>0.04</v>
      </c>
      <c r="Q778" s="35">
        <v>90</v>
      </c>
      <c r="R778" s="35">
        <v>50</v>
      </c>
      <c r="S778" s="35">
        <v>25</v>
      </c>
      <c r="T778" s="21">
        <v>0.25056138042078502</v>
      </c>
      <c r="U778" s="21">
        <v>2.7359735973597303E-2</v>
      </c>
      <c r="V778" s="37" t="s">
        <v>1</v>
      </c>
      <c r="W778" s="37" t="s">
        <v>1</v>
      </c>
      <c r="X778" s="35" t="s">
        <v>1</v>
      </c>
      <c r="Y778" s="23" t="s">
        <v>6</v>
      </c>
      <c r="Z778" s="21" t="s">
        <v>6</v>
      </c>
      <c r="AA778" s="35" t="s">
        <v>1</v>
      </c>
      <c r="AB778" s="35" t="s">
        <v>6</v>
      </c>
      <c r="AC778" s="27" t="s">
        <v>153</v>
      </c>
    </row>
    <row r="779" spans="1:29" s="44" customFormat="1" ht="15" customHeight="1">
      <c r="A779" s="48" t="s">
        <v>149</v>
      </c>
      <c r="B779" s="35" t="s">
        <v>180</v>
      </c>
      <c r="C779" s="35" t="s">
        <v>60</v>
      </c>
      <c r="D779" s="57">
        <v>600</v>
      </c>
      <c r="E779" s="13">
        <v>36.79</v>
      </c>
      <c r="F779" s="21">
        <v>10.428571428571427</v>
      </c>
      <c r="G779" s="35">
        <v>0</v>
      </c>
      <c r="H779" s="35">
        <v>0</v>
      </c>
      <c r="I779" s="35">
        <v>0</v>
      </c>
      <c r="J779" s="35">
        <v>0</v>
      </c>
      <c r="K779" s="35">
        <v>0</v>
      </c>
      <c r="L779" s="36">
        <v>3340</v>
      </c>
      <c r="M779" s="35">
        <v>2.2000000000000002</v>
      </c>
      <c r="N779" s="21">
        <v>2.6347305389221556</v>
      </c>
      <c r="O779" s="12">
        <v>0</v>
      </c>
      <c r="P779" s="35">
        <v>0.04</v>
      </c>
      <c r="Q779" s="35">
        <v>90</v>
      </c>
      <c r="R779" s="35">
        <v>50</v>
      </c>
      <c r="S779" s="35">
        <v>25</v>
      </c>
      <c r="T779" s="21">
        <v>1.1467884892032001</v>
      </c>
      <c r="U779" s="21">
        <v>0.11003300330033</v>
      </c>
      <c r="V779" s="37">
        <v>39.450000000000003</v>
      </c>
      <c r="W779" s="37">
        <v>94.95</v>
      </c>
      <c r="X779" s="35" t="s">
        <v>1</v>
      </c>
      <c r="Y779" s="23" t="s">
        <v>6</v>
      </c>
      <c r="Z779" s="21" t="s">
        <v>6</v>
      </c>
      <c r="AA779" s="35" t="s">
        <v>1</v>
      </c>
      <c r="AB779" s="35" t="s">
        <v>6</v>
      </c>
      <c r="AC779" s="27" t="s">
        <v>153</v>
      </c>
    </row>
    <row r="780" spans="1:29" s="44" customFormat="1" ht="13.8">
      <c r="A780" s="48" t="s">
        <v>149</v>
      </c>
      <c r="B780" s="35" t="s">
        <v>180</v>
      </c>
      <c r="C780" s="35" t="s">
        <v>60</v>
      </c>
      <c r="D780" s="57">
        <v>600</v>
      </c>
      <c r="E780" s="13">
        <v>39.1</v>
      </c>
      <c r="F780" s="21">
        <v>10.971428571428572</v>
      </c>
      <c r="G780" s="35">
        <v>0</v>
      </c>
      <c r="H780" s="35">
        <v>0</v>
      </c>
      <c r="I780" s="35">
        <v>0</v>
      </c>
      <c r="J780" s="35">
        <v>0</v>
      </c>
      <c r="K780" s="35">
        <v>0</v>
      </c>
      <c r="L780" s="36">
        <v>3340</v>
      </c>
      <c r="M780" s="35">
        <v>2.2000000000000002</v>
      </c>
      <c r="N780" s="21">
        <v>2.6347305389221556</v>
      </c>
      <c r="O780" s="12">
        <v>0</v>
      </c>
      <c r="P780" s="35">
        <v>0.04</v>
      </c>
      <c r="Q780" s="35">
        <v>90</v>
      </c>
      <c r="R780" s="35">
        <v>50</v>
      </c>
      <c r="S780" s="35">
        <v>25</v>
      </c>
      <c r="T780" s="21">
        <v>1.0647030764212599</v>
      </c>
      <c r="U780" s="21">
        <v>9.7260726072607204E-2</v>
      </c>
      <c r="V780" s="37" t="s">
        <v>1</v>
      </c>
      <c r="W780" s="37" t="s">
        <v>1</v>
      </c>
      <c r="X780" s="35">
        <v>110</v>
      </c>
      <c r="Y780" s="23" t="s">
        <v>6</v>
      </c>
      <c r="Z780" s="21">
        <v>1.9</v>
      </c>
      <c r="AA780" s="35">
        <v>3</v>
      </c>
      <c r="AB780" s="35" t="s">
        <v>6</v>
      </c>
      <c r="AC780" s="27" t="s">
        <v>153</v>
      </c>
    </row>
    <row r="781" spans="1:29" s="44" customFormat="1" ht="13.8">
      <c r="A781" s="48" t="s">
        <v>149</v>
      </c>
      <c r="B781" s="35" t="s">
        <v>180</v>
      </c>
      <c r="C781" s="35" t="s">
        <v>60</v>
      </c>
      <c r="D781" s="57">
        <v>600</v>
      </c>
      <c r="E781" s="13">
        <v>39.1</v>
      </c>
      <c r="F781" s="21">
        <v>10.971428571428572</v>
      </c>
      <c r="G781" s="35">
        <v>0</v>
      </c>
      <c r="H781" s="35">
        <v>0</v>
      </c>
      <c r="I781" s="35">
        <v>0</v>
      </c>
      <c r="J781" s="35">
        <v>0</v>
      </c>
      <c r="K781" s="35">
        <v>0</v>
      </c>
      <c r="L781" s="36">
        <v>3340</v>
      </c>
      <c r="M781" s="35">
        <v>2.2000000000000002</v>
      </c>
      <c r="N781" s="21">
        <v>2.6347305389221556</v>
      </c>
      <c r="O781" s="12">
        <v>0</v>
      </c>
      <c r="P781" s="35">
        <v>0.04</v>
      </c>
      <c r="Q781" s="35">
        <v>90</v>
      </c>
      <c r="R781" s="35">
        <v>50</v>
      </c>
      <c r="S781" s="35">
        <v>50</v>
      </c>
      <c r="T781" s="21">
        <v>1.06</v>
      </c>
      <c r="U781" s="21">
        <f>T781/F781</f>
        <v>9.6614583333333337E-2</v>
      </c>
      <c r="V781" s="37" t="s">
        <v>1</v>
      </c>
      <c r="W781" s="37" t="s">
        <v>1</v>
      </c>
      <c r="X781" s="35" t="s">
        <v>1</v>
      </c>
      <c r="Y781" s="23" t="s">
        <v>6</v>
      </c>
      <c r="Z781" s="21" t="s">
        <v>6</v>
      </c>
      <c r="AA781" s="35" t="s">
        <v>1</v>
      </c>
      <c r="AB781" s="35" t="s">
        <v>6</v>
      </c>
      <c r="AC781" s="27" t="s">
        <v>153</v>
      </c>
    </row>
    <row r="782" spans="1:29" s="44" customFormat="1" ht="12" customHeight="1">
      <c r="A782" s="48" t="s">
        <v>149</v>
      </c>
      <c r="B782" s="35" t="s">
        <v>180</v>
      </c>
      <c r="C782" s="35" t="s">
        <v>60</v>
      </c>
      <c r="D782" s="57">
        <v>600</v>
      </c>
      <c r="E782" s="13">
        <v>39.1</v>
      </c>
      <c r="F782" s="21">
        <v>10.971428571428572</v>
      </c>
      <c r="G782" s="35">
        <v>0</v>
      </c>
      <c r="H782" s="35">
        <v>0</v>
      </c>
      <c r="I782" s="35">
        <v>0</v>
      </c>
      <c r="J782" s="35">
        <v>0</v>
      </c>
      <c r="K782" s="35">
        <v>0</v>
      </c>
      <c r="L782" s="36">
        <v>3340</v>
      </c>
      <c r="M782" s="35">
        <v>2.2000000000000002</v>
      </c>
      <c r="N782" s="21">
        <v>2.6347305389221556</v>
      </c>
      <c r="O782" s="12">
        <v>0</v>
      </c>
      <c r="P782" s="35">
        <v>0.04</v>
      </c>
      <c r="Q782" s="35">
        <v>90</v>
      </c>
      <c r="R782" s="35">
        <v>50</v>
      </c>
      <c r="S782" s="35">
        <v>75</v>
      </c>
      <c r="T782" s="21">
        <v>0.56999999999999995</v>
      </c>
      <c r="U782" s="21">
        <f>T782/F782</f>
        <v>5.1953124999999996E-2</v>
      </c>
      <c r="V782" s="37" t="s">
        <v>1</v>
      </c>
      <c r="W782" s="37" t="s">
        <v>1</v>
      </c>
      <c r="X782" s="35" t="s">
        <v>1</v>
      </c>
      <c r="Y782" s="23" t="s">
        <v>6</v>
      </c>
      <c r="Z782" s="21" t="s">
        <v>6</v>
      </c>
      <c r="AA782" s="35" t="s">
        <v>1</v>
      </c>
      <c r="AB782" s="35" t="s">
        <v>6</v>
      </c>
      <c r="AC782" s="27" t="s">
        <v>153</v>
      </c>
    </row>
    <row r="783" spans="1:29" s="44" customFormat="1" ht="13.8">
      <c r="A783" s="48" t="s">
        <v>149</v>
      </c>
      <c r="B783" s="35" t="s">
        <v>180</v>
      </c>
      <c r="C783" s="35" t="s">
        <v>60</v>
      </c>
      <c r="D783" s="57">
        <v>600</v>
      </c>
      <c r="E783" s="13">
        <v>44.2</v>
      </c>
      <c r="F783" s="21">
        <f>T783/U783</f>
        <v>12.350543478260878</v>
      </c>
      <c r="G783" s="35">
        <v>0</v>
      </c>
      <c r="H783" s="35">
        <v>0</v>
      </c>
      <c r="I783" s="35">
        <v>0</v>
      </c>
      <c r="J783" s="35">
        <v>0</v>
      </c>
      <c r="K783" s="35">
        <v>0</v>
      </c>
      <c r="L783" s="36">
        <v>3340</v>
      </c>
      <c r="M783" s="35">
        <v>2.2000000000000002</v>
      </c>
      <c r="N783" s="21">
        <v>2.6347305389221556</v>
      </c>
      <c r="O783" s="12">
        <v>0</v>
      </c>
      <c r="P783" s="35">
        <v>0.04</v>
      </c>
      <c r="Q783" s="35">
        <v>90</v>
      </c>
      <c r="R783" s="35">
        <v>50</v>
      </c>
      <c r="S783" s="35">
        <v>25</v>
      </c>
      <c r="T783" s="21">
        <v>1.2</v>
      </c>
      <c r="U783" s="21">
        <v>9.7161716171617091E-2</v>
      </c>
      <c r="V783" s="37">
        <v>56.87</v>
      </c>
      <c r="W783" s="37">
        <v>137.16</v>
      </c>
      <c r="X783" s="35" t="s">
        <v>1</v>
      </c>
      <c r="Y783" s="23" t="s">
        <v>6</v>
      </c>
      <c r="Z783" s="21" t="s">
        <v>6</v>
      </c>
      <c r="AA783" s="35" t="s">
        <v>1</v>
      </c>
      <c r="AB783" s="35" t="s">
        <v>6</v>
      </c>
      <c r="AC783" s="27" t="s">
        <v>153</v>
      </c>
    </row>
    <row r="784" spans="1:29" s="44" customFormat="1" ht="15" customHeight="1">
      <c r="A784" s="48" t="s">
        <v>149</v>
      </c>
      <c r="B784" s="35" t="s">
        <v>180</v>
      </c>
      <c r="C784" s="35" t="s">
        <v>60</v>
      </c>
      <c r="D784" s="57">
        <v>600</v>
      </c>
      <c r="E784" s="13">
        <v>51.359999999999992</v>
      </c>
      <c r="F784" s="21">
        <v>14.25</v>
      </c>
      <c r="G784" s="35">
        <v>0</v>
      </c>
      <c r="H784" s="35">
        <v>0</v>
      </c>
      <c r="I784" s="35">
        <v>0</v>
      </c>
      <c r="J784" s="35">
        <v>0</v>
      </c>
      <c r="K784" s="35">
        <v>0</v>
      </c>
      <c r="L784" s="36">
        <v>3340</v>
      </c>
      <c r="M784" s="35">
        <v>2.2000000000000002</v>
      </c>
      <c r="N784" s="21">
        <v>2.6347305389221556</v>
      </c>
      <c r="O784" s="12">
        <v>0</v>
      </c>
      <c r="P784" s="35">
        <v>0.04</v>
      </c>
      <c r="Q784" s="35">
        <v>90</v>
      </c>
      <c r="R784" s="35">
        <v>50</v>
      </c>
      <c r="S784" s="35">
        <v>25</v>
      </c>
      <c r="T784" s="21">
        <v>1.35</v>
      </c>
      <c r="U784" s="21">
        <v>9.3597359735973606E-2</v>
      </c>
      <c r="V784" s="37">
        <v>56.88</v>
      </c>
      <c r="W784" s="37">
        <v>206</v>
      </c>
      <c r="X784" s="35" t="s">
        <v>1</v>
      </c>
      <c r="Y784" s="23" t="s">
        <v>6</v>
      </c>
      <c r="Z784" s="21" t="s">
        <v>6</v>
      </c>
      <c r="AA784" s="35" t="s">
        <v>1</v>
      </c>
      <c r="AB784" s="35" t="s">
        <v>6</v>
      </c>
      <c r="AC784" s="27" t="s">
        <v>153</v>
      </c>
    </row>
    <row r="785" spans="1:29" s="58" customFormat="1">
      <c r="A785" s="48" t="s">
        <v>150</v>
      </c>
      <c r="B785" s="38" t="s">
        <v>154</v>
      </c>
      <c r="C785" s="49" t="s">
        <v>155</v>
      </c>
      <c r="D785" s="57">
        <v>146.23599999999999</v>
      </c>
      <c r="E785" s="13">
        <v>45.29</v>
      </c>
      <c r="F785" s="21">
        <f>T785/U785</f>
        <v>16.470588235294116</v>
      </c>
      <c r="G785" s="35">
        <v>0</v>
      </c>
      <c r="H785" s="35">
        <v>0</v>
      </c>
      <c r="I785" s="35">
        <v>0</v>
      </c>
      <c r="J785" s="35">
        <v>0</v>
      </c>
      <c r="K785" s="35">
        <v>0</v>
      </c>
      <c r="L785" s="36">
        <v>3340</v>
      </c>
      <c r="M785" s="35">
        <v>2.2000000000000002</v>
      </c>
      <c r="N785" s="21">
        <v>2.6347305389221556</v>
      </c>
      <c r="O785" s="18">
        <v>0</v>
      </c>
      <c r="P785" s="38">
        <v>0.04</v>
      </c>
      <c r="Q785" s="38">
        <v>90</v>
      </c>
      <c r="R785" s="38">
        <v>50</v>
      </c>
      <c r="S785" s="38">
        <v>25</v>
      </c>
      <c r="T785" s="38">
        <v>2.8</v>
      </c>
      <c r="U785" s="24">
        <v>0.17</v>
      </c>
      <c r="V785" s="37" t="s">
        <v>1</v>
      </c>
      <c r="W785" s="37" t="s">
        <v>1</v>
      </c>
      <c r="X785" s="38">
        <v>110</v>
      </c>
      <c r="Y785" s="22">
        <v>19.8</v>
      </c>
      <c r="Z785" s="24">
        <v>12.795096322241681</v>
      </c>
      <c r="AA785" s="38">
        <v>3</v>
      </c>
      <c r="AB785" s="35" t="s">
        <v>6</v>
      </c>
      <c r="AC785" s="27" t="s">
        <v>153</v>
      </c>
    </row>
    <row r="786" spans="1:29">
      <c r="A786" s="48" t="s">
        <v>157</v>
      </c>
      <c r="B786" s="35" t="s">
        <v>180</v>
      </c>
      <c r="C786" s="35" t="s">
        <v>60</v>
      </c>
      <c r="D786" s="36">
        <v>600</v>
      </c>
      <c r="E786" s="12">
        <v>2.7</v>
      </c>
      <c r="F786" s="21">
        <f>E786*14*1000/600</f>
        <v>63.000000000000014</v>
      </c>
      <c r="G786" s="35">
        <v>0</v>
      </c>
      <c r="H786" s="35">
        <v>0</v>
      </c>
      <c r="I786" s="35">
        <v>0</v>
      </c>
      <c r="J786" s="35">
        <v>0</v>
      </c>
      <c r="K786" s="35">
        <v>0</v>
      </c>
      <c r="L786" s="36">
        <v>765</v>
      </c>
      <c r="M786" s="35">
        <v>0.39</v>
      </c>
      <c r="N786" s="21">
        <v>18</v>
      </c>
      <c r="O786" s="12">
        <v>0</v>
      </c>
      <c r="P786" s="35">
        <v>100</v>
      </c>
      <c r="Q786" s="59" t="s">
        <v>6</v>
      </c>
      <c r="R786" s="35">
        <v>300</v>
      </c>
      <c r="S786" s="35">
        <v>25</v>
      </c>
      <c r="T786" s="35">
        <v>0.32300000000000001</v>
      </c>
      <c r="U786" s="21">
        <f>T786/F786</f>
        <v>5.1269841269841257E-3</v>
      </c>
      <c r="V786" s="37">
        <v>309</v>
      </c>
      <c r="W786" s="37" t="s">
        <v>6</v>
      </c>
      <c r="X786" s="35" t="s">
        <v>6</v>
      </c>
      <c r="Y786" s="23" t="s">
        <v>6</v>
      </c>
      <c r="Z786" s="21" t="s">
        <v>6</v>
      </c>
      <c r="AA786" s="35" t="s">
        <v>6</v>
      </c>
      <c r="AB786" s="35" t="s">
        <v>6</v>
      </c>
      <c r="AC786" s="4" t="s">
        <v>158</v>
      </c>
    </row>
    <row r="787" spans="1:29">
      <c r="A787" s="48" t="s">
        <v>157</v>
      </c>
      <c r="B787" s="35" t="s">
        <v>180</v>
      </c>
      <c r="C787" s="35" t="s">
        <v>60</v>
      </c>
      <c r="D787" s="36">
        <v>600</v>
      </c>
      <c r="E787" s="12">
        <v>3.7199999999999998</v>
      </c>
      <c r="F787" s="21">
        <f>E787*14*1000/600</f>
        <v>86.8</v>
      </c>
      <c r="G787" s="35">
        <v>0</v>
      </c>
      <c r="H787" s="35">
        <v>0</v>
      </c>
      <c r="I787" s="35">
        <v>0</v>
      </c>
      <c r="J787" s="35">
        <v>0</v>
      </c>
      <c r="K787" s="35">
        <v>0</v>
      </c>
      <c r="L787" s="36">
        <v>765</v>
      </c>
      <c r="M787" s="35">
        <v>0.39</v>
      </c>
      <c r="N787" s="21">
        <v>18</v>
      </c>
      <c r="O787" s="12">
        <v>0</v>
      </c>
      <c r="P787" s="35">
        <v>100</v>
      </c>
      <c r="Q787" s="59" t="s">
        <v>6</v>
      </c>
      <c r="R787" s="35">
        <v>300</v>
      </c>
      <c r="S787" s="35">
        <v>25</v>
      </c>
      <c r="T787" s="35">
        <v>0.49399999999999999</v>
      </c>
      <c r="U787" s="21">
        <f>T787/F787</f>
        <v>5.6912442396313363E-3</v>
      </c>
      <c r="V787" s="37">
        <v>296</v>
      </c>
      <c r="W787" s="37" t="s">
        <v>6</v>
      </c>
      <c r="X787" s="35" t="s">
        <v>6</v>
      </c>
      <c r="Y787" s="23" t="s">
        <v>6</v>
      </c>
      <c r="Z787" s="21" t="s">
        <v>6</v>
      </c>
      <c r="AA787" s="35" t="s">
        <v>6</v>
      </c>
      <c r="AB787" s="35" t="s">
        <v>6</v>
      </c>
      <c r="AC787" s="1" t="s">
        <v>174</v>
      </c>
    </row>
    <row r="788" spans="1:29" ht="14.55" customHeight="1">
      <c r="A788" s="48" t="s">
        <v>157</v>
      </c>
      <c r="B788" s="35" t="s">
        <v>180</v>
      </c>
      <c r="C788" s="35" t="s">
        <v>60</v>
      </c>
      <c r="D788" s="36">
        <v>600</v>
      </c>
      <c r="E788" s="12">
        <v>3.85</v>
      </c>
      <c r="F788" s="21">
        <f>E788*14*1000/600</f>
        <v>89.833333333333329</v>
      </c>
      <c r="G788" s="35">
        <v>0</v>
      </c>
      <c r="H788" s="35">
        <v>0</v>
      </c>
      <c r="I788" s="35">
        <v>0</v>
      </c>
      <c r="J788" s="35">
        <v>0</v>
      </c>
      <c r="K788" s="35">
        <v>0</v>
      </c>
      <c r="L788" s="36">
        <v>765</v>
      </c>
      <c r="M788" s="35">
        <v>0.39</v>
      </c>
      <c r="N788" s="21">
        <v>18</v>
      </c>
      <c r="O788" s="12">
        <v>0</v>
      </c>
      <c r="P788" s="35">
        <v>100</v>
      </c>
      <c r="Q788" s="59" t="s">
        <v>1</v>
      </c>
      <c r="R788" s="35">
        <v>300</v>
      </c>
      <c r="S788" s="35">
        <v>25</v>
      </c>
      <c r="T788" s="35">
        <v>0.46600000000000003</v>
      </c>
      <c r="U788" s="21">
        <f>T788/F788</f>
        <v>5.1873840445269019E-3</v>
      </c>
      <c r="V788" s="37">
        <v>233</v>
      </c>
      <c r="W788" s="37" t="s">
        <v>6</v>
      </c>
      <c r="X788" s="35" t="s">
        <v>6</v>
      </c>
      <c r="Y788" s="23" t="s">
        <v>6</v>
      </c>
      <c r="Z788" s="21" t="s">
        <v>6</v>
      </c>
      <c r="AA788" s="35" t="s">
        <v>6</v>
      </c>
      <c r="AB788" s="35" t="s">
        <v>6</v>
      </c>
      <c r="AC788" s="1" t="s">
        <v>174</v>
      </c>
    </row>
    <row r="789" spans="1:29" ht="14.55" customHeight="1">
      <c r="A789" s="48" t="s">
        <v>157</v>
      </c>
      <c r="B789" s="35" t="s">
        <v>180</v>
      </c>
      <c r="C789" s="35" t="s">
        <v>60</v>
      </c>
      <c r="D789" s="36">
        <v>600</v>
      </c>
      <c r="E789" s="12">
        <v>7.5200000000000005</v>
      </c>
      <c r="F789" s="21">
        <f>E789*14*10/600</f>
        <v>1.7546666666666666</v>
      </c>
      <c r="G789" s="35">
        <v>0</v>
      </c>
      <c r="H789" s="35">
        <v>0</v>
      </c>
      <c r="I789" s="35">
        <v>0</v>
      </c>
      <c r="J789" s="35">
        <v>0</v>
      </c>
      <c r="K789" s="35">
        <v>0</v>
      </c>
      <c r="L789" s="36">
        <v>765</v>
      </c>
      <c r="M789" s="35">
        <v>0.39</v>
      </c>
      <c r="N789" s="21">
        <v>18</v>
      </c>
      <c r="O789" s="12">
        <v>0</v>
      </c>
      <c r="P789" s="35">
        <v>100</v>
      </c>
      <c r="Q789" s="35" t="s">
        <v>1</v>
      </c>
      <c r="R789" s="35">
        <v>300</v>
      </c>
      <c r="S789" s="35">
        <v>25</v>
      </c>
      <c r="T789" s="35">
        <v>0.61599999999999999</v>
      </c>
      <c r="U789" s="21">
        <f>T789/F789</f>
        <v>0.35106382978723405</v>
      </c>
      <c r="V789" s="37">
        <v>720</v>
      </c>
      <c r="W789" s="37" t="s">
        <v>6</v>
      </c>
      <c r="X789" s="35" t="s">
        <v>6</v>
      </c>
      <c r="Y789" s="23" t="s">
        <v>6</v>
      </c>
      <c r="Z789" s="21" t="s">
        <v>6</v>
      </c>
      <c r="AA789" s="35" t="s">
        <v>6</v>
      </c>
      <c r="AB789" s="35" t="s">
        <v>6</v>
      </c>
      <c r="AC789" s="5" t="s">
        <v>158</v>
      </c>
    </row>
    <row r="790" spans="1:29" ht="13.8" customHeight="1">
      <c r="A790" s="48" t="s">
        <v>157</v>
      </c>
      <c r="B790" s="35" t="s">
        <v>180</v>
      </c>
      <c r="C790" s="35" t="s">
        <v>60</v>
      </c>
      <c r="D790" s="36">
        <v>600</v>
      </c>
      <c r="E790" s="12">
        <v>14.499999999999998</v>
      </c>
      <c r="F790" s="21">
        <f>E790*14*10/D790</f>
        <v>3.3833333333333329</v>
      </c>
      <c r="G790" s="35">
        <v>0</v>
      </c>
      <c r="H790" s="35">
        <v>0</v>
      </c>
      <c r="I790" s="35">
        <v>0</v>
      </c>
      <c r="J790" s="35">
        <v>0</v>
      </c>
      <c r="K790" s="35">
        <v>0</v>
      </c>
      <c r="L790" s="36">
        <v>506</v>
      </c>
      <c r="M790" s="35">
        <v>0.26</v>
      </c>
      <c r="N790" s="21">
        <v>20.399999999999999</v>
      </c>
      <c r="O790" s="12">
        <v>0</v>
      </c>
      <c r="P790" s="35">
        <v>100</v>
      </c>
      <c r="Q790" s="59" t="s">
        <v>1</v>
      </c>
      <c r="R790" s="35">
        <v>300</v>
      </c>
      <c r="S790" s="35">
        <v>25</v>
      </c>
      <c r="T790" s="35">
        <v>0.218</v>
      </c>
      <c r="U790" s="21">
        <v>6.4000000000000001E-2</v>
      </c>
      <c r="V790" s="37">
        <v>559</v>
      </c>
      <c r="W790" s="37" t="s">
        <v>6</v>
      </c>
      <c r="X790" s="35" t="s">
        <v>6</v>
      </c>
      <c r="Y790" s="23" t="s">
        <v>6</v>
      </c>
      <c r="Z790" s="21" t="s">
        <v>6</v>
      </c>
      <c r="AA790" s="35" t="s">
        <v>6</v>
      </c>
      <c r="AB790" s="35" t="s">
        <v>6</v>
      </c>
      <c r="AC790" s="5" t="s">
        <v>158</v>
      </c>
    </row>
    <row r="791" spans="1:29" ht="15" customHeight="1">
      <c r="A791" s="48" t="s">
        <v>157</v>
      </c>
      <c r="B791" s="35" t="s">
        <v>180</v>
      </c>
      <c r="C791" s="35" t="s">
        <v>60</v>
      </c>
      <c r="D791" s="36">
        <v>600</v>
      </c>
      <c r="E791" s="12">
        <v>16.3</v>
      </c>
      <c r="F791" s="21">
        <f>E791*14*10/D791</f>
        <v>3.8033333333333332</v>
      </c>
      <c r="G791" s="35">
        <v>0</v>
      </c>
      <c r="H791" s="35">
        <v>0</v>
      </c>
      <c r="I791" s="35">
        <v>0</v>
      </c>
      <c r="J791" s="35">
        <v>0</v>
      </c>
      <c r="K791" s="35">
        <v>0</v>
      </c>
      <c r="L791" s="36">
        <v>506</v>
      </c>
      <c r="M791" s="35">
        <v>0.26</v>
      </c>
      <c r="N791" s="21">
        <v>20.399999999999999</v>
      </c>
      <c r="O791" s="12">
        <v>0</v>
      </c>
      <c r="P791" s="35">
        <v>100</v>
      </c>
      <c r="Q791" s="35" t="s">
        <v>1</v>
      </c>
      <c r="R791" s="35">
        <v>300</v>
      </c>
      <c r="S791" s="35">
        <v>25</v>
      </c>
      <c r="T791" s="35">
        <v>0.26600000000000001</v>
      </c>
      <c r="U791" s="21">
        <f t="shared" ref="U791:U796" si="48">T791/F791</f>
        <v>6.9938650306748465E-2</v>
      </c>
      <c r="V791" s="37">
        <v>559</v>
      </c>
      <c r="W791" s="37" t="s">
        <v>6</v>
      </c>
      <c r="X791" s="35" t="s">
        <v>6</v>
      </c>
      <c r="Y791" s="23" t="s">
        <v>6</v>
      </c>
      <c r="Z791" s="21" t="s">
        <v>6</v>
      </c>
      <c r="AA791" s="35" t="s">
        <v>6</v>
      </c>
      <c r="AB791" s="35" t="s">
        <v>6</v>
      </c>
      <c r="AC791" s="5" t="s">
        <v>158</v>
      </c>
    </row>
    <row r="792" spans="1:29">
      <c r="A792" s="48" t="s">
        <v>8</v>
      </c>
      <c r="B792" s="35" t="s">
        <v>92</v>
      </c>
      <c r="C792" s="49" t="s">
        <v>96</v>
      </c>
      <c r="D792" s="36">
        <v>15000</v>
      </c>
      <c r="E792" s="12">
        <v>50</v>
      </c>
      <c r="F792" s="21">
        <f t="shared" ref="F792:F804" si="49">E792*263*10/D792</f>
        <v>8.7666666666666675</v>
      </c>
      <c r="G792" s="35">
        <v>0</v>
      </c>
      <c r="H792" s="35">
        <v>0</v>
      </c>
      <c r="I792" s="35">
        <v>0</v>
      </c>
      <c r="J792" s="35">
        <v>0</v>
      </c>
      <c r="K792" s="35">
        <v>0</v>
      </c>
      <c r="L792" s="36">
        <v>950</v>
      </c>
      <c r="M792" s="35">
        <v>1.31</v>
      </c>
      <c r="N792" s="21">
        <v>8.01</v>
      </c>
      <c r="O792" s="12">
        <v>0</v>
      </c>
      <c r="P792" s="35">
        <v>100</v>
      </c>
      <c r="Q792" s="35">
        <v>100</v>
      </c>
      <c r="R792" s="35">
        <v>50</v>
      </c>
      <c r="S792" s="36">
        <v>30</v>
      </c>
      <c r="T792" s="21">
        <v>0.12665068418262035</v>
      </c>
      <c r="U792" s="21">
        <f t="shared" si="48"/>
        <v>1.4446846104481407E-2</v>
      </c>
      <c r="V792" s="37" t="s">
        <v>6</v>
      </c>
      <c r="W792" s="37" t="s">
        <v>6</v>
      </c>
      <c r="X792" s="35" t="s">
        <v>6</v>
      </c>
      <c r="Y792" s="23" t="s">
        <v>6</v>
      </c>
      <c r="Z792" s="21" t="s">
        <v>6</v>
      </c>
      <c r="AA792" s="35" t="s">
        <v>6</v>
      </c>
      <c r="AB792" s="35" t="s">
        <v>6</v>
      </c>
      <c r="AC792" s="1" t="s">
        <v>183</v>
      </c>
    </row>
    <row r="793" spans="1:29" ht="14.55" customHeight="1">
      <c r="A793" s="48" t="s">
        <v>8</v>
      </c>
      <c r="B793" s="35" t="s">
        <v>92</v>
      </c>
      <c r="C793" s="49" t="s">
        <v>96</v>
      </c>
      <c r="D793" s="36">
        <v>15000</v>
      </c>
      <c r="E793" s="12">
        <v>50</v>
      </c>
      <c r="F793" s="21">
        <f t="shared" si="49"/>
        <v>8.7666666666666675</v>
      </c>
      <c r="G793" s="35">
        <v>0</v>
      </c>
      <c r="H793" s="35">
        <v>0</v>
      </c>
      <c r="I793" s="35">
        <v>0</v>
      </c>
      <c r="J793" s="35">
        <v>0</v>
      </c>
      <c r="K793" s="35">
        <v>0</v>
      </c>
      <c r="L793" s="36">
        <v>950</v>
      </c>
      <c r="M793" s="35">
        <v>1.31</v>
      </c>
      <c r="N793" s="21">
        <v>8.01</v>
      </c>
      <c r="O793" s="12">
        <v>0</v>
      </c>
      <c r="P793" s="35">
        <v>100</v>
      </c>
      <c r="Q793" s="35">
        <v>100</v>
      </c>
      <c r="R793" s="35">
        <v>50</v>
      </c>
      <c r="S793" s="36">
        <v>50</v>
      </c>
      <c r="T793" s="21">
        <v>0.19138936310919957</v>
      </c>
      <c r="U793" s="21">
        <f t="shared" si="48"/>
        <v>2.1831486286220482E-2</v>
      </c>
      <c r="V793" s="37" t="s">
        <v>6</v>
      </c>
      <c r="W793" s="37" t="s">
        <v>6</v>
      </c>
      <c r="X793" s="35" t="s">
        <v>6</v>
      </c>
      <c r="Y793" s="23" t="s">
        <v>6</v>
      </c>
      <c r="Z793" s="21" t="s">
        <v>6</v>
      </c>
      <c r="AA793" s="35" t="s">
        <v>6</v>
      </c>
      <c r="AB793" s="35" t="s">
        <v>6</v>
      </c>
      <c r="AC793" s="27" t="s">
        <v>160</v>
      </c>
    </row>
    <row r="794" spans="1:29">
      <c r="A794" s="48" t="s">
        <v>8</v>
      </c>
      <c r="B794" s="35" t="s">
        <v>92</v>
      </c>
      <c r="C794" s="49" t="s">
        <v>96</v>
      </c>
      <c r="D794" s="36">
        <v>15000</v>
      </c>
      <c r="E794" s="12">
        <v>50</v>
      </c>
      <c r="F794" s="21">
        <f t="shared" si="49"/>
        <v>8.7666666666666675</v>
      </c>
      <c r="G794" s="35">
        <v>0</v>
      </c>
      <c r="H794" s="35">
        <v>0</v>
      </c>
      <c r="I794" s="35">
        <v>0</v>
      </c>
      <c r="J794" s="35">
        <v>0</v>
      </c>
      <c r="K794" s="35">
        <v>0</v>
      </c>
      <c r="L794" s="36">
        <v>950</v>
      </c>
      <c r="M794" s="35">
        <v>1.31</v>
      </c>
      <c r="N794" s="21">
        <v>8.01</v>
      </c>
      <c r="O794" s="12">
        <v>0</v>
      </c>
      <c r="P794" s="35">
        <v>100</v>
      </c>
      <c r="Q794" s="35">
        <v>100</v>
      </c>
      <c r="R794" s="35">
        <v>50</v>
      </c>
      <c r="S794" s="36">
        <v>75</v>
      </c>
      <c r="T794" s="21">
        <v>0.43367848196631248</v>
      </c>
      <c r="U794" s="21">
        <f t="shared" si="48"/>
        <v>4.9469028361176323E-2</v>
      </c>
      <c r="V794" s="37" t="s">
        <v>6</v>
      </c>
      <c r="W794" s="37" t="s">
        <v>6</v>
      </c>
      <c r="X794" s="35" t="s">
        <v>6</v>
      </c>
      <c r="Y794" s="23" t="s">
        <v>6</v>
      </c>
      <c r="Z794" s="21" t="s">
        <v>6</v>
      </c>
      <c r="AA794" s="35" t="s">
        <v>6</v>
      </c>
      <c r="AB794" s="35" t="s">
        <v>6</v>
      </c>
      <c r="AC794" s="27" t="s">
        <v>160</v>
      </c>
    </row>
    <row r="795" spans="1:29">
      <c r="A795" s="48" t="s">
        <v>8</v>
      </c>
      <c r="B795" s="35" t="s">
        <v>92</v>
      </c>
      <c r="C795" s="49" t="s">
        <v>96</v>
      </c>
      <c r="D795" s="36">
        <v>15000</v>
      </c>
      <c r="E795" s="12">
        <v>50</v>
      </c>
      <c r="F795" s="21">
        <f t="shared" si="49"/>
        <v>8.7666666666666675</v>
      </c>
      <c r="G795" s="35">
        <v>0</v>
      </c>
      <c r="H795" s="35">
        <v>0</v>
      </c>
      <c r="I795" s="35">
        <v>0</v>
      </c>
      <c r="J795" s="35">
        <v>0</v>
      </c>
      <c r="K795" s="35">
        <v>0</v>
      </c>
      <c r="L795" s="36">
        <v>950</v>
      </c>
      <c r="M795" s="35">
        <v>1.31</v>
      </c>
      <c r="N795" s="21">
        <v>8.01</v>
      </c>
      <c r="O795" s="12">
        <v>0</v>
      </c>
      <c r="P795" s="35">
        <v>100</v>
      </c>
      <c r="Q795" s="35">
        <v>100</v>
      </c>
      <c r="R795" s="35">
        <v>50</v>
      </c>
      <c r="S795" s="36">
        <v>100</v>
      </c>
      <c r="T795" s="21">
        <v>0.98159187661098313</v>
      </c>
      <c r="U795" s="21">
        <f t="shared" si="48"/>
        <v>0.1119686551267281</v>
      </c>
      <c r="V795" s="37" t="s">
        <v>6</v>
      </c>
      <c r="W795" s="37" t="s">
        <v>6</v>
      </c>
      <c r="X795" s="35" t="s">
        <v>6</v>
      </c>
      <c r="Y795" s="23" t="s">
        <v>6</v>
      </c>
      <c r="Z795" s="21" t="s">
        <v>6</v>
      </c>
      <c r="AA795" s="35" t="s">
        <v>6</v>
      </c>
      <c r="AB795" s="35" t="s">
        <v>6</v>
      </c>
      <c r="AC795" s="27" t="s">
        <v>160</v>
      </c>
    </row>
    <row r="796" spans="1:29">
      <c r="A796" s="48" t="s">
        <v>7</v>
      </c>
      <c r="B796" s="35" t="s">
        <v>92</v>
      </c>
      <c r="C796" s="49" t="s">
        <v>132</v>
      </c>
      <c r="D796" s="36">
        <v>15000</v>
      </c>
      <c r="E796" s="12">
        <v>50</v>
      </c>
      <c r="F796" s="21">
        <f t="shared" si="49"/>
        <v>8.7666666666666675</v>
      </c>
      <c r="G796" s="35">
        <v>0</v>
      </c>
      <c r="H796" s="35">
        <v>0</v>
      </c>
      <c r="I796" s="35">
        <v>0</v>
      </c>
      <c r="J796" s="35">
        <v>0</v>
      </c>
      <c r="K796" s="35">
        <v>0</v>
      </c>
      <c r="L796" s="36">
        <v>950</v>
      </c>
      <c r="M796" s="35">
        <v>1.31</v>
      </c>
      <c r="N796" s="21">
        <v>8.01</v>
      </c>
      <c r="O796" s="12">
        <v>0</v>
      </c>
      <c r="P796" s="35">
        <v>100</v>
      </c>
      <c r="Q796" s="35">
        <v>100</v>
      </c>
      <c r="R796" s="35">
        <v>50</v>
      </c>
      <c r="S796" s="36">
        <v>120</v>
      </c>
      <c r="T796" s="21">
        <v>1.5061655837954633</v>
      </c>
      <c r="U796" s="21">
        <f t="shared" si="48"/>
        <v>0.17180596012876007</v>
      </c>
      <c r="V796" s="37" t="s">
        <v>6</v>
      </c>
      <c r="W796" s="37" t="s">
        <v>6</v>
      </c>
      <c r="X796" s="35" t="s">
        <v>6</v>
      </c>
      <c r="Y796" s="23" t="s">
        <v>6</v>
      </c>
      <c r="Z796" s="21" t="s">
        <v>6</v>
      </c>
      <c r="AA796" s="35" t="s">
        <v>6</v>
      </c>
      <c r="AB796" s="35" t="s">
        <v>6</v>
      </c>
      <c r="AC796" s="27" t="s">
        <v>160</v>
      </c>
    </row>
    <row r="797" spans="1:29">
      <c r="A797" s="48" t="s">
        <v>7</v>
      </c>
      <c r="B797" s="35" t="s">
        <v>92</v>
      </c>
      <c r="C797" s="49" t="s">
        <v>132</v>
      </c>
      <c r="D797" s="36">
        <v>15000</v>
      </c>
      <c r="E797" s="12">
        <v>50</v>
      </c>
      <c r="F797" s="21">
        <f t="shared" si="49"/>
        <v>8.7666666666666675</v>
      </c>
      <c r="G797" s="35">
        <v>0</v>
      </c>
      <c r="H797" s="35">
        <v>0</v>
      </c>
      <c r="I797" s="35">
        <v>0</v>
      </c>
      <c r="J797" s="35">
        <v>0</v>
      </c>
      <c r="K797" s="35">
        <v>0</v>
      </c>
      <c r="L797" s="36">
        <v>950</v>
      </c>
      <c r="M797" s="35">
        <v>1.31</v>
      </c>
      <c r="N797" s="21">
        <v>8.01</v>
      </c>
      <c r="O797" s="12">
        <v>0</v>
      </c>
      <c r="P797" s="35">
        <v>100</v>
      </c>
      <c r="Q797" s="35">
        <v>100</v>
      </c>
      <c r="R797" s="35">
        <v>50</v>
      </c>
      <c r="S797" s="36">
        <v>140</v>
      </c>
      <c r="T797" s="21">
        <v>1.994103850280738</v>
      </c>
      <c r="U797" s="21">
        <v>0.22800000000000001</v>
      </c>
      <c r="V797" s="37" t="s">
        <v>6</v>
      </c>
      <c r="W797" s="37" t="s">
        <v>6</v>
      </c>
      <c r="X797" s="37">
        <v>100</v>
      </c>
      <c r="Y797" s="23" t="s">
        <v>6</v>
      </c>
      <c r="Z797" s="21">
        <v>8.2000000000000011</v>
      </c>
      <c r="AA797" s="35">
        <v>10</v>
      </c>
      <c r="AB797" s="35">
        <v>122</v>
      </c>
      <c r="AC797" s="27" t="s">
        <v>160</v>
      </c>
    </row>
    <row r="798" spans="1:29">
      <c r="A798" s="48" t="s">
        <v>7</v>
      </c>
      <c r="B798" s="35" t="s">
        <v>92</v>
      </c>
      <c r="C798" s="49" t="s">
        <v>132</v>
      </c>
      <c r="D798" s="36">
        <v>15000</v>
      </c>
      <c r="E798" s="12">
        <v>50</v>
      </c>
      <c r="F798" s="21">
        <f t="shared" si="49"/>
        <v>8.7666666666666675</v>
      </c>
      <c r="G798" s="35">
        <v>0</v>
      </c>
      <c r="H798" s="35">
        <v>0</v>
      </c>
      <c r="I798" s="35">
        <v>0</v>
      </c>
      <c r="J798" s="35">
        <v>0</v>
      </c>
      <c r="K798" s="35">
        <v>0</v>
      </c>
      <c r="L798" s="36">
        <v>950</v>
      </c>
      <c r="M798" s="35">
        <v>1.31</v>
      </c>
      <c r="N798" s="21">
        <v>8.01</v>
      </c>
      <c r="O798" s="12">
        <v>0</v>
      </c>
      <c r="P798" s="35">
        <v>100</v>
      </c>
      <c r="Q798" s="35">
        <v>100</v>
      </c>
      <c r="R798" s="35">
        <v>50</v>
      </c>
      <c r="S798" s="36">
        <v>160</v>
      </c>
      <c r="T798" s="21">
        <v>1.75849528308646</v>
      </c>
      <c r="U798" s="21">
        <f>T798/F798</f>
        <v>0.20058881556119312</v>
      </c>
      <c r="V798" s="37" t="s">
        <v>6</v>
      </c>
      <c r="W798" s="37" t="s">
        <v>6</v>
      </c>
      <c r="X798" s="35" t="s">
        <v>6</v>
      </c>
      <c r="Y798" s="23" t="s">
        <v>6</v>
      </c>
      <c r="Z798" s="21" t="s">
        <v>6</v>
      </c>
      <c r="AA798" s="35" t="s">
        <v>6</v>
      </c>
      <c r="AB798" s="35" t="s">
        <v>6</v>
      </c>
      <c r="AC798" s="27" t="s">
        <v>160</v>
      </c>
    </row>
    <row r="799" spans="1:29">
      <c r="A799" s="48" t="s">
        <v>7</v>
      </c>
      <c r="B799" s="35" t="s">
        <v>92</v>
      </c>
      <c r="C799" s="49" t="s">
        <v>132</v>
      </c>
      <c r="D799" s="36">
        <v>15000</v>
      </c>
      <c r="E799" s="12">
        <v>50</v>
      </c>
      <c r="F799" s="21">
        <f t="shared" si="49"/>
        <v>8.7666666666666675</v>
      </c>
      <c r="G799" s="35">
        <v>0</v>
      </c>
      <c r="H799" s="35">
        <v>0</v>
      </c>
      <c r="I799" s="35">
        <v>0</v>
      </c>
      <c r="J799" s="35">
        <v>0</v>
      </c>
      <c r="K799" s="35">
        <v>0</v>
      </c>
      <c r="L799" s="36">
        <v>950</v>
      </c>
      <c r="M799" s="35">
        <v>1.31</v>
      </c>
      <c r="N799" s="21">
        <v>8.01</v>
      </c>
      <c r="O799" s="12">
        <v>0</v>
      </c>
      <c r="P799" s="35">
        <v>100</v>
      </c>
      <c r="Q799" s="35">
        <v>100</v>
      </c>
      <c r="R799" s="35">
        <v>50</v>
      </c>
      <c r="S799" s="36">
        <v>180</v>
      </c>
      <c r="T799" s="21">
        <v>1.4376580066415032</v>
      </c>
      <c r="U799" s="21">
        <f>T799/F799</f>
        <v>0.16399140760169237</v>
      </c>
      <c r="V799" s="37" t="s">
        <v>6</v>
      </c>
      <c r="W799" s="37" t="s">
        <v>6</v>
      </c>
      <c r="X799" s="35" t="s">
        <v>6</v>
      </c>
      <c r="Y799" s="23" t="s">
        <v>6</v>
      </c>
      <c r="Z799" s="21" t="s">
        <v>6</v>
      </c>
      <c r="AA799" s="35" t="s">
        <v>6</v>
      </c>
      <c r="AB799" s="35" t="s">
        <v>6</v>
      </c>
      <c r="AC799" s="27" t="s">
        <v>160</v>
      </c>
    </row>
    <row r="800" spans="1:29">
      <c r="A800" s="48" t="s">
        <v>7</v>
      </c>
      <c r="B800" s="35" t="s">
        <v>92</v>
      </c>
      <c r="C800" s="49" t="s">
        <v>132</v>
      </c>
      <c r="D800" s="36">
        <v>15000</v>
      </c>
      <c r="E800" s="12">
        <v>50</v>
      </c>
      <c r="F800" s="21">
        <f t="shared" si="49"/>
        <v>8.7666666666666675</v>
      </c>
      <c r="G800" s="35">
        <v>0</v>
      </c>
      <c r="H800" s="35">
        <v>0</v>
      </c>
      <c r="I800" s="35">
        <v>0</v>
      </c>
      <c r="J800" s="35">
        <v>0</v>
      </c>
      <c r="K800" s="35">
        <v>0</v>
      </c>
      <c r="L800" s="36">
        <v>950</v>
      </c>
      <c r="M800" s="35">
        <v>1.31</v>
      </c>
      <c r="N800" s="21">
        <v>8.01</v>
      </c>
      <c r="O800" s="12">
        <v>0</v>
      </c>
      <c r="P800" s="35">
        <v>100</v>
      </c>
      <c r="Q800" s="35">
        <v>100</v>
      </c>
      <c r="R800" s="35">
        <v>50</v>
      </c>
      <c r="S800" s="36">
        <v>200.009941646855</v>
      </c>
      <c r="T800" s="21">
        <v>0.87974329091948689</v>
      </c>
      <c r="U800" s="21">
        <f>T800/F800</f>
        <v>0.10035094573226085</v>
      </c>
      <c r="V800" s="37" t="s">
        <v>6</v>
      </c>
      <c r="W800" s="37" t="s">
        <v>6</v>
      </c>
      <c r="X800" s="35" t="s">
        <v>6</v>
      </c>
      <c r="Y800" s="23" t="s">
        <v>6</v>
      </c>
      <c r="Z800" s="21" t="s">
        <v>6</v>
      </c>
      <c r="AA800" s="35" t="s">
        <v>6</v>
      </c>
      <c r="AB800" s="35" t="s">
        <v>6</v>
      </c>
      <c r="AC800" s="27" t="s">
        <v>160</v>
      </c>
    </row>
    <row r="801" spans="1:29">
      <c r="A801" s="48" t="s">
        <v>7</v>
      </c>
      <c r="B801" s="35" t="s">
        <v>159</v>
      </c>
      <c r="C801" s="49" t="s">
        <v>132</v>
      </c>
      <c r="D801" s="36">
        <v>15000</v>
      </c>
      <c r="E801" s="12">
        <v>50</v>
      </c>
      <c r="F801" s="21">
        <f t="shared" si="49"/>
        <v>8.7666666666666675</v>
      </c>
      <c r="G801" s="35">
        <v>0</v>
      </c>
      <c r="H801" s="35">
        <v>0</v>
      </c>
      <c r="I801" s="35">
        <v>0</v>
      </c>
      <c r="J801" s="35">
        <v>0</v>
      </c>
      <c r="K801" s="35">
        <v>0</v>
      </c>
      <c r="L801" s="36">
        <v>950</v>
      </c>
      <c r="M801" s="35">
        <v>1.31</v>
      </c>
      <c r="N801" s="21">
        <v>8.01</v>
      </c>
      <c r="O801" s="12">
        <v>3</v>
      </c>
      <c r="P801" s="35">
        <v>100</v>
      </c>
      <c r="Q801" s="35">
        <v>20</v>
      </c>
      <c r="R801" s="35">
        <v>50</v>
      </c>
      <c r="S801" s="36">
        <v>140</v>
      </c>
      <c r="T801" s="21">
        <v>2.4700000000000002</v>
      </c>
      <c r="U801" s="21">
        <f>T801/F801</f>
        <v>0.28174904942965778</v>
      </c>
      <c r="V801" s="37" t="s">
        <v>6</v>
      </c>
      <c r="W801" s="37" t="s">
        <v>6</v>
      </c>
      <c r="X801" s="37">
        <v>100</v>
      </c>
      <c r="Y801" s="23" t="s">
        <v>6</v>
      </c>
      <c r="Z801" s="21">
        <v>0</v>
      </c>
      <c r="AA801" s="35">
        <v>10</v>
      </c>
      <c r="AB801" s="35" t="s">
        <v>6</v>
      </c>
      <c r="AC801" s="27" t="s">
        <v>160</v>
      </c>
    </row>
    <row r="802" spans="1:29">
      <c r="A802" s="48" t="s">
        <v>7</v>
      </c>
      <c r="B802" s="35" t="s">
        <v>92</v>
      </c>
      <c r="C802" s="49" t="s">
        <v>132</v>
      </c>
      <c r="D802" s="36">
        <v>15000</v>
      </c>
      <c r="E802" s="12">
        <v>30</v>
      </c>
      <c r="F802" s="21">
        <f t="shared" si="49"/>
        <v>5.26</v>
      </c>
      <c r="G802" s="35">
        <v>0</v>
      </c>
      <c r="H802" s="35">
        <v>0</v>
      </c>
      <c r="I802" s="35">
        <v>0</v>
      </c>
      <c r="J802" s="35">
        <v>0</v>
      </c>
      <c r="K802" s="35">
        <v>0</v>
      </c>
      <c r="L802" s="36">
        <v>950</v>
      </c>
      <c r="M802" s="35">
        <v>1.31</v>
      </c>
      <c r="N802" s="21">
        <v>8.01</v>
      </c>
      <c r="O802" s="12">
        <v>0</v>
      </c>
      <c r="P802" s="35">
        <v>100</v>
      </c>
      <c r="Q802" s="35">
        <v>100</v>
      </c>
      <c r="R802" s="35">
        <v>50</v>
      </c>
      <c r="S802" s="35">
        <v>140</v>
      </c>
      <c r="T802" s="21">
        <v>1.0309996187517529</v>
      </c>
      <c r="U802" s="21">
        <v>0.19800000000000001</v>
      </c>
      <c r="V802" s="37" t="s">
        <v>6</v>
      </c>
      <c r="W802" s="37" t="s">
        <v>6</v>
      </c>
      <c r="X802" s="35" t="s">
        <v>6</v>
      </c>
      <c r="Y802" s="23" t="s">
        <v>6</v>
      </c>
      <c r="Z802" s="21" t="s">
        <v>6</v>
      </c>
      <c r="AA802" s="35" t="s">
        <v>6</v>
      </c>
      <c r="AB802" s="35" t="s">
        <v>6</v>
      </c>
      <c r="AC802" s="27" t="s">
        <v>160</v>
      </c>
    </row>
    <row r="803" spans="1:29">
      <c r="A803" s="48" t="s">
        <v>7</v>
      </c>
      <c r="B803" s="35" t="s">
        <v>92</v>
      </c>
      <c r="C803" s="49" t="s">
        <v>132</v>
      </c>
      <c r="D803" s="36">
        <v>15000</v>
      </c>
      <c r="E803" s="12">
        <v>65</v>
      </c>
      <c r="F803" s="21">
        <f t="shared" si="49"/>
        <v>11.396666666666667</v>
      </c>
      <c r="G803" s="35">
        <v>0</v>
      </c>
      <c r="H803" s="35">
        <v>0</v>
      </c>
      <c r="I803" s="35">
        <v>0</v>
      </c>
      <c r="J803" s="35">
        <v>0</v>
      </c>
      <c r="K803" s="35">
        <v>0</v>
      </c>
      <c r="L803" s="36">
        <v>950</v>
      </c>
      <c r="M803" s="35">
        <v>1.31</v>
      </c>
      <c r="N803" s="21">
        <v>8.01</v>
      </c>
      <c r="O803" s="12">
        <v>0</v>
      </c>
      <c r="P803" s="35">
        <v>100</v>
      </c>
      <c r="Q803" s="35">
        <v>100</v>
      </c>
      <c r="R803" s="35">
        <v>50</v>
      </c>
      <c r="S803" s="35">
        <v>140</v>
      </c>
      <c r="T803" s="21">
        <v>2.4691107736146458</v>
      </c>
      <c r="U803" s="21">
        <v>0.215</v>
      </c>
      <c r="V803" s="37" t="s">
        <v>6</v>
      </c>
      <c r="W803" s="37" t="s">
        <v>6</v>
      </c>
      <c r="X803" s="35" t="s">
        <v>6</v>
      </c>
      <c r="Y803" s="23" t="s">
        <v>6</v>
      </c>
      <c r="Z803" s="21" t="s">
        <v>6</v>
      </c>
      <c r="AA803" s="35" t="s">
        <v>6</v>
      </c>
      <c r="AB803" s="35" t="s">
        <v>6</v>
      </c>
      <c r="AC803" s="27" t="s">
        <v>160</v>
      </c>
    </row>
    <row r="804" spans="1:29">
      <c r="A804" s="48" t="s">
        <v>7</v>
      </c>
      <c r="B804" s="35" t="s">
        <v>92</v>
      </c>
      <c r="C804" s="49" t="s">
        <v>132</v>
      </c>
      <c r="D804" s="36">
        <v>15000</v>
      </c>
      <c r="E804" s="12">
        <v>75</v>
      </c>
      <c r="F804" s="21">
        <f t="shared" si="49"/>
        <v>13.15</v>
      </c>
      <c r="G804" s="35">
        <v>0</v>
      </c>
      <c r="H804" s="35">
        <v>0</v>
      </c>
      <c r="I804" s="35">
        <v>0</v>
      </c>
      <c r="J804" s="35">
        <v>0</v>
      </c>
      <c r="K804" s="35">
        <v>0</v>
      </c>
      <c r="L804" s="36">
        <v>950</v>
      </c>
      <c r="M804" s="35">
        <v>1.31</v>
      </c>
      <c r="N804" s="21">
        <v>8.01</v>
      </c>
      <c r="O804" s="12">
        <v>0</v>
      </c>
      <c r="P804" s="35">
        <v>100</v>
      </c>
      <c r="Q804" s="35">
        <v>100</v>
      </c>
      <c r="R804" s="35">
        <v>50</v>
      </c>
      <c r="S804" s="35">
        <v>140</v>
      </c>
      <c r="T804" s="21">
        <v>1.714676007475477</v>
      </c>
      <c r="U804" s="21">
        <v>0.13</v>
      </c>
      <c r="V804" s="37" t="s">
        <v>6</v>
      </c>
      <c r="W804" s="37" t="s">
        <v>6</v>
      </c>
      <c r="X804" s="35" t="s">
        <v>6</v>
      </c>
      <c r="Y804" s="23" t="s">
        <v>6</v>
      </c>
      <c r="Z804" s="21" t="s">
        <v>6</v>
      </c>
      <c r="AA804" s="35" t="s">
        <v>6</v>
      </c>
      <c r="AB804" s="35" t="s">
        <v>6</v>
      </c>
      <c r="AC804" s="27" t="s">
        <v>160</v>
      </c>
    </row>
    <row r="805" spans="1:29">
      <c r="A805" s="48" t="s">
        <v>7</v>
      </c>
      <c r="B805" s="35" t="s">
        <v>181</v>
      </c>
      <c r="C805" s="49" t="s">
        <v>89</v>
      </c>
      <c r="D805" s="36">
        <v>423</v>
      </c>
      <c r="E805" s="12">
        <v>50</v>
      </c>
      <c r="F805" s="21">
        <f>E805*9*10/D805</f>
        <v>10.638297872340425</v>
      </c>
      <c r="G805" s="35">
        <v>0</v>
      </c>
      <c r="H805" s="35">
        <v>0</v>
      </c>
      <c r="I805" s="35">
        <v>0</v>
      </c>
      <c r="J805" s="35">
        <v>0</v>
      </c>
      <c r="K805" s="35">
        <v>0</v>
      </c>
      <c r="L805" s="36">
        <v>950</v>
      </c>
      <c r="M805" s="35">
        <v>1.31</v>
      </c>
      <c r="N805" s="21">
        <v>8.01</v>
      </c>
      <c r="O805" s="12">
        <v>0</v>
      </c>
      <c r="P805" s="35">
        <v>100</v>
      </c>
      <c r="Q805" s="35">
        <v>100</v>
      </c>
      <c r="R805" s="35">
        <v>50</v>
      </c>
      <c r="S805" s="36">
        <v>30</v>
      </c>
      <c r="T805" s="21">
        <v>1.8146165332535582</v>
      </c>
      <c r="U805" s="21">
        <f t="shared" ref="U805:U814" si="50">1.81/F805</f>
        <v>0.17014000000000001</v>
      </c>
      <c r="V805" s="37" t="s">
        <v>6</v>
      </c>
      <c r="W805" s="37" t="s">
        <v>6</v>
      </c>
      <c r="X805" s="35" t="s">
        <v>6</v>
      </c>
      <c r="Y805" s="23" t="s">
        <v>6</v>
      </c>
      <c r="Z805" s="21" t="s">
        <v>6</v>
      </c>
      <c r="AA805" s="35" t="s">
        <v>6</v>
      </c>
      <c r="AB805" s="35" t="s">
        <v>6</v>
      </c>
      <c r="AC805" s="27" t="s">
        <v>160</v>
      </c>
    </row>
    <row r="806" spans="1:29">
      <c r="A806" s="48" t="s">
        <v>7</v>
      </c>
      <c r="B806" s="35" t="s">
        <v>181</v>
      </c>
      <c r="C806" s="49" t="s">
        <v>89</v>
      </c>
      <c r="D806" s="36">
        <v>423</v>
      </c>
      <c r="E806" s="12">
        <v>50</v>
      </c>
      <c r="F806" s="21">
        <f>E806*9*10/D806</f>
        <v>10.638297872340425</v>
      </c>
      <c r="G806" s="35">
        <v>0</v>
      </c>
      <c r="H806" s="35">
        <v>0</v>
      </c>
      <c r="I806" s="35">
        <v>0</v>
      </c>
      <c r="J806" s="35">
        <v>0</v>
      </c>
      <c r="K806" s="35">
        <v>0</v>
      </c>
      <c r="L806" s="36">
        <v>950</v>
      </c>
      <c r="M806" s="35">
        <v>1.31</v>
      </c>
      <c r="N806" s="21">
        <v>8.01</v>
      </c>
      <c r="O806" s="12">
        <v>0</v>
      </c>
      <c r="P806" s="35">
        <v>100</v>
      </c>
      <c r="Q806" s="35">
        <v>100</v>
      </c>
      <c r="R806" s="35">
        <v>50</v>
      </c>
      <c r="S806" s="36">
        <v>49.664361357250897</v>
      </c>
      <c r="T806" s="21">
        <v>2.1906720946652998</v>
      </c>
      <c r="U806" s="21">
        <f t="shared" si="50"/>
        <v>0.17014000000000001</v>
      </c>
      <c r="V806" s="37" t="s">
        <v>6</v>
      </c>
      <c r="W806" s="37" t="s">
        <v>6</v>
      </c>
      <c r="X806" s="35" t="s">
        <v>6</v>
      </c>
      <c r="Y806" s="23" t="s">
        <v>6</v>
      </c>
      <c r="Z806" s="21" t="s">
        <v>6</v>
      </c>
      <c r="AA806" s="35" t="s">
        <v>6</v>
      </c>
      <c r="AB806" s="35" t="s">
        <v>6</v>
      </c>
      <c r="AC806" s="27" t="s">
        <v>160</v>
      </c>
    </row>
    <row r="807" spans="1:29">
      <c r="A807" s="48" t="s">
        <v>7</v>
      </c>
      <c r="B807" s="35" t="s">
        <v>181</v>
      </c>
      <c r="C807" s="49" t="s">
        <v>89</v>
      </c>
      <c r="D807" s="36">
        <v>423</v>
      </c>
      <c r="E807" s="12">
        <v>50</v>
      </c>
      <c r="F807" s="21">
        <f>E807*9*10/D807</f>
        <v>10.638297872340425</v>
      </c>
      <c r="G807" s="35">
        <v>0</v>
      </c>
      <c r="H807" s="35">
        <v>0</v>
      </c>
      <c r="I807" s="35">
        <v>0</v>
      </c>
      <c r="J807" s="35">
        <v>0</v>
      </c>
      <c r="K807" s="35">
        <v>0</v>
      </c>
      <c r="L807" s="36">
        <v>950</v>
      </c>
      <c r="M807" s="35">
        <v>1.31</v>
      </c>
      <c r="N807" s="21">
        <v>8.01</v>
      </c>
      <c r="O807" s="12">
        <v>0</v>
      </c>
      <c r="P807" s="35">
        <v>100</v>
      </c>
      <c r="Q807" s="35">
        <v>100</v>
      </c>
      <c r="R807" s="35">
        <v>50</v>
      </c>
      <c r="S807" s="36">
        <v>75</v>
      </c>
      <c r="T807" s="21">
        <v>2.7185730323161219</v>
      </c>
      <c r="U807" s="21">
        <f t="shared" si="50"/>
        <v>0.17014000000000001</v>
      </c>
      <c r="V807" s="37" t="s">
        <v>6</v>
      </c>
      <c r="W807" s="37" t="s">
        <v>6</v>
      </c>
      <c r="X807" s="35" t="s">
        <v>6</v>
      </c>
      <c r="Y807" s="23" t="s">
        <v>6</v>
      </c>
      <c r="Z807" s="21" t="s">
        <v>6</v>
      </c>
      <c r="AA807" s="35" t="s">
        <v>6</v>
      </c>
      <c r="AB807" s="35" t="s">
        <v>6</v>
      </c>
      <c r="AC807" s="27" t="s">
        <v>160</v>
      </c>
    </row>
    <row r="808" spans="1:29">
      <c r="A808" s="48" t="s">
        <v>7</v>
      </c>
      <c r="B808" s="35" t="s">
        <v>181</v>
      </c>
      <c r="C808" s="49" t="s">
        <v>89</v>
      </c>
      <c r="D808" s="36">
        <v>423</v>
      </c>
      <c r="E808" s="12">
        <v>50</v>
      </c>
      <c r="F808" s="21">
        <f>E808*9*10/D808</f>
        <v>10.638297872340425</v>
      </c>
      <c r="G808" s="35">
        <v>0</v>
      </c>
      <c r="H808" s="35">
        <v>0</v>
      </c>
      <c r="I808" s="35">
        <v>0</v>
      </c>
      <c r="J808" s="35">
        <v>0</v>
      </c>
      <c r="K808" s="35">
        <v>0</v>
      </c>
      <c r="L808" s="36">
        <v>950</v>
      </c>
      <c r="M808" s="35">
        <v>1.31</v>
      </c>
      <c r="N808" s="21">
        <v>8.01</v>
      </c>
      <c r="O808" s="12">
        <v>0</v>
      </c>
      <c r="P808" s="35">
        <v>100</v>
      </c>
      <c r="Q808" s="35">
        <v>100</v>
      </c>
      <c r="R808" s="35">
        <v>50</v>
      </c>
      <c r="S808" s="36">
        <v>90</v>
      </c>
      <c r="T808" s="21">
        <v>2.6000490349363079</v>
      </c>
      <c r="U808" s="21">
        <f t="shared" si="50"/>
        <v>0.17014000000000001</v>
      </c>
      <c r="V808" s="37" t="s">
        <v>6</v>
      </c>
      <c r="W808" s="37" t="s">
        <v>6</v>
      </c>
      <c r="X808" s="35" t="s">
        <v>6</v>
      </c>
      <c r="Y808" s="23" t="s">
        <v>6</v>
      </c>
      <c r="Z808" s="21" t="s">
        <v>6</v>
      </c>
      <c r="AA808" s="35" t="s">
        <v>6</v>
      </c>
      <c r="AB808" s="35" t="s">
        <v>6</v>
      </c>
      <c r="AC808" s="27" t="s">
        <v>160</v>
      </c>
    </row>
    <row r="809" spans="1:29">
      <c r="A809" s="48" t="s">
        <v>7</v>
      </c>
      <c r="B809" s="35" t="s">
        <v>181</v>
      </c>
      <c r="C809" s="49" t="s">
        <v>100</v>
      </c>
      <c r="D809" s="36">
        <v>423</v>
      </c>
      <c r="E809" s="12">
        <v>50</v>
      </c>
      <c r="F809" s="21">
        <f>E809*9*10/D809</f>
        <v>10.638297872340425</v>
      </c>
      <c r="G809" s="35">
        <v>0</v>
      </c>
      <c r="H809" s="35">
        <v>0</v>
      </c>
      <c r="I809" s="35">
        <v>0</v>
      </c>
      <c r="J809" s="35">
        <v>0</v>
      </c>
      <c r="K809" s="35">
        <v>0</v>
      </c>
      <c r="L809" s="36">
        <v>950</v>
      </c>
      <c r="M809" s="35">
        <v>1.31</v>
      </c>
      <c r="N809" s="21">
        <v>8.01</v>
      </c>
      <c r="O809" s="12">
        <v>0</v>
      </c>
      <c r="P809" s="35">
        <v>100</v>
      </c>
      <c r="Q809" s="35">
        <v>100</v>
      </c>
      <c r="R809" s="35">
        <v>50</v>
      </c>
      <c r="S809" s="36">
        <v>100</v>
      </c>
      <c r="T809" s="21">
        <v>2.2639791281556905</v>
      </c>
      <c r="U809" s="21">
        <f t="shared" si="50"/>
        <v>0.17014000000000001</v>
      </c>
      <c r="V809" s="37" t="s">
        <v>6</v>
      </c>
      <c r="W809" s="37" t="s">
        <v>6</v>
      </c>
      <c r="X809" s="35" t="s">
        <v>6</v>
      </c>
      <c r="Y809" s="23" t="s">
        <v>6</v>
      </c>
      <c r="Z809" s="21" t="s">
        <v>6</v>
      </c>
      <c r="AA809" s="35" t="s">
        <v>6</v>
      </c>
      <c r="AB809" s="35" t="s">
        <v>6</v>
      </c>
      <c r="AC809" s="27" t="s">
        <v>160</v>
      </c>
    </row>
    <row r="810" spans="1:29">
      <c r="A810" s="48" t="s">
        <v>7</v>
      </c>
      <c r="B810" s="35" t="s">
        <v>180</v>
      </c>
      <c r="C810" s="35" t="s">
        <v>189</v>
      </c>
      <c r="D810" s="36">
        <v>10000</v>
      </c>
      <c r="E810" s="12">
        <v>50</v>
      </c>
      <c r="F810" s="21">
        <f>E810*687*10/D810</f>
        <v>34.35</v>
      </c>
      <c r="G810" s="35">
        <v>0</v>
      </c>
      <c r="H810" s="35">
        <v>0</v>
      </c>
      <c r="I810" s="35">
        <v>0</v>
      </c>
      <c r="J810" s="35">
        <v>0</v>
      </c>
      <c r="K810" s="35">
        <v>0</v>
      </c>
      <c r="L810" s="36">
        <v>950</v>
      </c>
      <c r="M810" s="35">
        <v>1.31</v>
      </c>
      <c r="N810" s="21">
        <v>8.01</v>
      </c>
      <c r="O810" s="12">
        <v>0</v>
      </c>
      <c r="P810" s="35">
        <v>100</v>
      </c>
      <c r="Q810" s="35">
        <v>100</v>
      </c>
      <c r="R810" s="35">
        <v>50</v>
      </c>
      <c r="S810" s="36">
        <v>30</v>
      </c>
      <c r="T810" s="21">
        <v>0.54933654631907136</v>
      </c>
      <c r="U810" s="21">
        <f t="shared" si="50"/>
        <v>5.2692867540029109E-2</v>
      </c>
      <c r="V810" s="37" t="s">
        <v>6</v>
      </c>
      <c r="W810" s="37" t="s">
        <v>6</v>
      </c>
      <c r="X810" s="35" t="s">
        <v>6</v>
      </c>
      <c r="Y810" s="23" t="s">
        <v>6</v>
      </c>
      <c r="Z810" s="21" t="s">
        <v>6</v>
      </c>
      <c r="AA810" s="35" t="s">
        <v>6</v>
      </c>
      <c r="AB810" s="35" t="s">
        <v>6</v>
      </c>
      <c r="AC810" s="27" t="s">
        <v>160</v>
      </c>
    </row>
    <row r="811" spans="1:29">
      <c r="A811" s="48" t="s">
        <v>7</v>
      </c>
      <c r="B811" s="35" t="s">
        <v>180</v>
      </c>
      <c r="C811" s="35" t="s">
        <v>189</v>
      </c>
      <c r="D811" s="36">
        <v>10000</v>
      </c>
      <c r="E811" s="12">
        <v>50</v>
      </c>
      <c r="F811" s="21">
        <f>E811*687*10/D811</f>
        <v>34.35</v>
      </c>
      <c r="G811" s="35">
        <v>0</v>
      </c>
      <c r="H811" s="35">
        <v>0</v>
      </c>
      <c r="I811" s="35">
        <v>0</v>
      </c>
      <c r="J811" s="35">
        <v>0</v>
      </c>
      <c r="K811" s="35">
        <v>0</v>
      </c>
      <c r="L811" s="36">
        <v>950</v>
      </c>
      <c r="M811" s="35">
        <v>1.31</v>
      </c>
      <c r="N811" s="21">
        <v>8.01</v>
      </c>
      <c r="O811" s="12">
        <v>0</v>
      </c>
      <c r="P811" s="35">
        <v>100</v>
      </c>
      <c r="Q811" s="35">
        <v>100</v>
      </c>
      <c r="R811" s="35">
        <v>50</v>
      </c>
      <c r="S811" s="36">
        <v>30</v>
      </c>
      <c r="T811" s="21">
        <v>0.54933654631907136</v>
      </c>
      <c r="U811" s="21">
        <f t="shared" si="50"/>
        <v>5.2692867540029109E-2</v>
      </c>
      <c r="V811" s="37" t="s">
        <v>6</v>
      </c>
      <c r="W811" s="37" t="s">
        <v>6</v>
      </c>
      <c r="X811" s="35" t="s">
        <v>6</v>
      </c>
      <c r="Y811" s="23" t="s">
        <v>6</v>
      </c>
      <c r="Z811" s="21" t="s">
        <v>6</v>
      </c>
      <c r="AA811" s="35" t="s">
        <v>6</v>
      </c>
      <c r="AB811" s="35" t="s">
        <v>6</v>
      </c>
      <c r="AC811" s="27" t="s">
        <v>160</v>
      </c>
    </row>
    <row r="812" spans="1:29">
      <c r="A812" s="48" t="s">
        <v>7</v>
      </c>
      <c r="B812" s="35" t="s">
        <v>180</v>
      </c>
      <c r="C812" s="35" t="s">
        <v>189</v>
      </c>
      <c r="D812" s="36">
        <v>10000</v>
      </c>
      <c r="E812" s="12">
        <v>50</v>
      </c>
      <c r="F812" s="21">
        <f>E812*687*10/D812</f>
        <v>34.35</v>
      </c>
      <c r="G812" s="35">
        <v>0</v>
      </c>
      <c r="H812" s="35">
        <v>0</v>
      </c>
      <c r="I812" s="35">
        <v>0</v>
      </c>
      <c r="J812" s="35">
        <v>0</v>
      </c>
      <c r="K812" s="35">
        <v>0</v>
      </c>
      <c r="L812" s="36">
        <v>950</v>
      </c>
      <c r="M812" s="35">
        <v>1.31</v>
      </c>
      <c r="N812" s="21">
        <v>8.01</v>
      </c>
      <c r="O812" s="12">
        <v>0</v>
      </c>
      <c r="P812" s="35">
        <v>100</v>
      </c>
      <c r="Q812" s="35">
        <v>100</v>
      </c>
      <c r="R812" s="35">
        <v>50</v>
      </c>
      <c r="S812" s="36">
        <v>75</v>
      </c>
      <c r="T812" s="21">
        <v>1.9559894761368868</v>
      </c>
      <c r="U812" s="21">
        <f t="shared" si="50"/>
        <v>5.2692867540029109E-2</v>
      </c>
      <c r="V812" s="37" t="s">
        <v>6</v>
      </c>
      <c r="W812" s="37" t="s">
        <v>6</v>
      </c>
      <c r="X812" s="35" t="s">
        <v>6</v>
      </c>
      <c r="Y812" s="23" t="s">
        <v>6</v>
      </c>
      <c r="Z812" s="21" t="s">
        <v>6</v>
      </c>
      <c r="AA812" s="35" t="s">
        <v>6</v>
      </c>
      <c r="AB812" s="35" t="s">
        <v>6</v>
      </c>
      <c r="AC812" s="27" t="s">
        <v>160</v>
      </c>
    </row>
    <row r="813" spans="1:29">
      <c r="A813" s="48" t="s">
        <v>7</v>
      </c>
      <c r="B813" s="35" t="s">
        <v>180</v>
      </c>
      <c r="C813" s="35" t="s">
        <v>189</v>
      </c>
      <c r="D813" s="36">
        <v>10000</v>
      </c>
      <c r="E813" s="12">
        <v>50</v>
      </c>
      <c r="F813" s="21">
        <f>E813*687*10/D813</f>
        <v>34.35</v>
      </c>
      <c r="G813" s="35">
        <v>0</v>
      </c>
      <c r="H813" s="35">
        <v>0</v>
      </c>
      <c r="I813" s="35">
        <v>0</v>
      </c>
      <c r="J813" s="35">
        <v>0</v>
      </c>
      <c r="K813" s="35">
        <v>0</v>
      </c>
      <c r="L813" s="36">
        <v>950</v>
      </c>
      <c r="M813" s="35">
        <v>1.31</v>
      </c>
      <c r="N813" s="21">
        <v>8.01</v>
      </c>
      <c r="O813" s="12">
        <v>0</v>
      </c>
      <c r="P813" s="35">
        <v>100</v>
      </c>
      <c r="Q813" s="35">
        <v>100</v>
      </c>
      <c r="R813" s="35">
        <v>50</v>
      </c>
      <c r="S813" s="36">
        <v>90</v>
      </c>
      <c r="T813" s="21">
        <v>2.3943987105656905</v>
      </c>
      <c r="U813" s="21">
        <f t="shared" si="50"/>
        <v>5.2692867540029109E-2</v>
      </c>
      <c r="V813" s="37" t="s">
        <v>6</v>
      </c>
      <c r="W813" s="37" t="s">
        <v>6</v>
      </c>
      <c r="X813" s="35" t="s">
        <v>6</v>
      </c>
      <c r="Y813" s="23" t="s">
        <v>6</v>
      </c>
      <c r="Z813" s="21" t="s">
        <v>6</v>
      </c>
      <c r="AA813" s="35" t="s">
        <v>6</v>
      </c>
      <c r="AB813" s="35">
        <v>77</v>
      </c>
      <c r="AC813" s="27" t="s">
        <v>160</v>
      </c>
    </row>
    <row r="814" spans="1:29" ht="13.8" customHeight="1">
      <c r="A814" s="48" t="s">
        <v>7</v>
      </c>
      <c r="B814" s="35" t="s">
        <v>180</v>
      </c>
      <c r="C814" s="35" t="s">
        <v>189</v>
      </c>
      <c r="D814" s="36">
        <v>10000</v>
      </c>
      <c r="E814" s="12">
        <v>50</v>
      </c>
      <c r="F814" s="21">
        <f>E814*687*10/D814</f>
        <v>34.35</v>
      </c>
      <c r="G814" s="35">
        <v>0</v>
      </c>
      <c r="H814" s="35">
        <v>0</v>
      </c>
      <c r="I814" s="35">
        <v>0</v>
      </c>
      <c r="J814" s="35">
        <v>0</v>
      </c>
      <c r="K814" s="35">
        <v>0</v>
      </c>
      <c r="L814" s="36">
        <v>950</v>
      </c>
      <c r="M814" s="35">
        <v>1.31</v>
      </c>
      <c r="N814" s="21">
        <v>8.01</v>
      </c>
      <c r="O814" s="12">
        <v>0</v>
      </c>
      <c r="P814" s="35">
        <v>100</v>
      </c>
      <c r="Q814" s="35">
        <v>100</v>
      </c>
      <c r="R814" s="35">
        <v>50</v>
      </c>
      <c r="S814" s="36">
        <v>100</v>
      </c>
      <c r="T814" s="21">
        <v>2.3211113067535649</v>
      </c>
      <c r="U814" s="21">
        <f t="shared" si="50"/>
        <v>5.2692867540029109E-2</v>
      </c>
      <c r="V814" s="37" t="s">
        <v>6</v>
      </c>
      <c r="W814" s="37" t="s">
        <v>6</v>
      </c>
      <c r="X814" s="35" t="s">
        <v>6</v>
      </c>
      <c r="Y814" s="23" t="s">
        <v>6</v>
      </c>
      <c r="Z814" s="21" t="s">
        <v>6</v>
      </c>
      <c r="AA814" s="35" t="s">
        <v>6</v>
      </c>
      <c r="AB814" s="35" t="s">
        <v>6</v>
      </c>
      <c r="AC814" s="27" t="s">
        <v>160</v>
      </c>
    </row>
    <row r="815" spans="1:29">
      <c r="A815" s="48" t="s">
        <v>91</v>
      </c>
      <c r="B815" s="35" t="s">
        <v>180</v>
      </c>
      <c r="C815" s="35" t="s">
        <v>60</v>
      </c>
      <c r="D815" s="36">
        <v>600</v>
      </c>
      <c r="E815" s="12">
        <v>50.019999999999996</v>
      </c>
      <c r="F815" s="21">
        <v>11.671333333333331</v>
      </c>
      <c r="G815" s="35">
        <v>0</v>
      </c>
      <c r="H815" s="35">
        <v>0</v>
      </c>
      <c r="I815" s="35">
        <v>0</v>
      </c>
      <c r="J815" s="35">
        <v>0</v>
      </c>
      <c r="K815" s="35">
        <v>0</v>
      </c>
      <c r="L815" s="36">
        <v>557.87</v>
      </c>
      <c r="M815" s="35">
        <v>2.82</v>
      </c>
      <c r="N815" s="21">
        <v>33.229999999999997</v>
      </c>
      <c r="O815" s="12">
        <v>0</v>
      </c>
      <c r="P815" s="35">
        <v>10</v>
      </c>
      <c r="Q815" s="35">
        <v>100</v>
      </c>
      <c r="R815" s="35" t="s">
        <v>1</v>
      </c>
      <c r="S815" s="36">
        <v>75</v>
      </c>
      <c r="T815" s="21">
        <v>2.73</v>
      </c>
      <c r="U815" s="21">
        <v>0.23</v>
      </c>
      <c r="V815" s="37" t="s">
        <v>6</v>
      </c>
      <c r="W815" s="37" t="s">
        <v>6</v>
      </c>
      <c r="X815" s="35" t="s">
        <v>6</v>
      </c>
      <c r="Y815" s="23" t="s">
        <v>6</v>
      </c>
      <c r="Z815" s="21" t="s">
        <v>6</v>
      </c>
      <c r="AA815" s="35" t="s">
        <v>6</v>
      </c>
      <c r="AB815" s="35" t="s">
        <v>6</v>
      </c>
      <c r="AC815" s="27" t="s">
        <v>162</v>
      </c>
    </row>
    <row r="816" spans="1:29">
      <c r="A816" s="48" t="s">
        <v>91</v>
      </c>
      <c r="B816" s="35" t="s">
        <v>180</v>
      </c>
      <c r="C816" s="35" t="s">
        <v>60</v>
      </c>
      <c r="D816" s="36">
        <v>600</v>
      </c>
      <c r="E816" s="12">
        <v>59.589999999999996</v>
      </c>
      <c r="F816" s="21">
        <v>13.95</v>
      </c>
      <c r="G816" s="35">
        <v>0</v>
      </c>
      <c r="H816" s="35">
        <v>0</v>
      </c>
      <c r="I816" s="35">
        <v>0</v>
      </c>
      <c r="J816" s="35">
        <v>0</v>
      </c>
      <c r="K816" s="35">
        <v>0</v>
      </c>
      <c r="L816" s="36">
        <v>557.87</v>
      </c>
      <c r="M816" s="35">
        <v>2.82</v>
      </c>
      <c r="N816" s="21">
        <v>33.229999999999997</v>
      </c>
      <c r="O816" s="12">
        <v>0</v>
      </c>
      <c r="P816" s="35">
        <v>10</v>
      </c>
      <c r="Q816" s="35">
        <v>100</v>
      </c>
      <c r="R816" s="35" t="s">
        <v>1</v>
      </c>
      <c r="S816" s="36">
        <v>75</v>
      </c>
      <c r="T816" s="21">
        <v>3.41</v>
      </c>
      <c r="U816" s="21">
        <v>0.24</v>
      </c>
      <c r="V816" s="37" t="s">
        <v>6</v>
      </c>
      <c r="W816" s="37" t="s">
        <v>6</v>
      </c>
      <c r="X816" s="35" t="s">
        <v>6</v>
      </c>
      <c r="Y816" s="23" t="s">
        <v>6</v>
      </c>
      <c r="Z816" s="21" t="s">
        <v>6</v>
      </c>
      <c r="AA816" s="35" t="s">
        <v>6</v>
      </c>
      <c r="AB816" s="35" t="s">
        <v>6</v>
      </c>
      <c r="AC816" s="27" t="s">
        <v>162</v>
      </c>
    </row>
    <row r="817" spans="1:29">
      <c r="A817" s="48" t="s">
        <v>91</v>
      </c>
      <c r="B817" s="35" t="s">
        <v>180</v>
      </c>
      <c r="C817" s="35" t="s">
        <v>60</v>
      </c>
      <c r="D817" s="36">
        <v>600</v>
      </c>
      <c r="E817" s="12">
        <v>83.17</v>
      </c>
      <c r="F817" s="21">
        <v>18.600000000000001</v>
      </c>
      <c r="G817" s="35">
        <v>0</v>
      </c>
      <c r="H817" s="35">
        <v>0</v>
      </c>
      <c r="I817" s="35">
        <v>0</v>
      </c>
      <c r="J817" s="35">
        <v>0</v>
      </c>
      <c r="K817" s="35">
        <v>0</v>
      </c>
      <c r="L817" s="36">
        <v>557.87</v>
      </c>
      <c r="M817" s="35">
        <v>2.82</v>
      </c>
      <c r="N817" s="21">
        <v>33.229999999999997</v>
      </c>
      <c r="O817" s="12">
        <v>0</v>
      </c>
      <c r="P817" s="35">
        <v>10</v>
      </c>
      <c r="Q817" s="35">
        <v>100</v>
      </c>
      <c r="R817" s="35" t="s">
        <v>1</v>
      </c>
      <c r="S817" s="36">
        <v>75</v>
      </c>
      <c r="T817" s="21">
        <v>3.53</v>
      </c>
      <c r="U817" s="21">
        <v>0.19</v>
      </c>
      <c r="V817" s="37" t="s">
        <v>6</v>
      </c>
      <c r="W817" s="37" t="s">
        <v>6</v>
      </c>
      <c r="X817" s="35" t="s">
        <v>6</v>
      </c>
      <c r="Y817" s="23" t="s">
        <v>6</v>
      </c>
      <c r="Z817" s="21" t="s">
        <v>6</v>
      </c>
      <c r="AA817" s="35" t="s">
        <v>6</v>
      </c>
      <c r="AB817" s="35" t="s">
        <v>6</v>
      </c>
      <c r="AC817" s="27" t="s">
        <v>162</v>
      </c>
    </row>
    <row r="818" spans="1:29">
      <c r="A818" s="48" t="s">
        <v>91</v>
      </c>
      <c r="B818" s="35" t="s">
        <v>180</v>
      </c>
      <c r="C818" s="35" t="s">
        <v>60</v>
      </c>
      <c r="D818" s="36">
        <v>600</v>
      </c>
      <c r="E818" s="12">
        <v>70.67</v>
      </c>
      <c r="F818" s="21">
        <v>16.28</v>
      </c>
      <c r="G818" s="35">
        <v>0</v>
      </c>
      <c r="H818" s="35">
        <v>0</v>
      </c>
      <c r="I818" s="35">
        <v>0</v>
      </c>
      <c r="J818" s="35">
        <v>0</v>
      </c>
      <c r="K818" s="35">
        <v>0</v>
      </c>
      <c r="L818" s="36">
        <v>557.87</v>
      </c>
      <c r="M818" s="35">
        <v>2.82</v>
      </c>
      <c r="N818" s="21">
        <v>33.229999999999997</v>
      </c>
      <c r="O818" s="12">
        <v>0</v>
      </c>
      <c r="P818" s="35">
        <v>10</v>
      </c>
      <c r="Q818" s="35">
        <v>100</v>
      </c>
      <c r="R818" s="35" t="s">
        <v>1</v>
      </c>
      <c r="S818" s="35">
        <v>25</v>
      </c>
      <c r="T818" s="35">
        <v>2.56</v>
      </c>
      <c r="U818" s="21">
        <f>T818/F818</f>
        <v>0.15724815724815724</v>
      </c>
      <c r="V818" s="37">
        <v>1.63</v>
      </c>
      <c r="W818" s="37">
        <v>16.7418399548467</v>
      </c>
      <c r="X818" s="35" t="s">
        <v>6</v>
      </c>
      <c r="Y818" s="23" t="s">
        <v>6</v>
      </c>
      <c r="Z818" s="21" t="s">
        <v>6</v>
      </c>
      <c r="AA818" s="35" t="s">
        <v>6</v>
      </c>
      <c r="AB818" s="35" t="s">
        <v>6</v>
      </c>
      <c r="AC818" s="27" t="s">
        <v>162</v>
      </c>
    </row>
    <row r="819" spans="1:29">
      <c r="A819" s="48" t="s">
        <v>91</v>
      </c>
      <c r="B819" s="35" t="s">
        <v>180</v>
      </c>
      <c r="C819" s="35" t="s">
        <v>60</v>
      </c>
      <c r="D819" s="36">
        <v>600</v>
      </c>
      <c r="E819" s="12">
        <v>70.67</v>
      </c>
      <c r="F819" s="21">
        <v>16.28</v>
      </c>
      <c r="G819" s="35">
        <v>0</v>
      </c>
      <c r="H819" s="35">
        <v>0</v>
      </c>
      <c r="I819" s="35">
        <v>0</v>
      </c>
      <c r="J819" s="35">
        <v>0</v>
      </c>
      <c r="K819" s="35">
        <v>0</v>
      </c>
      <c r="L819" s="36">
        <v>557.87</v>
      </c>
      <c r="M819" s="35">
        <v>2.82</v>
      </c>
      <c r="N819" s="21">
        <v>33.229999999999997</v>
      </c>
      <c r="O819" s="12">
        <v>0</v>
      </c>
      <c r="P819" s="35">
        <v>10</v>
      </c>
      <c r="Q819" s="35">
        <v>100</v>
      </c>
      <c r="R819" s="35" t="s">
        <v>1</v>
      </c>
      <c r="S819" s="35">
        <v>40</v>
      </c>
      <c r="T819" s="35">
        <v>2.85</v>
      </c>
      <c r="U819" s="21">
        <f>T819/F819</f>
        <v>0.17506142506142505</v>
      </c>
      <c r="V819" s="37">
        <v>1.5</v>
      </c>
      <c r="W819" s="37">
        <v>9.6249590688568301</v>
      </c>
      <c r="X819" s="35" t="s">
        <v>6</v>
      </c>
      <c r="Y819" s="23" t="s">
        <v>6</v>
      </c>
      <c r="Z819" s="21" t="s">
        <v>6</v>
      </c>
      <c r="AA819" s="35" t="s">
        <v>6</v>
      </c>
      <c r="AB819" s="35" t="s">
        <v>6</v>
      </c>
      <c r="AC819" s="27" t="s">
        <v>162</v>
      </c>
    </row>
    <row r="820" spans="1:29">
      <c r="A820" s="48" t="s">
        <v>91</v>
      </c>
      <c r="B820" s="35" t="s">
        <v>180</v>
      </c>
      <c r="C820" s="35" t="s">
        <v>60</v>
      </c>
      <c r="D820" s="36">
        <v>600</v>
      </c>
      <c r="E820" s="12">
        <v>70.67</v>
      </c>
      <c r="F820" s="21">
        <v>16.28</v>
      </c>
      <c r="G820" s="35">
        <v>0</v>
      </c>
      <c r="H820" s="35">
        <v>0</v>
      </c>
      <c r="I820" s="35">
        <v>0</v>
      </c>
      <c r="J820" s="35">
        <v>0</v>
      </c>
      <c r="K820" s="35">
        <v>0</v>
      </c>
      <c r="L820" s="36">
        <v>557.87</v>
      </c>
      <c r="M820" s="35">
        <v>2.82</v>
      </c>
      <c r="N820" s="21">
        <v>33.229999999999997</v>
      </c>
      <c r="O820" s="12">
        <v>0</v>
      </c>
      <c r="P820" s="35">
        <v>10</v>
      </c>
      <c r="Q820" s="35">
        <v>100</v>
      </c>
      <c r="R820" s="35" t="s">
        <v>1</v>
      </c>
      <c r="S820" s="35">
        <v>60</v>
      </c>
      <c r="T820" s="35">
        <v>3.41</v>
      </c>
      <c r="U820" s="21">
        <f>T820/F820</f>
        <v>0.20945945945945946</v>
      </c>
      <c r="V820" s="35" t="s">
        <v>6</v>
      </c>
      <c r="W820" s="35" t="s">
        <v>6</v>
      </c>
      <c r="X820" s="35" t="s">
        <v>6</v>
      </c>
      <c r="Y820" s="23" t="s">
        <v>6</v>
      </c>
      <c r="Z820" s="21" t="s">
        <v>6</v>
      </c>
      <c r="AA820" s="35" t="s">
        <v>6</v>
      </c>
      <c r="AB820" s="35" t="s">
        <v>6</v>
      </c>
      <c r="AC820" s="27" t="s">
        <v>162</v>
      </c>
    </row>
    <row r="821" spans="1:29">
      <c r="A821" s="48" t="s">
        <v>90</v>
      </c>
      <c r="B821" s="35" t="s">
        <v>180</v>
      </c>
      <c r="C821" s="35" t="s">
        <v>60</v>
      </c>
      <c r="D821" s="36">
        <v>600</v>
      </c>
      <c r="E821" s="12">
        <v>70.67</v>
      </c>
      <c r="F821" s="21">
        <v>16.28</v>
      </c>
      <c r="G821" s="35">
        <v>0</v>
      </c>
      <c r="H821" s="35">
        <v>0</v>
      </c>
      <c r="I821" s="35">
        <v>0</v>
      </c>
      <c r="J821" s="35">
        <v>0</v>
      </c>
      <c r="K821" s="35">
        <v>0</v>
      </c>
      <c r="L821" s="36">
        <v>557.87</v>
      </c>
      <c r="M821" s="35">
        <v>2.82</v>
      </c>
      <c r="N821" s="21">
        <v>33.229999999999997</v>
      </c>
      <c r="O821" s="12">
        <v>0</v>
      </c>
      <c r="P821" s="35">
        <v>10</v>
      </c>
      <c r="Q821" s="35">
        <v>100</v>
      </c>
      <c r="R821" s="35" t="s">
        <v>1</v>
      </c>
      <c r="S821" s="35">
        <v>75</v>
      </c>
      <c r="T821" s="35">
        <v>3.94</v>
      </c>
      <c r="U821" s="21">
        <v>0.24</v>
      </c>
      <c r="V821" s="37">
        <v>0.59</v>
      </c>
      <c r="W821" s="37">
        <v>1.52603502055741</v>
      </c>
      <c r="X821" s="35" t="s">
        <v>6</v>
      </c>
      <c r="Y821" s="23" t="s">
        <v>6</v>
      </c>
      <c r="Z821" s="21" t="s">
        <v>6</v>
      </c>
      <c r="AA821" s="35" t="s">
        <v>6</v>
      </c>
      <c r="AB821" s="35" t="s">
        <v>6</v>
      </c>
      <c r="AC821" s="27" t="s">
        <v>162</v>
      </c>
    </row>
    <row r="822" spans="1:29">
      <c r="A822" s="48" t="s">
        <v>90</v>
      </c>
      <c r="B822" s="35" t="s">
        <v>180</v>
      </c>
      <c r="C822" s="35" t="s">
        <v>60</v>
      </c>
      <c r="D822" s="36">
        <v>600</v>
      </c>
      <c r="E822" s="12">
        <v>70.67</v>
      </c>
      <c r="F822" s="21">
        <v>16.28</v>
      </c>
      <c r="G822" s="35">
        <v>0</v>
      </c>
      <c r="H822" s="35">
        <v>0</v>
      </c>
      <c r="I822" s="35">
        <v>0</v>
      </c>
      <c r="J822" s="35">
        <v>0</v>
      </c>
      <c r="K822" s="35">
        <v>0</v>
      </c>
      <c r="L822" s="36">
        <v>557.87</v>
      </c>
      <c r="M822" s="35">
        <v>2.82</v>
      </c>
      <c r="N822" s="21">
        <v>33.229999999999997</v>
      </c>
      <c r="O822" s="12">
        <v>0</v>
      </c>
      <c r="P822" s="35">
        <v>10</v>
      </c>
      <c r="Q822" s="35">
        <v>100</v>
      </c>
      <c r="R822" s="35" t="s">
        <v>1</v>
      </c>
      <c r="S822" s="35">
        <v>90</v>
      </c>
      <c r="T822" s="35">
        <v>2.5499999999999998</v>
      </c>
      <c r="U822" s="21">
        <f t="shared" ref="U822:U827" si="51">T822/F822</f>
        <v>0.15663390663390661</v>
      </c>
      <c r="V822" s="37">
        <v>0.63</v>
      </c>
      <c r="W822" s="37">
        <v>1.1951536213941201</v>
      </c>
      <c r="X822" s="35" t="s">
        <v>6</v>
      </c>
      <c r="Y822" s="23" t="s">
        <v>6</v>
      </c>
      <c r="Z822" s="21" t="s">
        <v>6</v>
      </c>
      <c r="AA822" s="35" t="s">
        <v>6</v>
      </c>
      <c r="AB822" s="35" t="s">
        <v>6</v>
      </c>
      <c r="AC822" s="27" t="s">
        <v>162</v>
      </c>
    </row>
    <row r="823" spans="1:29">
      <c r="A823" s="48" t="s">
        <v>91</v>
      </c>
      <c r="B823" s="35" t="s">
        <v>180</v>
      </c>
      <c r="C823" s="35" t="s">
        <v>60</v>
      </c>
      <c r="D823" s="36">
        <v>600</v>
      </c>
      <c r="E823" s="12">
        <v>70.67</v>
      </c>
      <c r="F823" s="21">
        <v>16.28</v>
      </c>
      <c r="G823" s="35">
        <v>0</v>
      </c>
      <c r="H823" s="35">
        <v>0</v>
      </c>
      <c r="I823" s="35">
        <v>0</v>
      </c>
      <c r="J823" s="35">
        <v>0</v>
      </c>
      <c r="K823" s="35">
        <v>0</v>
      </c>
      <c r="L823" s="36">
        <v>557.87</v>
      </c>
      <c r="M823" s="35">
        <v>2.82</v>
      </c>
      <c r="N823" s="21">
        <v>33.229999999999997</v>
      </c>
      <c r="O823" s="12">
        <v>0</v>
      </c>
      <c r="P823" s="35">
        <v>95</v>
      </c>
      <c r="Q823" s="35">
        <v>100</v>
      </c>
      <c r="R823" s="35" t="s">
        <v>1</v>
      </c>
      <c r="S823" s="35">
        <v>25</v>
      </c>
      <c r="T823" s="35">
        <v>2.67</v>
      </c>
      <c r="U823" s="21">
        <f t="shared" si="51"/>
        <v>0.16400491400491399</v>
      </c>
      <c r="V823" s="37" t="s">
        <v>6</v>
      </c>
      <c r="W823" s="37" t="s">
        <v>6</v>
      </c>
      <c r="X823" s="35" t="s">
        <v>6</v>
      </c>
      <c r="Y823" s="23" t="s">
        <v>6</v>
      </c>
      <c r="Z823" s="21" t="s">
        <v>6</v>
      </c>
      <c r="AA823" s="35" t="s">
        <v>6</v>
      </c>
      <c r="AB823" s="35" t="s">
        <v>6</v>
      </c>
      <c r="AC823" s="27" t="s">
        <v>162</v>
      </c>
    </row>
    <row r="824" spans="1:29">
      <c r="A824" s="48" t="s">
        <v>90</v>
      </c>
      <c r="B824" s="35" t="s">
        <v>180</v>
      </c>
      <c r="C824" s="35" t="s">
        <v>60</v>
      </c>
      <c r="D824" s="36">
        <v>600</v>
      </c>
      <c r="E824" s="12">
        <v>70.67</v>
      </c>
      <c r="F824" s="21">
        <v>16.28</v>
      </c>
      <c r="G824" s="35">
        <v>0</v>
      </c>
      <c r="H824" s="35">
        <v>0</v>
      </c>
      <c r="I824" s="35">
        <v>0</v>
      </c>
      <c r="J824" s="35">
        <v>0</v>
      </c>
      <c r="K824" s="35">
        <v>0</v>
      </c>
      <c r="L824" s="36">
        <v>557.87</v>
      </c>
      <c r="M824" s="35">
        <v>2.82</v>
      </c>
      <c r="N824" s="21">
        <v>33.229999999999997</v>
      </c>
      <c r="O824" s="12">
        <v>0</v>
      </c>
      <c r="P824" s="35">
        <v>95</v>
      </c>
      <c r="Q824" s="35">
        <v>100</v>
      </c>
      <c r="R824" s="35" t="s">
        <v>1</v>
      </c>
      <c r="S824" s="35">
        <v>40</v>
      </c>
      <c r="T824" s="35">
        <v>3.41</v>
      </c>
      <c r="U824" s="21">
        <f t="shared" si="51"/>
        <v>0.20945945945945946</v>
      </c>
      <c r="V824" s="37" t="s">
        <v>6</v>
      </c>
      <c r="W824" s="37" t="s">
        <v>6</v>
      </c>
      <c r="X824" s="35" t="s">
        <v>6</v>
      </c>
      <c r="Y824" s="23" t="s">
        <v>6</v>
      </c>
      <c r="Z824" s="21" t="s">
        <v>6</v>
      </c>
      <c r="AA824" s="35" t="s">
        <v>6</v>
      </c>
      <c r="AB824" s="35" t="s">
        <v>6</v>
      </c>
      <c r="AC824" s="27" t="s">
        <v>162</v>
      </c>
    </row>
    <row r="825" spans="1:29">
      <c r="A825" s="48" t="s">
        <v>90</v>
      </c>
      <c r="B825" s="35" t="s">
        <v>180</v>
      </c>
      <c r="C825" s="35" t="s">
        <v>60</v>
      </c>
      <c r="D825" s="36">
        <v>600</v>
      </c>
      <c r="E825" s="12">
        <v>70.67</v>
      </c>
      <c r="F825" s="21">
        <v>16.28</v>
      </c>
      <c r="G825" s="35">
        <v>0</v>
      </c>
      <c r="H825" s="35">
        <v>0</v>
      </c>
      <c r="I825" s="35">
        <v>0</v>
      </c>
      <c r="J825" s="35">
        <v>0</v>
      </c>
      <c r="K825" s="35">
        <v>0</v>
      </c>
      <c r="L825" s="36">
        <v>557.87</v>
      </c>
      <c r="M825" s="35">
        <v>2.82</v>
      </c>
      <c r="N825" s="21">
        <v>33.229999999999997</v>
      </c>
      <c r="O825" s="12">
        <v>0</v>
      </c>
      <c r="P825" s="35">
        <v>95</v>
      </c>
      <c r="Q825" s="35">
        <v>100</v>
      </c>
      <c r="R825" s="35" t="s">
        <v>1</v>
      </c>
      <c r="S825" s="35">
        <v>60</v>
      </c>
      <c r="T825" s="35">
        <v>4.24</v>
      </c>
      <c r="U825" s="21">
        <f t="shared" si="51"/>
        <v>0.26044226044226043</v>
      </c>
      <c r="V825" s="37" t="s">
        <v>6</v>
      </c>
      <c r="W825" s="37" t="s">
        <v>6</v>
      </c>
      <c r="X825" s="35" t="s">
        <v>6</v>
      </c>
      <c r="Y825" s="23" t="s">
        <v>6</v>
      </c>
      <c r="Z825" s="21" t="s">
        <v>6</v>
      </c>
      <c r="AA825" s="35" t="s">
        <v>6</v>
      </c>
      <c r="AB825" s="35" t="s">
        <v>6</v>
      </c>
      <c r="AC825" s="27" t="s">
        <v>162</v>
      </c>
    </row>
    <row r="826" spans="1:29">
      <c r="A826" s="48" t="s">
        <v>91</v>
      </c>
      <c r="B826" s="35" t="s">
        <v>180</v>
      </c>
      <c r="C826" s="35" t="s">
        <v>60</v>
      </c>
      <c r="D826" s="36">
        <v>600</v>
      </c>
      <c r="E826" s="12">
        <v>70.67</v>
      </c>
      <c r="F826" s="21">
        <v>16.28</v>
      </c>
      <c r="G826" s="35">
        <v>0</v>
      </c>
      <c r="H826" s="35">
        <v>0</v>
      </c>
      <c r="I826" s="35">
        <v>0</v>
      </c>
      <c r="J826" s="35">
        <v>0</v>
      </c>
      <c r="K826" s="35">
        <v>0</v>
      </c>
      <c r="L826" s="36">
        <v>557.87</v>
      </c>
      <c r="M826" s="35">
        <v>2.82</v>
      </c>
      <c r="N826" s="21">
        <v>33.229999999999997</v>
      </c>
      <c r="O826" s="12">
        <v>0</v>
      </c>
      <c r="P826" s="35">
        <v>95</v>
      </c>
      <c r="Q826" s="35">
        <v>100</v>
      </c>
      <c r="R826" s="35" t="s">
        <v>1</v>
      </c>
      <c r="S826" s="35">
        <v>75</v>
      </c>
      <c r="T826" s="35">
        <v>5.16</v>
      </c>
      <c r="U826" s="21">
        <f t="shared" si="51"/>
        <v>0.31695331695331697</v>
      </c>
      <c r="V826" s="37" t="s">
        <v>6</v>
      </c>
      <c r="W826" s="37" t="s">
        <v>6</v>
      </c>
      <c r="X826" s="35" t="s">
        <v>6</v>
      </c>
      <c r="Y826" s="23" t="s">
        <v>6</v>
      </c>
      <c r="Z826" s="21" t="s">
        <v>6</v>
      </c>
      <c r="AA826" s="35" t="s">
        <v>6</v>
      </c>
      <c r="AB826" s="35" t="s">
        <v>6</v>
      </c>
      <c r="AC826" s="27" t="s">
        <v>162</v>
      </c>
    </row>
    <row r="827" spans="1:29">
      <c r="A827" s="48" t="s">
        <v>90</v>
      </c>
      <c r="B827" s="35" t="s">
        <v>180</v>
      </c>
      <c r="C827" s="35" t="s">
        <v>60</v>
      </c>
      <c r="D827" s="36">
        <v>600</v>
      </c>
      <c r="E827" s="12">
        <v>70.67</v>
      </c>
      <c r="F827" s="21">
        <v>16.28</v>
      </c>
      <c r="G827" s="35">
        <v>0</v>
      </c>
      <c r="H827" s="35">
        <v>0</v>
      </c>
      <c r="I827" s="35">
        <v>0</v>
      </c>
      <c r="J827" s="35">
        <v>0</v>
      </c>
      <c r="K827" s="35">
        <v>0</v>
      </c>
      <c r="L827" s="36">
        <v>557.87</v>
      </c>
      <c r="M827" s="35">
        <v>2.82</v>
      </c>
      <c r="N827" s="21">
        <v>33.229999999999997</v>
      </c>
      <c r="O827" s="12">
        <v>0</v>
      </c>
      <c r="P827" s="35">
        <v>95</v>
      </c>
      <c r="Q827" s="35">
        <v>100</v>
      </c>
      <c r="R827" s="35" t="s">
        <v>1</v>
      </c>
      <c r="S827" s="35">
        <v>90</v>
      </c>
      <c r="T827" s="35">
        <v>5.13</v>
      </c>
      <c r="U827" s="21">
        <f t="shared" si="51"/>
        <v>0.31511056511056507</v>
      </c>
      <c r="V827" s="37" t="s">
        <v>6</v>
      </c>
      <c r="W827" s="37" t="s">
        <v>6</v>
      </c>
      <c r="X827" s="35" t="s">
        <v>6</v>
      </c>
      <c r="Y827" s="23" t="s">
        <v>6</v>
      </c>
      <c r="Z827" s="21" t="s">
        <v>6</v>
      </c>
      <c r="AA827" s="35" t="s">
        <v>6</v>
      </c>
      <c r="AB827" s="35" t="s">
        <v>6</v>
      </c>
      <c r="AC827" s="60" t="s">
        <v>162</v>
      </c>
    </row>
    <row r="828" spans="1:29" ht="16.8" customHeight="1">
      <c r="A828" s="48" t="s">
        <v>91</v>
      </c>
      <c r="B828" s="35" t="s">
        <v>180</v>
      </c>
      <c r="C828" s="49" t="s">
        <v>169</v>
      </c>
      <c r="D828" s="36">
        <v>537</v>
      </c>
      <c r="E828" s="12">
        <v>50</v>
      </c>
      <c r="F828" s="21">
        <v>9.1357142857142861</v>
      </c>
      <c r="G828" s="35">
        <v>0</v>
      </c>
      <c r="H828" s="35">
        <v>0</v>
      </c>
      <c r="I828" s="35">
        <v>0</v>
      </c>
      <c r="J828" s="35">
        <v>0</v>
      </c>
      <c r="K828" s="35">
        <v>0</v>
      </c>
      <c r="L828" s="36">
        <v>562</v>
      </c>
      <c r="M828" s="35">
        <v>2.31</v>
      </c>
      <c r="N828" s="21">
        <v>22</v>
      </c>
      <c r="O828" s="12">
        <v>0</v>
      </c>
      <c r="P828" s="35">
        <v>100</v>
      </c>
      <c r="Q828" s="35">
        <v>100</v>
      </c>
      <c r="R828" s="35">
        <v>60</v>
      </c>
      <c r="S828" s="35">
        <v>75</v>
      </c>
      <c r="T828" s="21">
        <f>13.08/44.01*10</f>
        <v>2.9720518064076344</v>
      </c>
      <c r="U828" s="21">
        <v>0.33</v>
      </c>
      <c r="V828" s="37">
        <v>0.77586206896551602</v>
      </c>
      <c r="W828" s="37">
        <v>9.3103448275861407</v>
      </c>
      <c r="X828" s="35">
        <v>110</v>
      </c>
      <c r="Y828" s="23">
        <v>2.5299999999999998</v>
      </c>
      <c r="Z828" s="21">
        <v>3.39</v>
      </c>
      <c r="AA828" s="35">
        <v>10</v>
      </c>
      <c r="AB828" s="35" t="s">
        <v>6</v>
      </c>
      <c r="AC828" s="1" t="s">
        <v>163</v>
      </c>
    </row>
    <row r="829" spans="1:29">
      <c r="A829" s="48" t="s">
        <v>91</v>
      </c>
      <c r="B829" s="35" t="s">
        <v>187</v>
      </c>
      <c r="C829" s="35" t="s">
        <v>164</v>
      </c>
      <c r="D829" s="36">
        <f>537+((537/489)*K829*73.12)</f>
        <v>545.02974233128839</v>
      </c>
      <c r="E829" s="12">
        <v>50</v>
      </c>
      <c r="F829" s="21">
        <v>8.4428571428571431</v>
      </c>
      <c r="G829" s="35">
        <v>0</v>
      </c>
      <c r="H829" s="35">
        <v>0</v>
      </c>
      <c r="I829" s="35">
        <v>0</v>
      </c>
      <c r="J829" s="35">
        <v>0</v>
      </c>
      <c r="K829" s="35">
        <v>0.1</v>
      </c>
      <c r="L829" s="36">
        <v>562</v>
      </c>
      <c r="M829" s="35">
        <v>2.31</v>
      </c>
      <c r="N829" s="21">
        <v>22</v>
      </c>
      <c r="O829" s="12">
        <v>0</v>
      </c>
      <c r="P829" s="35">
        <v>100</v>
      </c>
      <c r="Q829" s="35">
        <v>100</v>
      </c>
      <c r="R829" s="35">
        <v>60</v>
      </c>
      <c r="S829" s="35">
        <v>75</v>
      </c>
      <c r="T829" s="21">
        <f>13.91/44.01*10</f>
        <v>3.1606453078845718</v>
      </c>
      <c r="U829" s="21">
        <v>0.37</v>
      </c>
      <c r="V829" s="37">
        <v>0.77586206896551602</v>
      </c>
      <c r="W829" s="37">
        <v>13.2327586206895</v>
      </c>
      <c r="X829" s="35">
        <v>110</v>
      </c>
      <c r="Y829" s="23">
        <v>1.04</v>
      </c>
      <c r="Z829" s="21">
        <v>0</v>
      </c>
      <c r="AA829" s="35">
        <v>10</v>
      </c>
      <c r="AB829" s="35" t="s">
        <v>6</v>
      </c>
      <c r="AC829" s="1" t="s">
        <v>175</v>
      </c>
    </row>
    <row r="830" spans="1:29">
      <c r="A830" s="48" t="s">
        <v>91</v>
      </c>
      <c r="B830" s="35" t="s">
        <v>187</v>
      </c>
      <c r="C830" s="35" t="s">
        <v>165</v>
      </c>
      <c r="D830" s="36">
        <f t="shared" ref="D830:D834" si="52">537+((537/489)*K830*73.12)</f>
        <v>553.05948466257666</v>
      </c>
      <c r="E830" s="12">
        <v>50</v>
      </c>
      <c r="F830" s="21">
        <v>6.4857142857142867</v>
      </c>
      <c r="G830" s="35">
        <v>0</v>
      </c>
      <c r="H830" s="35">
        <v>0</v>
      </c>
      <c r="I830" s="35">
        <v>0</v>
      </c>
      <c r="J830" s="35">
        <v>0</v>
      </c>
      <c r="K830" s="35">
        <v>0.2</v>
      </c>
      <c r="L830" s="36">
        <v>562</v>
      </c>
      <c r="M830" s="35">
        <v>2.31</v>
      </c>
      <c r="N830" s="21">
        <v>22</v>
      </c>
      <c r="O830" s="12">
        <v>0</v>
      </c>
      <c r="P830" s="35">
        <v>100</v>
      </c>
      <c r="Q830" s="35">
        <v>100</v>
      </c>
      <c r="R830" s="35">
        <v>60</v>
      </c>
      <c r="S830" s="35">
        <v>75</v>
      </c>
      <c r="T830" s="21">
        <f>10.15/44.01*10</f>
        <v>2.3062940240854353</v>
      </c>
      <c r="U830" s="21">
        <v>0.36</v>
      </c>
      <c r="V830" s="37">
        <v>0.77586206896551602</v>
      </c>
      <c r="W830" s="37">
        <v>4.8275862068965401</v>
      </c>
      <c r="X830" s="35" t="s">
        <v>6</v>
      </c>
      <c r="Y830" s="23" t="s">
        <v>6</v>
      </c>
      <c r="Z830" s="21" t="s">
        <v>6</v>
      </c>
      <c r="AA830" s="35" t="s">
        <v>6</v>
      </c>
      <c r="AB830" s="35" t="s">
        <v>6</v>
      </c>
      <c r="AC830" s="1" t="s">
        <v>175</v>
      </c>
    </row>
    <row r="831" spans="1:29">
      <c r="A831" s="48" t="s">
        <v>91</v>
      </c>
      <c r="B831" s="35" t="s">
        <v>187</v>
      </c>
      <c r="C831" s="49" t="s">
        <v>166</v>
      </c>
      <c r="D831" s="36">
        <f t="shared" si="52"/>
        <v>561.08922699386505</v>
      </c>
      <c r="E831" s="12">
        <v>50</v>
      </c>
      <c r="F831" s="21">
        <v>6.4357142857142859</v>
      </c>
      <c r="G831" s="35">
        <v>0</v>
      </c>
      <c r="H831" s="35">
        <v>0</v>
      </c>
      <c r="I831" s="35">
        <v>0</v>
      </c>
      <c r="J831" s="35">
        <v>0</v>
      </c>
      <c r="K831" s="35">
        <v>0.3</v>
      </c>
      <c r="L831" s="36">
        <v>562</v>
      </c>
      <c r="M831" s="35">
        <v>2.31</v>
      </c>
      <c r="N831" s="21">
        <v>22</v>
      </c>
      <c r="O831" s="12">
        <v>0</v>
      </c>
      <c r="P831" s="35">
        <v>100</v>
      </c>
      <c r="Q831" s="35">
        <v>100</v>
      </c>
      <c r="R831" s="35">
        <v>60</v>
      </c>
      <c r="S831" s="35">
        <v>75</v>
      </c>
      <c r="T831" s="23">
        <f>7.1/44.01*10</f>
        <v>1.6132697114292205</v>
      </c>
      <c r="U831" s="21">
        <v>0.25</v>
      </c>
      <c r="V831" s="37">
        <v>0.77586206896551602</v>
      </c>
      <c r="W831" s="37">
        <v>2.8448275862068999</v>
      </c>
      <c r="X831" s="35">
        <v>110</v>
      </c>
      <c r="Y831" s="23">
        <v>0.16</v>
      </c>
      <c r="Z831" s="21">
        <v>0</v>
      </c>
      <c r="AA831" s="35">
        <v>10</v>
      </c>
      <c r="AB831" s="35" t="s">
        <v>6</v>
      </c>
      <c r="AC831" s="27" t="s">
        <v>163</v>
      </c>
    </row>
    <row r="832" spans="1:29" ht="14.55" customHeight="1">
      <c r="A832" s="48" t="s">
        <v>91</v>
      </c>
      <c r="B832" s="35" t="s">
        <v>187</v>
      </c>
      <c r="C832" s="35" t="s">
        <v>167</v>
      </c>
      <c r="D832" s="36">
        <f t="shared" si="52"/>
        <v>577.14871165644172</v>
      </c>
      <c r="E832" s="12">
        <v>50</v>
      </c>
      <c r="F832" s="21">
        <v>5.4357142857142859</v>
      </c>
      <c r="G832" s="35">
        <v>0</v>
      </c>
      <c r="H832" s="35">
        <v>0</v>
      </c>
      <c r="I832" s="35">
        <v>0</v>
      </c>
      <c r="J832" s="35">
        <v>0</v>
      </c>
      <c r="K832" s="35">
        <v>0.5</v>
      </c>
      <c r="L832" s="36">
        <v>562</v>
      </c>
      <c r="M832" s="35">
        <v>2.31</v>
      </c>
      <c r="N832" s="21">
        <v>22</v>
      </c>
      <c r="O832" s="12">
        <v>0</v>
      </c>
      <c r="P832" s="35">
        <v>100</v>
      </c>
      <c r="Q832" s="35">
        <v>100</v>
      </c>
      <c r="R832" s="35">
        <v>60</v>
      </c>
      <c r="S832" s="35">
        <v>75</v>
      </c>
      <c r="T832" s="23">
        <f>3.66/44.01*10</f>
        <v>0.83162917518745738</v>
      </c>
      <c r="U832" s="21">
        <v>0.15</v>
      </c>
      <c r="V832" s="37">
        <v>1.1206896551724099</v>
      </c>
      <c r="W832" s="37">
        <v>27.155172413793501</v>
      </c>
      <c r="X832" s="35" t="s">
        <v>6</v>
      </c>
      <c r="Y832" s="23" t="s">
        <v>6</v>
      </c>
      <c r="Z832" s="21" t="s">
        <v>6</v>
      </c>
      <c r="AA832" s="35" t="s">
        <v>6</v>
      </c>
      <c r="AB832" s="35" t="s">
        <v>6</v>
      </c>
      <c r="AC832" s="1" t="s">
        <v>163</v>
      </c>
    </row>
    <row r="833" spans="1:29">
      <c r="A833" s="48" t="s">
        <v>91</v>
      </c>
      <c r="B833" s="35" t="s">
        <v>187</v>
      </c>
      <c r="C833" s="35" t="s">
        <v>168</v>
      </c>
      <c r="D833" s="36">
        <f t="shared" si="52"/>
        <v>593.20819631901838</v>
      </c>
      <c r="E833" s="12">
        <v>50</v>
      </c>
      <c r="F833" s="21">
        <v>5.0928571428571425</v>
      </c>
      <c r="G833" s="35">
        <v>0</v>
      </c>
      <c r="H833" s="35">
        <v>0</v>
      </c>
      <c r="I833" s="35">
        <v>0</v>
      </c>
      <c r="J833" s="35">
        <v>0</v>
      </c>
      <c r="K833" s="35">
        <v>0.7</v>
      </c>
      <c r="L833" s="36">
        <v>562</v>
      </c>
      <c r="M833" s="35">
        <v>2.31</v>
      </c>
      <c r="N833" s="21">
        <v>22</v>
      </c>
      <c r="O833" s="12">
        <v>0</v>
      </c>
      <c r="P833" s="35">
        <v>100</v>
      </c>
      <c r="Q833" s="35">
        <v>100</v>
      </c>
      <c r="R833" s="35">
        <v>60</v>
      </c>
      <c r="S833" s="35">
        <v>75</v>
      </c>
      <c r="T833" s="23">
        <f>1.31/44.01*10</f>
        <v>0.29765962281299707</v>
      </c>
      <c r="U833" s="21">
        <v>0.06</v>
      </c>
      <c r="V833" s="37">
        <v>8.8793103448274895</v>
      </c>
      <c r="W833" s="37">
        <v>36.336206896551801</v>
      </c>
      <c r="X833" s="35" t="s">
        <v>6</v>
      </c>
      <c r="Y833" s="23" t="s">
        <v>6</v>
      </c>
      <c r="Z833" s="21" t="s">
        <v>6</v>
      </c>
      <c r="AA833" s="35" t="s">
        <v>6</v>
      </c>
      <c r="AB833" s="35" t="s">
        <v>6</v>
      </c>
      <c r="AC833" s="27" t="s">
        <v>163</v>
      </c>
    </row>
    <row r="834" spans="1:29">
      <c r="A834" s="48" t="s">
        <v>91</v>
      </c>
      <c r="B834" s="35" t="s">
        <v>187</v>
      </c>
      <c r="C834" s="49" t="s">
        <v>256</v>
      </c>
      <c r="D834" s="36">
        <f t="shared" si="52"/>
        <v>617.29742331288344</v>
      </c>
      <c r="E834" s="12">
        <v>50</v>
      </c>
      <c r="F834" s="21">
        <v>4.9285714285714288</v>
      </c>
      <c r="G834" s="35">
        <v>0</v>
      </c>
      <c r="H834" s="35">
        <v>0</v>
      </c>
      <c r="I834" s="35">
        <v>0</v>
      </c>
      <c r="J834" s="35">
        <v>0</v>
      </c>
      <c r="K834" s="35">
        <v>1</v>
      </c>
      <c r="L834" s="36">
        <v>562</v>
      </c>
      <c r="M834" s="35">
        <v>2.31</v>
      </c>
      <c r="N834" s="21">
        <v>22</v>
      </c>
      <c r="O834" s="12">
        <v>0</v>
      </c>
      <c r="P834" s="35">
        <v>100</v>
      </c>
      <c r="Q834" s="35">
        <v>100</v>
      </c>
      <c r="R834" s="35">
        <v>60</v>
      </c>
      <c r="S834" s="35">
        <v>75</v>
      </c>
      <c r="T834" s="23">
        <f>0.48/44.01*10</f>
        <v>0.10906612133605999</v>
      </c>
      <c r="U834" s="21">
        <v>0.02</v>
      </c>
      <c r="V834" s="37" t="s">
        <v>1</v>
      </c>
      <c r="W834" s="37" t="s">
        <v>1</v>
      </c>
      <c r="X834" s="35" t="s">
        <v>1</v>
      </c>
      <c r="Y834" s="23" t="s">
        <v>6</v>
      </c>
      <c r="Z834" s="21" t="s">
        <v>6</v>
      </c>
      <c r="AA834" s="35" t="s">
        <v>6</v>
      </c>
      <c r="AB834" s="35" t="s">
        <v>6</v>
      </c>
      <c r="AC834" s="2" t="s">
        <v>163</v>
      </c>
    </row>
    <row r="835" spans="1:29">
      <c r="A835" s="48" t="s">
        <v>90</v>
      </c>
      <c r="B835" s="35" t="s">
        <v>3</v>
      </c>
      <c r="C835" s="35" t="s">
        <v>65</v>
      </c>
      <c r="D835" s="36">
        <v>189</v>
      </c>
      <c r="E835" s="12">
        <v>70</v>
      </c>
      <c r="F835" s="21">
        <v>15.16</v>
      </c>
      <c r="G835" s="35">
        <v>0</v>
      </c>
      <c r="H835" s="35">
        <v>0</v>
      </c>
      <c r="I835" s="35">
        <v>0</v>
      </c>
      <c r="J835" s="35">
        <v>0</v>
      </c>
      <c r="K835" s="35">
        <v>0</v>
      </c>
      <c r="L835" s="36">
        <v>272</v>
      </c>
      <c r="M835" s="37">
        <v>1.54</v>
      </c>
      <c r="N835" s="21">
        <v>27.8</v>
      </c>
      <c r="O835" s="12">
        <v>0</v>
      </c>
      <c r="P835" s="35">
        <v>100</v>
      </c>
      <c r="Q835" s="35">
        <v>70</v>
      </c>
      <c r="R835" s="35">
        <v>120</v>
      </c>
      <c r="S835" s="35">
        <v>40</v>
      </c>
      <c r="T835" s="35">
        <v>4.17</v>
      </c>
      <c r="U835" s="21">
        <v>0.28000000000000003</v>
      </c>
      <c r="V835" s="37">
        <v>2.44</v>
      </c>
      <c r="W835" s="37">
        <v>3.75</v>
      </c>
      <c r="X835" s="35" t="s">
        <v>6</v>
      </c>
      <c r="Y835" s="23" t="s">
        <v>6</v>
      </c>
      <c r="Z835" s="21" t="s">
        <v>6</v>
      </c>
      <c r="AA835" s="35" t="s">
        <v>6</v>
      </c>
      <c r="AB835" s="35">
        <v>104</v>
      </c>
      <c r="AC835" s="27" t="s">
        <v>170</v>
      </c>
    </row>
    <row r="836" spans="1:29">
      <c r="A836" s="48" t="s">
        <v>90</v>
      </c>
      <c r="B836" s="35" t="s">
        <v>3</v>
      </c>
      <c r="C836" s="35" t="s">
        <v>65</v>
      </c>
      <c r="D836" s="36">
        <v>189</v>
      </c>
      <c r="E836" s="12">
        <v>70</v>
      </c>
      <c r="F836" s="21">
        <v>14.75</v>
      </c>
      <c r="G836" s="35" t="s">
        <v>55</v>
      </c>
      <c r="H836" s="35">
        <v>0</v>
      </c>
      <c r="I836" s="21">
        <f>10/60</f>
        <v>0.16666666666666666</v>
      </c>
      <c r="J836" s="35">
        <v>0</v>
      </c>
      <c r="K836" s="21">
        <f t="shared" ref="K836:K839" si="53">(10%*2*1000/105.14)/F836</f>
        <v>0.12896444772587318</v>
      </c>
      <c r="L836" s="36">
        <v>272</v>
      </c>
      <c r="M836" s="37">
        <v>1.54</v>
      </c>
      <c r="N836" s="21">
        <v>27.8</v>
      </c>
      <c r="O836" s="12">
        <v>0</v>
      </c>
      <c r="P836" s="35">
        <v>100</v>
      </c>
      <c r="Q836" s="35">
        <v>70</v>
      </c>
      <c r="R836" s="35">
        <v>120</v>
      </c>
      <c r="S836" s="35">
        <v>40</v>
      </c>
      <c r="T836" s="35">
        <v>4.42</v>
      </c>
      <c r="U836" s="21">
        <v>0.3</v>
      </c>
      <c r="V836" s="37" t="s">
        <v>6</v>
      </c>
      <c r="W836" s="37" t="s">
        <v>6</v>
      </c>
      <c r="X836" s="35" t="s">
        <v>6</v>
      </c>
      <c r="Y836" s="23" t="s">
        <v>6</v>
      </c>
      <c r="Z836" s="21" t="s">
        <v>6</v>
      </c>
      <c r="AA836" s="35" t="s">
        <v>6</v>
      </c>
      <c r="AB836" s="35">
        <v>96</v>
      </c>
      <c r="AC836" s="1" t="s">
        <v>195</v>
      </c>
    </row>
    <row r="837" spans="1:29">
      <c r="A837" s="48" t="s">
        <v>90</v>
      </c>
      <c r="B837" s="35" t="s">
        <v>3</v>
      </c>
      <c r="C837" s="35" t="s">
        <v>65</v>
      </c>
      <c r="D837" s="36">
        <v>189</v>
      </c>
      <c r="E837" s="12">
        <v>70</v>
      </c>
      <c r="F837" s="21">
        <v>13.89</v>
      </c>
      <c r="G837" s="35" t="s">
        <v>55</v>
      </c>
      <c r="H837" s="35">
        <v>0</v>
      </c>
      <c r="I837" s="21">
        <f>20/50</f>
        <v>0.4</v>
      </c>
      <c r="J837" s="35">
        <v>0</v>
      </c>
      <c r="K837" s="21">
        <f t="shared" si="53"/>
        <v>0.13694928754187394</v>
      </c>
      <c r="L837" s="36">
        <v>272</v>
      </c>
      <c r="M837" s="37">
        <v>1.54</v>
      </c>
      <c r="N837" s="21">
        <v>27.8</v>
      </c>
      <c r="O837" s="12">
        <v>0</v>
      </c>
      <c r="P837" s="35">
        <v>100</v>
      </c>
      <c r="Q837" s="35">
        <v>70</v>
      </c>
      <c r="R837" s="35">
        <v>120</v>
      </c>
      <c r="S837" s="35">
        <v>40</v>
      </c>
      <c r="T837" s="35">
        <v>5.12</v>
      </c>
      <c r="U837" s="21">
        <v>0.37</v>
      </c>
      <c r="V837" s="37" t="s">
        <v>6</v>
      </c>
      <c r="W837" s="37" t="s">
        <v>6</v>
      </c>
      <c r="X837" s="35" t="s">
        <v>6</v>
      </c>
      <c r="Y837" s="23" t="s">
        <v>6</v>
      </c>
      <c r="Z837" s="21" t="s">
        <v>6</v>
      </c>
      <c r="AA837" s="35" t="s">
        <v>6</v>
      </c>
      <c r="AB837" s="35">
        <v>81</v>
      </c>
      <c r="AC837" s="27" t="s">
        <v>170</v>
      </c>
    </row>
    <row r="838" spans="1:29">
      <c r="A838" s="48" t="s">
        <v>90</v>
      </c>
      <c r="B838" s="35" t="s">
        <v>3</v>
      </c>
      <c r="C838" s="35" t="s">
        <v>65</v>
      </c>
      <c r="D838" s="36">
        <v>189</v>
      </c>
      <c r="E838" s="12">
        <v>70</v>
      </c>
      <c r="F838" s="21">
        <v>11.95</v>
      </c>
      <c r="G838" s="35" t="s">
        <v>55</v>
      </c>
      <c r="H838" s="35">
        <v>0</v>
      </c>
      <c r="I838" s="21">
        <f>30/40</f>
        <v>0.75</v>
      </c>
      <c r="J838" s="35">
        <v>0</v>
      </c>
      <c r="K838" s="21">
        <f>(10%*2*1000/105.14)/F838</f>
        <v>0.15918205890850454</v>
      </c>
      <c r="L838" s="36">
        <v>272</v>
      </c>
      <c r="M838" s="37">
        <v>1.54</v>
      </c>
      <c r="N838" s="21">
        <v>27.8</v>
      </c>
      <c r="O838" s="12">
        <v>0</v>
      </c>
      <c r="P838" s="35">
        <v>100</v>
      </c>
      <c r="Q838" s="35">
        <v>70</v>
      </c>
      <c r="R838" s="35">
        <v>120</v>
      </c>
      <c r="S838" s="35">
        <v>40</v>
      </c>
      <c r="T838" s="35">
        <v>5.62</v>
      </c>
      <c r="U838" s="21">
        <v>0.47</v>
      </c>
      <c r="V838" s="37">
        <v>2.44</v>
      </c>
      <c r="W838" s="37">
        <v>5.05</v>
      </c>
      <c r="X838" s="35" t="s">
        <v>6</v>
      </c>
      <c r="Y838" s="23" t="s">
        <v>6</v>
      </c>
      <c r="Z838" s="21" t="s">
        <v>6</v>
      </c>
      <c r="AA838" s="35" t="s">
        <v>6</v>
      </c>
      <c r="AB838" s="35">
        <v>80</v>
      </c>
      <c r="AC838" s="27" t="s">
        <v>170</v>
      </c>
    </row>
    <row r="839" spans="1:29">
      <c r="A839" s="48" t="s">
        <v>90</v>
      </c>
      <c r="B839" s="35" t="s">
        <v>3</v>
      </c>
      <c r="C839" s="35" t="s">
        <v>65</v>
      </c>
      <c r="D839" s="36">
        <v>189</v>
      </c>
      <c r="E839" s="12">
        <v>70</v>
      </c>
      <c r="F839" s="21">
        <v>11.03</v>
      </c>
      <c r="G839" s="35" t="s">
        <v>55</v>
      </c>
      <c r="H839" s="35">
        <v>0</v>
      </c>
      <c r="I839" s="21">
        <f>40/30</f>
        <v>1.3333333333333333</v>
      </c>
      <c r="J839" s="35">
        <v>0</v>
      </c>
      <c r="K839" s="21">
        <f t="shared" si="53"/>
        <v>0.17245925693169803</v>
      </c>
      <c r="L839" s="36">
        <v>272</v>
      </c>
      <c r="M839" s="37">
        <v>1.54</v>
      </c>
      <c r="N839" s="21">
        <v>27.8</v>
      </c>
      <c r="O839" s="12">
        <v>0</v>
      </c>
      <c r="P839" s="35">
        <v>100</v>
      </c>
      <c r="Q839" s="35">
        <v>70</v>
      </c>
      <c r="R839" s="35">
        <v>120</v>
      </c>
      <c r="S839" s="35">
        <v>40</v>
      </c>
      <c r="T839" s="35">
        <v>5.32</v>
      </c>
      <c r="U839" s="21">
        <v>0.48</v>
      </c>
      <c r="V839" s="37" t="s">
        <v>6</v>
      </c>
      <c r="W839" s="37" t="s">
        <v>6</v>
      </c>
      <c r="X839" s="35" t="s">
        <v>6</v>
      </c>
      <c r="Y839" s="23" t="s">
        <v>6</v>
      </c>
      <c r="Z839" s="21" t="s">
        <v>6</v>
      </c>
      <c r="AA839" s="35" t="s">
        <v>6</v>
      </c>
      <c r="AB839" s="35">
        <v>77</v>
      </c>
      <c r="AC839" s="27" t="s">
        <v>170</v>
      </c>
    </row>
    <row r="840" spans="1:29">
      <c r="A840" s="48" t="s">
        <v>90</v>
      </c>
      <c r="B840" s="35" t="s">
        <v>3</v>
      </c>
      <c r="C840" s="35" t="s">
        <v>65</v>
      </c>
      <c r="D840" s="36">
        <v>189</v>
      </c>
      <c r="E840" s="12">
        <v>70</v>
      </c>
      <c r="F840" s="21">
        <v>9.34</v>
      </c>
      <c r="G840" s="35" t="s">
        <v>55</v>
      </c>
      <c r="H840" s="35">
        <v>0</v>
      </c>
      <c r="I840" s="21">
        <v>2.5</v>
      </c>
      <c r="J840" s="35">
        <v>0</v>
      </c>
      <c r="K840" s="21">
        <f>(10%*2*1000/105.14)/F840</f>
        <v>0.2036644115585256</v>
      </c>
      <c r="L840" s="36">
        <v>272</v>
      </c>
      <c r="M840" s="37">
        <v>1.54</v>
      </c>
      <c r="N840" s="21">
        <v>27.8</v>
      </c>
      <c r="O840" s="12">
        <v>0</v>
      </c>
      <c r="P840" s="35">
        <v>100</v>
      </c>
      <c r="Q840" s="35">
        <v>70</v>
      </c>
      <c r="R840" s="35">
        <v>120</v>
      </c>
      <c r="S840" s="35">
        <v>40</v>
      </c>
      <c r="T840" s="35">
        <v>4.76</v>
      </c>
      <c r="U840" s="21">
        <v>0.51</v>
      </c>
      <c r="V840" s="37" t="s">
        <v>6</v>
      </c>
      <c r="W840" s="37" t="s">
        <v>6</v>
      </c>
      <c r="X840" s="35" t="s">
        <v>6</v>
      </c>
      <c r="Y840" s="23" t="s">
        <v>6</v>
      </c>
      <c r="Z840" s="21" t="s">
        <v>6</v>
      </c>
      <c r="AA840" s="35" t="s">
        <v>6</v>
      </c>
      <c r="AB840" s="35">
        <v>72</v>
      </c>
      <c r="AC840" s="27" t="s">
        <v>170</v>
      </c>
    </row>
    <row r="841" spans="1:29">
      <c r="A841" s="48" t="s">
        <v>90</v>
      </c>
      <c r="B841" s="35" t="s">
        <v>3</v>
      </c>
      <c r="C841" s="35" t="s">
        <v>65</v>
      </c>
      <c r="D841" s="36">
        <v>189</v>
      </c>
      <c r="E841" s="12">
        <v>70</v>
      </c>
      <c r="F841" s="21">
        <v>7.81</v>
      </c>
      <c r="G841" s="35" t="s">
        <v>55</v>
      </c>
      <c r="H841" s="35">
        <v>0</v>
      </c>
      <c r="I841" s="21">
        <v>6</v>
      </c>
      <c r="J841" s="35">
        <v>0</v>
      </c>
      <c r="K841" s="21">
        <f>(10%*2*1000/105.14)/F841</f>
        <v>0.24356281740801911</v>
      </c>
      <c r="L841" s="36">
        <v>272</v>
      </c>
      <c r="M841" s="37">
        <v>1.54</v>
      </c>
      <c r="N841" s="21">
        <v>27.8</v>
      </c>
      <c r="O841" s="12">
        <v>0</v>
      </c>
      <c r="P841" s="35">
        <v>100</v>
      </c>
      <c r="Q841" s="35">
        <v>70</v>
      </c>
      <c r="R841" s="35">
        <v>120</v>
      </c>
      <c r="S841" s="35">
        <v>40</v>
      </c>
      <c r="T841" s="35">
        <v>4.2</v>
      </c>
      <c r="U841" s="21">
        <v>0.54</v>
      </c>
      <c r="V841" s="37" t="s">
        <v>6</v>
      </c>
      <c r="W841" s="37" t="s">
        <v>6</v>
      </c>
      <c r="X841" s="35" t="s">
        <v>6</v>
      </c>
      <c r="Y841" s="23" t="s">
        <v>6</v>
      </c>
      <c r="Z841" s="21" t="s">
        <v>6</v>
      </c>
      <c r="AA841" s="35" t="s">
        <v>6</v>
      </c>
      <c r="AB841" s="35">
        <v>68</v>
      </c>
      <c r="AC841" s="27" t="s">
        <v>170</v>
      </c>
    </row>
    <row r="842" spans="1:29">
      <c r="A842" s="48" t="s">
        <v>90</v>
      </c>
      <c r="B842" s="35" t="s">
        <v>55</v>
      </c>
      <c r="C842" s="35" t="s">
        <v>171</v>
      </c>
      <c r="D842" s="36">
        <v>189</v>
      </c>
      <c r="E842" s="12">
        <v>70</v>
      </c>
      <c r="F842" s="21">
        <v>6.43</v>
      </c>
      <c r="G842" s="35">
        <v>0</v>
      </c>
      <c r="H842" s="35">
        <v>0</v>
      </c>
      <c r="I842" s="35">
        <v>0</v>
      </c>
      <c r="J842" s="35">
        <v>0</v>
      </c>
      <c r="K842" s="35">
        <v>0</v>
      </c>
      <c r="L842" s="36">
        <v>272</v>
      </c>
      <c r="M842" s="37">
        <v>1.54</v>
      </c>
      <c r="N842" s="21">
        <v>27.8</v>
      </c>
      <c r="O842" s="12">
        <v>0</v>
      </c>
      <c r="P842" s="35">
        <v>100</v>
      </c>
      <c r="Q842" s="35">
        <v>70</v>
      </c>
      <c r="R842" s="35">
        <v>120</v>
      </c>
      <c r="S842" s="35">
        <v>40</v>
      </c>
      <c r="T842" s="35">
        <v>3.38</v>
      </c>
      <c r="U842" s="21">
        <v>0.53</v>
      </c>
      <c r="V842" s="37">
        <v>2.44</v>
      </c>
      <c r="W842" s="37">
        <v>3.04</v>
      </c>
      <c r="X842" s="35" t="s">
        <v>6</v>
      </c>
      <c r="Y842" s="23" t="s">
        <v>6</v>
      </c>
      <c r="Z842" s="21" t="s">
        <v>6</v>
      </c>
      <c r="AA842" s="35" t="s">
        <v>6</v>
      </c>
      <c r="AB842" s="35">
        <v>68</v>
      </c>
      <c r="AC842" s="27" t="s">
        <v>170</v>
      </c>
    </row>
    <row r="843" spans="1:29">
      <c r="A843" s="48" t="s">
        <v>90</v>
      </c>
      <c r="B843" s="35" t="s">
        <v>3</v>
      </c>
      <c r="C843" s="35" t="s">
        <v>65</v>
      </c>
      <c r="D843" s="36">
        <v>189</v>
      </c>
      <c r="E843" s="12">
        <v>70</v>
      </c>
      <c r="F843" s="21">
        <v>15.16</v>
      </c>
      <c r="G843" s="35">
        <v>0</v>
      </c>
      <c r="H843" s="35">
        <v>0</v>
      </c>
      <c r="I843" s="35">
        <v>0</v>
      </c>
      <c r="J843" s="35">
        <v>0</v>
      </c>
      <c r="K843" s="35">
        <v>0</v>
      </c>
      <c r="L843" s="36">
        <v>272</v>
      </c>
      <c r="M843" s="37">
        <v>1.54</v>
      </c>
      <c r="N843" s="21">
        <v>27.8</v>
      </c>
      <c r="O843" s="12">
        <v>0</v>
      </c>
      <c r="P843" s="35">
        <v>100</v>
      </c>
      <c r="Q843" s="35">
        <v>70</v>
      </c>
      <c r="R843" s="35">
        <v>120</v>
      </c>
      <c r="S843" s="35">
        <v>20</v>
      </c>
      <c r="T843" s="21">
        <v>3.1217870284366902</v>
      </c>
      <c r="U843" s="21">
        <v>0.20578947368420999</v>
      </c>
      <c r="V843" s="37" t="s">
        <v>6</v>
      </c>
      <c r="W843" s="37" t="s">
        <v>6</v>
      </c>
      <c r="X843" s="35" t="s">
        <v>6</v>
      </c>
      <c r="Y843" s="23" t="s">
        <v>6</v>
      </c>
      <c r="Z843" s="21" t="s">
        <v>6</v>
      </c>
      <c r="AA843" s="35" t="s">
        <v>6</v>
      </c>
      <c r="AB843" s="35" t="s">
        <v>6</v>
      </c>
      <c r="AC843" s="27" t="s">
        <v>170</v>
      </c>
    </row>
    <row r="844" spans="1:29">
      <c r="A844" s="48" t="s">
        <v>90</v>
      </c>
      <c r="B844" s="35" t="s">
        <v>3</v>
      </c>
      <c r="C844" s="35" t="s">
        <v>65</v>
      </c>
      <c r="D844" s="36">
        <v>189</v>
      </c>
      <c r="E844" s="12">
        <v>70</v>
      </c>
      <c r="F844" s="21">
        <v>15.16</v>
      </c>
      <c r="G844" s="35">
        <v>0</v>
      </c>
      <c r="H844" s="35">
        <v>0</v>
      </c>
      <c r="I844" s="35">
        <v>0</v>
      </c>
      <c r="J844" s="35">
        <v>0</v>
      </c>
      <c r="K844" s="35">
        <v>0</v>
      </c>
      <c r="L844" s="36">
        <v>272</v>
      </c>
      <c r="M844" s="37">
        <v>1.54</v>
      </c>
      <c r="N844" s="21">
        <v>27.8</v>
      </c>
      <c r="O844" s="12">
        <v>0</v>
      </c>
      <c r="P844" s="35">
        <v>100</v>
      </c>
      <c r="Q844" s="35">
        <v>70</v>
      </c>
      <c r="R844" s="35">
        <v>120</v>
      </c>
      <c r="S844" s="35">
        <v>30</v>
      </c>
      <c r="T844" s="21">
        <v>3.5999883895398499</v>
      </c>
      <c r="U844" s="21">
        <v>0.23842105263157801</v>
      </c>
      <c r="V844" s="37" t="s">
        <v>6</v>
      </c>
      <c r="W844" s="37" t="s">
        <v>6</v>
      </c>
      <c r="X844" s="35" t="s">
        <v>6</v>
      </c>
      <c r="Y844" s="23" t="s">
        <v>6</v>
      </c>
      <c r="Z844" s="21" t="s">
        <v>6</v>
      </c>
      <c r="AA844" s="35" t="s">
        <v>6</v>
      </c>
      <c r="AB844" s="35" t="s">
        <v>6</v>
      </c>
      <c r="AC844" s="27" t="s">
        <v>170</v>
      </c>
    </row>
    <row r="845" spans="1:29">
      <c r="A845" s="48" t="s">
        <v>90</v>
      </c>
      <c r="B845" s="35" t="s">
        <v>3</v>
      </c>
      <c r="C845" s="35" t="s">
        <v>65</v>
      </c>
      <c r="D845" s="36">
        <v>189</v>
      </c>
      <c r="E845" s="12">
        <v>70</v>
      </c>
      <c r="F845" s="21">
        <v>15.16</v>
      </c>
      <c r="G845" s="35">
        <v>0</v>
      </c>
      <c r="H845" s="35">
        <v>0</v>
      </c>
      <c r="I845" s="35">
        <v>0</v>
      </c>
      <c r="J845" s="35">
        <v>0</v>
      </c>
      <c r="K845" s="35">
        <v>0</v>
      </c>
      <c r="L845" s="36">
        <v>272</v>
      </c>
      <c r="M845" s="37">
        <v>1.54</v>
      </c>
      <c r="N845" s="21">
        <v>27.8</v>
      </c>
      <c r="O845" s="12">
        <v>0</v>
      </c>
      <c r="P845" s="35">
        <v>100</v>
      </c>
      <c r="Q845" s="35">
        <v>70</v>
      </c>
      <c r="R845" s="35">
        <v>120</v>
      </c>
      <c r="S845" s="35">
        <v>40</v>
      </c>
      <c r="T845" s="21">
        <v>4.1487165975992797</v>
      </c>
      <c r="U845" s="21">
        <v>0.27315789473684199</v>
      </c>
      <c r="V845" s="37" t="s">
        <v>6</v>
      </c>
      <c r="W845" s="37" t="s">
        <v>6</v>
      </c>
      <c r="X845" s="35" t="s">
        <v>6</v>
      </c>
      <c r="Y845" s="23" t="s">
        <v>6</v>
      </c>
      <c r="Z845" s="21" t="s">
        <v>6</v>
      </c>
      <c r="AA845" s="35" t="s">
        <v>6</v>
      </c>
      <c r="AB845" s="35" t="s">
        <v>6</v>
      </c>
      <c r="AC845" s="27" t="s">
        <v>170</v>
      </c>
    </row>
    <row r="846" spans="1:29">
      <c r="A846" s="48" t="s">
        <v>90</v>
      </c>
      <c r="B846" s="35" t="s">
        <v>3</v>
      </c>
      <c r="C846" s="35" t="s">
        <v>65</v>
      </c>
      <c r="D846" s="36">
        <v>189</v>
      </c>
      <c r="E846" s="12">
        <v>70</v>
      </c>
      <c r="F846" s="21">
        <v>15.16</v>
      </c>
      <c r="G846" s="35">
        <v>0</v>
      </c>
      <c r="H846" s="35">
        <v>0</v>
      </c>
      <c r="I846" s="35">
        <v>0</v>
      </c>
      <c r="J846" s="35">
        <v>0</v>
      </c>
      <c r="K846" s="35">
        <v>0</v>
      </c>
      <c r="L846" s="36">
        <v>272</v>
      </c>
      <c r="M846" s="37">
        <v>1.54</v>
      </c>
      <c r="N846" s="21">
        <v>27.8</v>
      </c>
      <c r="O846" s="12">
        <v>0</v>
      </c>
      <c r="P846" s="35">
        <v>100</v>
      </c>
      <c r="Q846" s="35">
        <v>70</v>
      </c>
      <c r="R846" s="35">
        <v>120</v>
      </c>
      <c r="S846" s="35">
        <v>50</v>
      </c>
      <c r="T846" s="21">
        <v>4.3833394362674598</v>
      </c>
      <c r="U846" s="21">
        <v>0.28947368421052599</v>
      </c>
      <c r="V846" s="37" t="s">
        <v>6</v>
      </c>
      <c r="W846" s="37" t="s">
        <v>6</v>
      </c>
      <c r="X846" s="35" t="s">
        <v>6</v>
      </c>
      <c r="Y846" s="23" t="s">
        <v>6</v>
      </c>
      <c r="Z846" s="21" t="s">
        <v>6</v>
      </c>
      <c r="AA846" s="35" t="s">
        <v>6</v>
      </c>
      <c r="AB846" s="35" t="s">
        <v>6</v>
      </c>
      <c r="AC846" s="27" t="s">
        <v>170</v>
      </c>
    </row>
    <row r="847" spans="1:29">
      <c r="A847" s="48" t="s">
        <v>90</v>
      </c>
      <c r="B847" s="35" t="s">
        <v>3</v>
      </c>
      <c r="C847" s="35" t="s">
        <v>65</v>
      </c>
      <c r="D847" s="36">
        <v>189</v>
      </c>
      <c r="E847" s="12">
        <v>70</v>
      </c>
      <c r="F847" s="21">
        <v>15.16</v>
      </c>
      <c r="G847" s="35">
        <v>0</v>
      </c>
      <c r="H847" s="35">
        <v>0</v>
      </c>
      <c r="I847" s="35">
        <v>0</v>
      </c>
      <c r="J847" s="35">
        <v>0</v>
      </c>
      <c r="K847" s="35">
        <v>0</v>
      </c>
      <c r="L847" s="36">
        <v>272</v>
      </c>
      <c r="M847" s="37">
        <v>1.54</v>
      </c>
      <c r="N847" s="21">
        <v>27.8</v>
      </c>
      <c r="O847" s="12">
        <v>0</v>
      </c>
      <c r="P847" s="35">
        <v>100</v>
      </c>
      <c r="Q847" s="35">
        <v>70</v>
      </c>
      <c r="R847" s="35">
        <v>120</v>
      </c>
      <c r="S847" s="35">
        <v>60</v>
      </c>
      <c r="T847" s="21">
        <v>5.0346192662188596</v>
      </c>
      <c r="U847" s="21">
        <v>0.332631578947368</v>
      </c>
      <c r="V847" s="37" t="s">
        <v>6</v>
      </c>
      <c r="W847" s="37" t="s">
        <v>6</v>
      </c>
      <c r="X847" s="35" t="s">
        <v>6</v>
      </c>
      <c r="Y847" s="23" t="s">
        <v>6</v>
      </c>
      <c r="Z847" s="21" t="s">
        <v>6</v>
      </c>
      <c r="AA847" s="35" t="s">
        <v>6</v>
      </c>
      <c r="AB847" s="35" t="s">
        <v>6</v>
      </c>
      <c r="AC847" s="27" t="s">
        <v>170</v>
      </c>
    </row>
    <row r="848" spans="1:29">
      <c r="A848" s="48" t="s">
        <v>90</v>
      </c>
      <c r="B848" s="35" t="s">
        <v>3</v>
      </c>
      <c r="C848" s="35" t="s">
        <v>65</v>
      </c>
      <c r="D848" s="36">
        <v>189</v>
      </c>
      <c r="E848" s="12">
        <v>70</v>
      </c>
      <c r="F848" s="21">
        <v>15.16</v>
      </c>
      <c r="G848" s="35">
        <v>0</v>
      </c>
      <c r="H848" s="35">
        <v>0</v>
      </c>
      <c r="I848" s="35">
        <v>0</v>
      </c>
      <c r="J848" s="35">
        <v>0</v>
      </c>
      <c r="K848" s="35">
        <v>0</v>
      </c>
      <c r="L848" s="36">
        <v>272</v>
      </c>
      <c r="M848" s="37">
        <v>1.54</v>
      </c>
      <c r="N848" s="21">
        <v>27.8</v>
      </c>
      <c r="O848" s="12">
        <v>0</v>
      </c>
      <c r="P848" s="35">
        <v>100</v>
      </c>
      <c r="Q848" s="35">
        <v>70</v>
      </c>
      <c r="R848" s="35">
        <v>120</v>
      </c>
      <c r="S848" s="35">
        <v>70</v>
      </c>
      <c r="T848" s="21">
        <v>5.45511440768784</v>
      </c>
      <c r="U848" s="21">
        <v>0.36</v>
      </c>
      <c r="V848" s="37" t="s">
        <v>6</v>
      </c>
      <c r="W848" s="37" t="s">
        <v>6</v>
      </c>
      <c r="X848" s="35" t="s">
        <v>6</v>
      </c>
      <c r="Y848" s="23" t="s">
        <v>6</v>
      </c>
      <c r="Z848" s="21" t="s">
        <v>6</v>
      </c>
      <c r="AA848" s="35" t="s">
        <v>6</v>
      </c>
      <c r="AB848" s="35" t="s">
        <v>6</v>
      </c>
      <c r="AC848" s="27" t="s">
        <v>170</v>
      </c>
    </row>
    <row r="849" spans="1:29">
      <c r="A849" s="48" t="s">
        <v>90</v>
      </c>
      <c r="B849" s="35" t="s">
        <v>3</v>
      </c>
      <c r="C849" s="35" t="s">
        <v>65</v>
      </c>
      <c r="D849" s="36">
        <v>189</v>
      </c>
      <c r="E849" s="12">
        <v>70</v>
      </c>
      <c r="F849" s="21">
        <v>15.16</v>
      </c>
      <c r="G849" s="35">
        <v>0</v>
      </c>
      <c r="H849" s="35">
        <v>0</v>
      </c>
      <c r="I849" s="35">
        <v>0</v>
      </c>
      <c r="J849" s="35">
        <v>0</v>
      </c>
      <c r="K849" s="35">
        <v>0</v>
      </c>
      <c r="L849" s="36">
        <v>272</v>
      </c>
      <c r="M849" s="37">
        <v>1.54</v>
      </c>
      <c r="N849" s="21">
        <v>27.8</v>
      </c>
      <c r="O849" s="12">
        <v>0</v>
      </c>
      <c r="P849" s="35">
        <v>100</v>
      </c>
      <c r="Q849" s="35">
        <v>70</v>
      </c>
      <c r="R849" s="35">
        <v>120</v>
      </c>
      <c r="S849" s="35">
        <v>80</v>
      </c>
      <c r="T849" s="21">
        <v>4.9717687196340998</v>
      </c>
      <c r="U849" s="21">
        <v>0.32789473684210502</v>
      </c>
      <c r="V849" s="37" t="s">
        <v>6</v>
      </c>
      <c r="W849" s="37" t="s">
        <v>6</v>
      </c>
      <c r="X849" s="35" t="s">
        <v>6</v>
      </c>
      <c r="Y849" s="23" t="s">
        <v>6</v>
      </c>
      <c r="Z849" s="21" t="s">
        <v>6</v>
      </c>
      <c r="AA849" s="35" t="s">
        <v>6</v>
      </c>
      <c r="AB849" s="35" t="s">
        <v>6</v>
      </c>
      <c r="AC849" s="27" t="s">
        <v>170</v>
      </c>
    </row>
    <row r="850" spans="1:29">
      <c r="A850" s="48" t="s">
        <v>90</v>
      </c>
      <c r="B850" s="35" t="s">
        <v>3</v>
      </c>
      <c r="C850" s="35" t="s">
        <v>65</v>
      </c>
      <c r="D850" s="36">
        <v>189</v>
      </c>
      <c r="E850" s="12">
        <v>70</v>
      </c>
      <c r="F850" s="21">
        <v>11.95</v>
      </c>
      <c r="G850" s="35" t="s">
        <v>55</v>
      </c>
      <c r="H850" s="35">
        <v>0</v>
      </c>
      <c r="I850" s="12">
        <f>30/40</f>
        <v>0.75</v>
      </c>
      <c r="J850" s="35">
        <v>0</v>
      </c>
      <c r="K850" s="21">
        <f t="shared" ref="K850:K863" si="54">(10%*2*1000/105.14)/F850</f>
        <v>0.15918205890850454</v>
      </c>
      <c r="L850" s="36">
        <v>272</v>
      </c>
      <c r="M850" s="37">
        <v>1.54</v>
      </c>
      <c r="N850" s="21">
        <v>27.8</v>
      </c>
      <c r="O850" s="12">
        <v>0</v>
      </c>
      <c r="P850" s="35">
        <v>100</v>
      </c>
      <c r="Q850" s="35">
        <v>70</v>
      </c>
      <c r="R850" s="35">
        <v>120</v>
      </c>
      <c r="S850" s="35">
        <v>20</v>
      </c>
      <c r="T850" s="21">
        <v>4.6602757037725002</v>
      </c>
      <c r="U850" s="21">
        <v>0.390526315789473</v>
      </c>
      <c r="V850" s="37" t="s">
        <v>6</v>
      </c>
      <c r="W850" s="37" t="s">
        <v>6</v>
      </c>
      <c r="X850" s="35" t="s">
        <v>6</v>
      </c>
      <c r="Y850" s="23" t="s">
        <v>6</v>
      </c>
      <c r="Z850" s="21" t="s">
        <v>6</v>
      </c>
      <c r="AA850" s="35" t="s">
        <v>6</v>
      </c>
      <c r="AB850" s="35" t="s">
        <v>6</v>
      </c>
      <c r="AC850" s="27" t="s">
        <v>170</v>
      </c>
    </row>
    <row r="851" spans="1:29">
      <c r="A851" s="48" t="s">
        <v>90</v>
      </c>
      <c r="B851" s="35" t="s">
        <v>3</v>
      </c>
      <c r="C851" s="35" t="s">
        <v>65</v>
      </c>
      <c r="D851" s="36">
        <v>189</v>
      </c>
      <c r="E851" s="12">
        <v>70</v>
      </c>
      <c r="F851" s="21">
        <v>11.95</v>
      </c>
      <c r="G851" s="35" t="s">
        <v>55</v>
      </c>
      <c r="H851" s="35">
        <v>0</v>
      </c>
      <c r="I851" s="12">
        <f t="shared" ref="I851:I856" si="55">30/40</f>
        <v>0.75</v>
      </c>
      <c r="J851" s="35">
        <v>0</v>
      </c>
      <c r="K851" s="21">
        <f>(10%*2*1000/105.14)/F851</f>
        <v>0.15918205890850454</v>
      </c>
      <c r="L851" s="36">
        <v>272</v>
      </c>
      <c r="M851" s="37">
        <v>1.54</v>
      </c>
      <c r="N851" s="21">
        <v>27.8</v>
      </c>
      <c r="O851" s="12">
        <v>0</v>
      </c>
      <c r="P851" s="35">
        <v>100</v>
      </c>
      <c r="Q851" s="35">
        <v>70</v>
      </c>
      <c r="R851" s="35">
        <v>120</v>
      </c>
      <c r="S851" s="35">
        <v>30</v>
      </c>
      <c r="T851" s="21">
        <v>5.1448739818519398</v>
      </c>
      <c r="U851" s="21">
        <v>0.43105263157894702</v>
      </c>
      <c r="V851" s="37" t="s">
        <v>6</v>
      </c>
      <c r="W851" s="37" t="s">
        <v>6</v>
      </c>
      <c r="X851" s="35" t="s">
        <v>6</v>
      </c>
      <c r="Y851" s="23" t="s">
        <v>6</v>
      </c>
      <c r="Z851" s="21" t="s">
        <v>6</v>
      </c>
      <c r="AA851" s="35" t="s">
        <v>6</v>
      </c>
      <c r="AB851" s="35" t="s">
        <v>6</v>
      </c>
      <c r="AC851" s="27" t="s">
        <v>170</v>
      </c>
    </row>
    <row r="852" spans="1:29">
      <c r="A852" s="48" t="s">
        <v>90</v>
      </c>
      <c r="B852" s="35" t="s">
        <v>3</v>
      </c>
      <c r="C852" s="35" t="s">
        <v>65</v>
      </c>
      <c r="D852" s="36">
        <v>189</v>
      </c>
      <c r="E852" s="12">
        <v>70</v>
      </c>
      <c r="F852" s="21">
        <v>11.95</v>
      </c>
      <c r="G852" s="35" t="s">
        <v>55</v>
      </c>
      <c r="H852" s="35">
        <v>0</v>
      </c>
      <c r="I852" s="12">
        <f t="shared" si="55"/>
        <v>0.75</v>
      </c>
      <c r="J852" s="35">
        <v>0</v>
      </c>
      <c r="K852" s="21">
        <f t="shared" si="54"/>
        <v>0.15918205890850454</v>
      </c>
      <c r="L852" s="36">
        <v>272</v>
      </c>
      <c r="M852" s="37">
        <v>1.54</v>
      </c>
      <c r="N852" s="21">
        <v>27.8</v>
      </c>
      <c r="O852" s="12">
        <v>0</v>
      </c>
      <c r="P852" s="35">
        <v>100</v>
      </c>
      <c r="Q852" s="35">
        <v>70</v>
      </c>
      <c r="R852" s="35">
        <v>120</v>
      </c>
      <c r="S852" s="35">
        <v>40</v>
      </c>
      <c r="T852" s="21">
        <v>5.5910505680193996</v>
      </c>
      <c r="U852" s="21">
        <v>0.46842105263157802</v>
      </c>
      <c r="V852" s="37" t="s">
        <v>6</v>
      </c>
      <c r="W852" s="37" t="s">
        <v>6</v>
      </c>
      <c r="X852" s="35" t="s">
        <v>6</v>
      </c>
      <c r="Y852" s="23" t="s">
        <v>6</v>
      </c>
      <c r="Z852" s="21" t="s">
        <v>6</v>
      </c>
      <c r="AA852" s="35" t="s">
        <v>6</v>
      </c>
      <c r="AB852" s="35" t="s">
        <v>6</v>
      </c>
      <c r="AC852" s="27" t="s">
        <v>170</v>
      </c>
    </row>
    <row r="853" spans="1:29">
      <c r="A853" s="48" t="s">
        <v>90</v>
      </c>
      <c r="B853" s="35" t="s">
        <v>3</v>
      </c>
      <c r="C853" s="35" t="s">
        <v>65</v>
      </c>
      <c r="D853" s="36">
        <v>189</v>
      </c>
      <c r="E853" s="12">
        <v>70</v>
      </c>
      <c r="F853" s="21">
        <v>11.95</v>
      </c>
      <c r="G853" s="35" t="s">
        <v>55</v>
      </c>
      <c r="H853" s="35">
        <v>0</v>
      </c>
      <c r="I853" s="12">
        <f t="shared" si="55"/>
        <v>0.75</v>
      </c>
      <c r="J853" s="35">
        <v>0</v>
      </c>
      <c r="K853" s="21">
        <f t="shared" si="54"/>
        <v>0.15918205890850454</v>
      </c>
      <c r="L853" s="36">
        <v>272</v>
      </c>
      <c r="M853" s="37">
        <v>1.54</v>
      </c>
      <c r="N853" s="21">
        <v>27.8</v>
      </c>
      <c r="O853" s="12">
        <v>0</v>
      </c>
      <c r="P853" s="35">
        <v>100</v>
      </c>
      <c r="Q853" s="35">
        <v>70</v>
      </c>
      <c r="R853" s="35">
        <v>120</v>
      </c>
      <c r="S853" s="35">
        <v>50</v>
      </c>
      <c r="T853" s="21">
        <v>5.8833528329522302</v>
      </c>
      <c r="U853" s="21">
        <v>0.49210526315789399</v>
      </c>
      <c r="V853" s="37" t="s">
        <v>6</v>
      </c>
      <c r="W853" s="37" t="s">
        <v>6</v>
      </c>
      <c r="X853" s="35" t="s">
        <v>6</v>
      </c>
      <c r="Y853" s="23" t="s">
        <v>6</v>
      </c>
      <c r="Z853" s="21" t="s">
        <v>6</v>
      </c>
      <c r="AA853" s="35" t="s">
        <v>6</v>
      </c>
      <c r="AB853" s="35" t="s">
        <v>6</v>
      </c>
      <c r="AC853" s="27" t="s">
        <v>170</v>
      </c>
    </row>
    <row r="854" spans="1:29">
      <c r="A854" s="48" t="s">
        <v>90</v>
      </c>
      <c r="B854" s="35" t="s">
        <v>3</v>
      </c>
      <c r="C854" s="35" t="s">
        <v>65</v>
      </c>
      <c r="D854" s="36">
        <v>189</v>
      </c>
      <c r="E854" s="12">
        <v>70</v>
      </c>
      <c r="F854" s="21">
        <v>11.95</v>
      </c>
      <c r="G854" s="35" t="s">
        <v>55</v>
      </c>
      <c r="H854" s="35">
        <v>0</v>
      </c>
      <c r="I854" s="12">
        <f t="shared" si="55"/>
        <v>0.75</v>
      </c>
      <c r="J854" s="35">
        <v>0</v>
      </c>
      <c r="K854" s="21">
        <f t="shared" si="54"/>
        <v>0.15918205890850454</v>
      </c>
      <c r="L854" s="36">
        <v>272</v>
      </c>
      <c r="M854" s="37">
        <v>1.54</v>
      </c>
      <c r="N854" s="21">
        <v>27.8</v>
      </c>
      <c r="O854" s="12">
        <v>0</v>
      </c>
      <c r="P854" s="35">
        <v>100</v>
      </c>
      <c r="Q854" s="35">
        <v>70</v>
      </c>
      <c r="R854" s="35">
        <v>120</v>
      </c>
      <c r="S854" s="35">
        <v>60</v>
      </c>
      <c r="T854" s="21">
        <v>5.3294936946269802</v>
      </c>
      <c r="U854" s="21">
        <v>0.446315789473684</v>
      </c>
      <c r="V854" s="37" t="s">
        <v>6</v>
      </c>
      <c r="W854" s="37" t="s">
        <v>6</v>
      </c>
      <c r="X854" s="35" t="s">
        <v>6</v>
      </c>
      <c r="Y854" s="23" t="s">
        <v>6</v>
      </c>
      <c r="Z854" s="21" t="s">
        <v>6</v>
      </c>
      <c r="AA854" s="35" t="s">
        <v>6</v>
      </c>
      <c r="AB854" s="35" t="s">
        <v>6</v>
      </c>
      <c r="AC854" s="27" t="s">
        <v>170</v>
      </c>
    </row>
    <row r="855" spans="1:29">
      <c r="A855" s="48" t="s">
        <v>90</v>
      </c>
      <c r="B855" s="35" t="s">
        <v>3</v>
      </c>
      <c r="C855" s="35" t="s">
        <v>65</v>
      </c>
      <c r="D855" s="36">
        <v>189</v>
      </c>
      <c r="E855" s="12">
        <v>70</v>
      </c>
      <c r="F855" s="21">
        <v>11.95</v>
      </c>
      <c r="G855" s="35" t="s">
        <v>55</v>
      </c>
      <c r="H855" s="35">
        <v>0</v>
      </c>
      <c r="I855" s="12">
        <f t="shared" si="55"/>
        <v>0.75</v>
      </c>
      <c r="J855" s="35">
        <v>0</v>
      </c>
      <c r="K855" s="21">
        <f t="shared" si="54"/>
        <v>0.15918205890850454</v>
      </c>
      <c r="L855" s="36">
        <v>272</v>
      </c>
      <c r="M855" s="37">
        <v>1.54</v>
      </c>
      <c r="N855" s="21">
        <v>27.8</v>
      </c>
      <c r="O855" s="12">
        <v>0</v>
      </c>
      <c r="P855" s="35">
        <v>100</v>
      </c>
      <c r="Q855" s="35">
        <v>70</v>
      </c>
      <c r="R855" s="35">
        <v>120</v>
      </c>
      <c r="S855" s="35">
        <v>70</v>
      </c>
      <c r="T855" s="21">
        <v>5.0063924514146203</v>
      </c>
      <c r="U855" s="21">
        <v>0.42052631578947303</v>
      </c>
      <c r="V855" s="37" t="s">
        <v>6</v>
      </c>
      <c r="W855" s="37" t="s">
        <v>6</v>
      </c>
      <c r="X855" s="35" t="s">
        <v>6</v>
      </c>
      <c r="Y855" s="23" t="s">
        <v>6</v>
      </c>
      <c r="Z855" s="21" t="s">
        <v>6</v>
      </c>
      <c r="AA855" s="35" t="s">
        <v>6</v>
      </c>
      <c r="AB855" s="35" t="s">
        <v>6</v>
      </c>
      <c r="AC855" s="27" t="s">
        <v>170</v>
      </c>
    </row>
    <row r="856" spans="1:29">
      <c r="A856" s="48" t="s">
        <v>90</v>
      </c>
      <c r="B856" s="35" t="s">
        <v>3</v>
      </c>
      <c r="C856" s="35" t="s">
        <v>65</v>
      </c>
      <c r="D856" s="36">
        <v>189</v>
      </c>
      <c r="E856" s="12">
        <v>70</v>
      </c>
      <c r="F856" s="21">
        <v>11.95</v>
      </c>
      <c r="G856" s="35" t="s">
        <v>55</v>
      </c>
      <c r="H856" s="35">
        <v>0</v>
      </c>
      <c r="I856" s="12">
        <f t="shared" si="55"/>
        <v>0.75</v>
      </c>
      <c r="J856" s="35">
        <v>0</v>
      </c>
      <c r="K856" s="21">
        <f t="shared" si="54"/>
        <v>0.15918205890850454</v>
      </c>
      <c r="L856" s="36">
        <v>272</v>
      </c>
      <c r="M856" s="37">
        <v>1.54</v>
      </c>
      <c r="N856" s="21">
        <v>27.8</v>
      </c>
      <c r="O856" s="12">
        <v>0</v>
      </c>
      <c r="P856" s="35">
        <v>100</v>
      </c>
      <c r="Q856" s="35">
        <v>70</v>
      </c>
      <c r="R856" s="35">
        <v>120</v>
      </c>
      <c r="S856" s="35">
        <v>80</v>
      </c>
      <c r="T856" s="21">
        <v>3.4268831273220099</v>
      </c>
      <c r="U856" s="21">
        <v>0.28842105263157802</v>
      </c>
      <c r="V856" s="37" t="s">
        <v>6</v>
      </c>
      <c r="W856" s="37" t="s">
        <v>6</v>
      </c>
      <c r="X856" s="35" t="s">
        <v>6</v>
      </c>
      <c r="Y856" s="23" t="s">
        <v>6</v>
      </c>
      <c r="Z856" s="21" t="s">
        <v>6</v>
      </c>
      <c r="AA856" s="35" t="s">
        <v>6</v>
      </c>
      <c r="AB856" s="35" t="s">
        <v>6</v>
      </c>
      <c r="AC856" s="27" t="s">
        <v>170</v>
      </c>
    </row>
    <row r="857" spans="1:29">
      <c r="A857" s="48" t="s">
        <v>90</v>
      </c>
      <c r="B857" s="35" t="s">
        <v>3</v>
      </c>
      <c r="C857" s="35" t="s">
        <v>65</v>
      </c>
      <c r="D857" s="36">
        <v>189</v>
      </c>
      <c r="E857" s="12">
        <v>70</v>
      </c>
      <c r="F857" s="21">
        <v>9.34</v>
      </c>
      <c r="G857" s="35" t="s">
        <v>55</v>
      </c>
      <c r="H857" s="35">
        <v>0</v>
      </c>
      <c r="I857" s="12">
        <f>50/20</f>
        <v>2.5</v>
      </c>
      <c r="J857" s="35">
        <v>0</v>
      </c>
      <c r="K857" s="21">
        <f>(10%*2*1000/105.14)/F857</f>
        <v>0.2036644115585256</v>
      </c>
      <c r="L857" s="36">
        <v>272</v>
      </c>
      <c r="M857" s="37">
        <v>1.54</v>
      </c>
      <c r="N857" s="21">
        <v>27.8</v>
      </c>
      <c r="O857" s="12">
        <v>0</v>
      </c>
      <c r="P857" s="35">
        <v>100</v>
      </c>
      <c r="Q857" s="35">
        <v>70</v>
      </c>
      <c r="R857" s="35">
        <v>120</v>
      </c>
      <c r="S857" s="35">
        <v>20</v>
      </c>
      <c r="T857" s="21">
        <v>4.6602623070877396</v>
      </c>
      <c r="U857" s="21">
        <v>0.49842105263157799</v>
      </c>
      <c r="V857" s="37" t="s">
        <v>6</v>
      </c>
      <c r="W857" s="37" t="s">
        <v>6</v>
      </c>
      <c r="X857" s="35" t="s">
        <v>6</v>
      </c>
      <c r="Y857" s="23" t="s">
        <v>6</v>
      </c>
      <c r="Z857" s="21" t="s">
        <v>6</v>
      </c>
      <c r="AA857" s="35" t="s">
        <v>6</v>
      </c>
      <c r="AB857" s="35" t="s">
        <v>6</v>
      </c>
      <c r="AC857" s="27" t="s">
        <v>170</v>
      </c>
    </row>
    <row r="858" spans="1:29">
      <c r="A858" s="48" t="s">
        <v>90</v>
      </c>
      <c r="B858" s="35" t="s">
        <v>3</v>
      </c>
      <c r="C858" s="35" t="s">
        <v>65</v>
      </c>
      <c r="D858" s="36">
        <v>189</v>
      </c>
      <c r="E858" s="12">
        <v>70</v>
      </c>
      <c r="F858" s="21">
        <v>9.34</v>
      </c>
      <c r="G858" s="35" t="s">
        <v>55</v>
      </c>
      <c r="H858" s="35">
        <v>0</v>
      </c>
      <c r="I858" s="12">
        <f t="shared" ref="I858:I863" si="56">50/20</f>
        <v>2.5</v>
      </c>
      <c r="J858" s="35">
        <v>0</v>
      </c>
      <c r="K858" s="21">
        <f t="shared" si="54"/>
        <v>0.2036644115585256</v>
      </c>
      <c r="L858" s="36">
        <v>272</v>
      </c>
      <c r="M858" s="37">
        <v>1.54</v>
      </c>
      <c r="N858" s="21">
        <v>27.8</v>
      </c>
      <c r="O858" s="12">
        <v>0</v>
      </c>
      <c r="P858" s="35">
        <v>100</v>
      </c>
      <c r="Q858" s="35">
        <v>70</v>
      </c>
      <c r="R858" s="35">
        <v>120</v>
      </c>
      <c r="S858" s="35">
        <v>30</v>
      </c>
      <c r="T858" s="21">
        <v>4.8948851457559099</v>
      </c>
      <c r="U858" s="21">
        <v>0.52421052631578902</v>
      </c>
      <c r="V858" s="37" t="s">
        <v>6</v>
      </c>
      <c r="W858" s="37" t="s">
        <v>6</v>
      </c>
      <c r="X858" s="35" t="s">
        <v>6</v>
      </c>
      <c r="Y858" s="23" t="s">
        <v>6</v>
      </c>
      <c r="Z858" s="21" t="s">
        <v>6</v>
      </c>
      <c r="AA858" s="35" t="s">
        <v>6</v>
      </c>
      <c r="AB858" s="35" t="s">
        <v>6</v>
      </c>
      <c r="AC858" s="27" t="s">
        <v>170</v>
      </c>
    </row>
    <row r="859" spans="1:29" ht="12.45" customHeight="1">
      <c r="A859" s="48" t="s">
        <v>90</v>
      </c>
      <c r="B859" s="35" t="s">
        <v>3</v>
      </c>
      <c r="C859" s="35" t="s">
        <v>65</v>
      </c>
      <c r="D859" s="36">
        <v>189</v>
      </c>
      <c r="E859" s="12">
        <v>70</v>
      </c>
      <c r="F859" s="21">
        <v>9.34</v>
      </c>
      <c r="G859" s="35" t="s">
        <v>55</v>
      </c>
      <c r="H859" s="35">
        <v>0</v>
      </c>
      <c r="I859" s="12">
        <f t="shared" si="56"/>
        <v>2.5</v>
      </c>
      <c r="J859" s="35">
        <v>0</v>
      </c>
      <c r="K859" s="21">
        <f t="shared" si="54"/>
        <v>0.2036644115585256</v>
      </c>
      <c r="L859" s="36">
        <v>272</v>
      </c>
      <c r="M859" s="37">
        <v>1.54</v>
      </c>
      <c r="N859" s="21">
        <v>27.8</v>
      </c>
      <c r="O859" s="12">
        <v>0</v>
      </c>
      <c r="P859" s="35">
        <v>100</v>
      </c>
      <c r="Q859" s="35">
        <v>70</v>
      </c>
      <c r="R859" s="35">
        <v>120</v>
      </c>
      <c r="S859" s="35">
        <v>40</v>
      </c>
      <c r="T859" s="21">
        <v>4.7064272827950502</v>
      </c>
      <c r="U859" s="21">
        <v>0.50578947368421001</v>
      </c>
      <c r="V859" s="37" t="s">
        <v>6</v>
      </c>
      <c r="W859" s="37" t="s">
        <v>6</v>
      </c>
      <c r="X859" s="35" t="s">
        <v>6</v>
      </c>
      <c r="Y859" s="23" t="s">
        <v>6</v>
      </c>
      <c r="Z859" s="21" t="s">
        <v>6</v>
      </c>
      <c r="AA859" s="35" t="s">
        <v>6</v>
      </c>
      <c r="AB859" s="35" t="s">
        <v>6</v>
      </c>
      <c r="AC859" s="27" t="s">
        <v>170</v>
      </c>
    </row>
    <row r="860" spans="1:29">
      <c r="A860" s="48" t="s">
        <v>90</v>
      </c>
      <c r="B860" s="35" t="s">
        <v>3</v>
      </c>
      <c r="C860" s="35" t="s">
        <v>65</v>
      </c>
      <c r="D860" s="36">
        <v>189</v>
      </c>
      <c r="E860" s="12">
        <v>70</v>
      </c>
      <c r="F860" s="21">
        <v>9.34</v>
      </c>
      <c r="G860" s="35" t="s">
        <v>55</v>
      </c>
      <c r="H860" s="35">
        <v>0</v>
      </c>
      <c r="I860" s="12">
        <f t="shared" si="56"/>
        <v>2.5</v>
      </c>
      <c r="J860" s="35">
        <v>0</v>
      </c>
      <c r="K860" s="21">
        <f t="shared" si="54"/>
        <v>0.2036644115585256</v>
      </c>
      <c r="L860" s="36">
        <v>272</v>
      </c>
      <c r="M860" s="37">
        <v>1.54</v>
      </c>
      <c r="N860" s="21">
        <v>27.8</v>
      </c>
      <c r="O860" s="12">
        <v>0</v>
      </c>
      <c r="P860" s="35">
        <v>100</v>
      </c>
      <c r="Q860" s="35">
        <v>70</v>
      </c>
      <c r="R860" s="35">
        <v>120</v>
      </c>
      <c r="S860" s="35">
        <v>50</v>
      </c>
      <c r="T860" s="21">
        <v>4.5307766504715197</v>
      </c>
      <c r="U860" s="21">
        <v>0.48789473684210499</v>
      </c>
      <c r="V860" s="37" t="s">
        <v>6</v>
      </c>
      <c r="W860" s="37" t="s">
        <v>6</v>
      </c>
      <c r="X860" s="35" t="s">
        <v>6</v>
      </c>
      <c r="Y860" s="23" t="s">
        <v>6</v>
      </c>
      <c r="Z860" s="21" t="s">
        <v>6</v>
      </c>
      <c r="AA860" s="35" t="s">
        <v>6</v>
      </c>
      <c r="AB860" s="35" t="s">
        <v>6</v>
      </c>
      <c r="AC860" s="27" t="s">
        <v>170</v>
      </c>
    </row>
    <row r="861" spans="1:29">
      <c r="A861" s="48" t="s">
        <v>90</v>
      </c>
      <c r="B861" s="35" t="s">
        <v>3</v>
      </c>
      <c r="C861" s="35" t="s">
        <v>65</v>
      </c>
      <c r="D861" s="36">
        <v>189</v>
      </c>
      <c r="E861" s="12">
        <v>70</v>
      </c>
      <c r="F861" s="21">
        <v>9.34</v>
      </c>
      <c r="G861" s="35" t="s">
        <v>55</v>
      </c>
      <c r="H861" s="35">
        <v>0</v>
      </c>
      <c r="I861" s="12">
        <f t="shared" si="56"/>
        <v>2.5</v>
      </c>
      <c r="J861" s="35">
        <v>0</v>
      </c>
      <c r="K861" s="21">
        <f t="shared" si="54"/>
        <v>0.2036644115585256</v>
      </c>
      <c r="L861" s="36">
        <v>272</v>
      </c>
      <c r="M861" s="37">
        <v>1.54</v>
      </c>
      <c r="N861" s="21">
        <v>27.8</v>
      </c>
      <c r="O861" s="12">
        <v>0</v>
      </c>
      <c r="P861" s="35">
        <v>100</v>
      </c>
      <c r="Q861" s="35">
        <v>70</v>
      </c>
      <c r="R861" s="35">
        <v>120</v>
      </c>
      <c r="S861" s="35">
        <v>60</v>
      </c>
      <c r="T861" s="21">
        <v>3.91281437553581</v>
      </c>
      <c r="U861" s="21">
        <v>0.42210526315789398</v>
      </c>
      <c r="V861" s="37" t="s">
        <v>6</v>
      </c>
      <c r="W861" s="37" t="s">
        <v>6</v>
      </c>
      <c r="X861" s="35" t="s">
        <v>6</v>
      </c>
      <c r="Y861" s="23" t="s">
        <v>6</v>
      </c>
      <c r="Z861" s="21" t="s">
        <v>6</v>
      </c>
      <c r="AA861" s="35" t="s">
        <v>6</v>
      </c>
      <c r="AB861" s="35" t="s">
        <v>6</v>
      </c>
      <c r="AC861" s="27" t="s">
        <v>170</v>
      </c>
    </row>
    <row r="862" spans="1:29" ht="13.2" customHeight="1">
      <c r="A862" s="48" t="s">
        <v>90</v>
      </c>
      <c r="B862" s="35" t="s">
        <v>3</v>
      </c>
      <c r="C862" s="35" t="s">
        <v>65</v>
      </c>
      <c r="D862" s="36">
        <v>189</v>
      </c>
      <c r="E862" s="12">
        <v>70</v>
      </c>
      <c r="F862" s="21">
        <v>9.34</v>
      </c>
      <c r="G862" s="35" t="s">
        <v>55</v>
      </c>
      <c r="H862" s="35">
        <v>0</v>
      </c>
      <c r="I862" s="12">
        <f t="shared" si="56"/>
        <v>2.5</v>
      </c>
      <c r="J862" s="35">
        <v>0</v>
      </c>
      <c r="K862" s="21">
        <f t="shared" si="54"/>
        <v>0.2036644115585256</v>
      </c>
      <c r="L862" s="36">
        <v>272</v>
      </c>
      <c r="M862" s="37">
        <v>1.54</v>
      </c>
      <c r="N862" s="21">
        <v>27.8</v>
      </c>
      <c r="O862" s="12">
        <v>0</v>
      </c>
      <c r="P862" s="35">
        <v>100</v>
      </c>
      <c r="Q862" s="35">
        <v>70</v>
      </c>
      <c r="R862" s="35">
        <v>120</v>
      </c>
      <c r="S862" s="35">
        <v>70</v>
      </c>
      <c r="T862" s="21">
        <v>3.6858678372391398</v>
      </c>
      <c r="U862" s="21">
        <v>0.39789473684210502</v>
      </c>
      <c r="V862" s="37" t="s">
        <v>6</v>
      </c>
      <c r="W862" s="37" t="s">
        <v>6</v>
      </c>
      <c r="X862" s="35" t="s">
        <v>6</v>
      </c>
      <c r="Y862" s="23" t="s">
        <v>6</v>
      </c>
      <c r="Z862" s="21" t="s">
        <v>6</v>
      </c>
      <c r="AA862" s="35" t="s">
        <v>6</v>
      </c>
      <c r="AB862" s="35" t="s">
        <v>6</v>
      </c>
      <c r="AC862" s="27" t="s">
        <v>170</v>
      </c>
    </row>
    <row r="863" spans="1:29" ht="14.55" customHeight="1">
      <c r="A863" s="48" t="s">
        <v>90</v>
      </c>
      <c r="B863" s="35" t="s">
        <v>3</v>
      </c>
      <c r="C863" s="35" t="s">
        <v>65</v>
      </c>
      <c r="D863" s="36">
        <v>189</v>
      </c>
      <c r="E863" s="12">
        <v>70</v>
      </c>
      <c r="F863" s="21">
        <v>9.34</v>
      </c>
      <c r="G863" s="35" t="s">
        <v>55</v>
      </c>
      <c r="H863" s="35">
        <v>0</v>
      </c>
      <c r="I863" s="12">
        <f t="shared" si="56"/>
        <v>2.5</v>
      </c>
      <c r="J863" s="35">
        <v>0</v>
      </c>
      <c r="K863" s="21">
        <f t="shared" si="54"/>
        <v>0.2036644115585256</v>
      </c>
      <c r="L863" s="36">
        <v>272</v>
      </c>
      <c r="M863" s="37">
        <v>1.54</v>
      </c>
      <c r="N863" s="21">
        <v>27.8</v>
      </c>
      <c r="O863" s="12">
        <v>0</v>
      </c>
      <c r="P863" s="35">
        <v>100</v>
      </c>
      <c r="Q863" s="35">
        <v>70</v>
      </c>
      <c r="R863" s="35">
        <v>120</v>
      </c>
      <c r="S863" s="35">
        <v>80</v>
      </c>
      <c r="T863" s="21">
        <v>3.0358673906829701</v>
      </c>
      <c r="U863" s="21">
        <v>0.330526315789473</v>
      </c>
      <c r="V863" s="37" t="s">
        <v>6</v>
      </c>
      <c r="W863" s="37" t="s">
        <v>6</v>
      </c>
      <c r="X863" s="35" t="s">
        <v>6</v>
      </c>
      <c r="Y863" s="23" t="s">
        <v>6</v>
      </c>
      <c r="Z863" s="21" t="s">
        <v>6</v>
      </c>
      <c r="AA863" s="35" t="s">
        <v>6</v>
      </c>
      <c r="AB863" s="35" t="s">
        <v>6</v>
      </c>
      <c r="AC863" s="27" t="s">
        <v>170</v>
      </c>
    </row>
    <row r="864" spans="1:29">
      <c r="A864" s="48" t="s">
        <v>16</v>
      </c>
      <c r="B864" s="35" t="s">
        <v>161</v>
      </c>
      <c r="C864" s="35" t="s">
        <v>61</v>
      </c>
      <c r="D864" s="36">
        <v>600</v>
      </c>
      <c r="E864" s="12">
        <v>50</v>
      </c>
      <c r="F864" s="21">
        <f t="shared" ref="F864:F896" si="57">E864*14*10/600</f>
        <v>11.666666666666666</v>
      </c>
      <c r="G864" s="35">
        <v>0</v>
      </c>
      <c r="H864" s="35">
        <v>0</v>
      </c>
      <c r="I864" s="35">
        <v>0</v>
      </c>
      <c r="J864" s="35">
        <v>0</v>
      </c>
      <c r="K864" s="35">
        <v>0</v>
      </c>
      <c r="L864" s="36">
        <v>968</v>
      </c>
      <c r="M864" s="21">
        <v>0.87</v>
      </c>
      <c r="N864" s="21">
        <v>3.6</v>
      </c>
      <c r="O864" s="12">
        <v>0</v>
      </c>
      <c r="P864" s="35">
        <v>100</v>
      </c>
      <c r="Q864" s="35">
        <v>30</v>
      </c>
      <c r="R864" s="35">
        <v>180</v>
      </c>
      <c r="S864" s="35">
        <v>50</v>
      </c>
      <c r="T864" s="21">
        <v>1.3623978201634879</v>
      </c>
      <c r="U864" s="21">
        <f>T864/F864</f>
        <v>0.11677695601401325</v>
      </c>
      <c r="V864" s="37">
        <v>1.704</v>
      </c>
      <c r="W864" s="37">
        <v>45.08</v>
      </c>
      <c r="X864" s="37" t="s">
        <v>1</v>
      </c>
      <c r="Y864" s="23" t="s">
        <v>6</v>
      </c>
      <c r="Z864" s="21" t="s">
        <v>6</v>
      </c>
      <c r="AA864" s="37" t="s">
        <v>1</v>
      </c>
      <c r="AB864" s="37" t="s">
        <v>1</v>
      </c>
      <c r="AC864" s="27" t="s">
        <v>173</v>
      </c>
    </row>
    <row r="865" spans="1:29">
      <c r="A865" s="48" t="s">
        <v>16</v>
      </c>
      <c r="B865" s="35" t="s">
        <v>161</v>
      </c>
      <c r="C865" s="35" t="s">
        <v>61</v>
      </c>
      <c r="D865" s="36">
        <v>600</v>
      </c>
      <c r="E865" s="12">
        <v>50</v>
      </c>
      <c r="F865" s="21">
        <f t="shared" si="57"/>
        <v>11.666666666666666</v>
      </c>
      <c r="G865" s="35">
        <v>0</v>
      </c>
      <c r="H865" s="35">
        <v>0</v>
      </c>
      <c r="I865" s="35">
        <v>0</v>
      </c>
      <c r="J865" s="35">
        <v>0</v>
      </c>
      <c r="K865" s="35">
        <v>0</v>
      </c>
      <c r="L865" s="36">
        <v>968</v>
      </c>
      <c r="M865" s="21">
        <v>0.87</v>
      </c>
      <c r="N865" s="21">
        <v>3.6</v>
      </c>
      <c r="O865" s="12">
        <v>0</v>
      </c>
      <c r="P865" s="35">
        <v>100</v>
      </c>
      <c r="Q865" s="35">
        <v>30</v>
      </c>
      <c r="R865" s="35">
        <v>180</v>
      </c>
      <c r="S865" s="35">
        <v>75</v>
      </c>
      <c r="T865" s="21">
        <v>2.6339691189827432</v>
      </c>
      <c r="U865" s="21">
        <v>0.22539823683335281</v>
      </c>
      <c r="V865" s="37">
        <v>2.2200000000000002</v>
      </c>
      <c r="W865" s="37">
        <v>38.47</v>
      </c>
      <c r="X865" s="37">
        <v>105</v>
      </c>
      <c r="Y865" s="23" t="s">
        <v>6</v>
      </c>
      <c r="Z865" s="21">
        <v>15.25526566698449</v>
      </c>
      <c r="AA865" s="37">
        <v>10</v>
      </c>
      <c r="AB865" s="37" t="s">
        <v>1</v>
      </c>
      <c r="AC865" s="1" t="s">
        <v>253</v>
      </c>
    </row>
    <row r="866" spans="1:29">
      <c r="A866" s="48" t="s">
        <v>16</v>
      </c>
      <c r="B866" s="35" t="s">
        <v>161</v>
      </c>
      <c r="C866" s="35" t="s">
        <v>61</v>
      </c>
      <c r="D866" s="36">
        <v>600</v>
      </c>
      <c r="E866" s="12">
        <v>50</v>
      </c>
      <c r="F866" s="21">
        <f t="shared" si="57"/>
        <v>11.666666666666666</v>
      </c>
      <c r="G866" s="35">
        <v>0</v>
      </c>
      <c r="H866" s="35">
        <v>0</v>
      </c>
      <c r="I866" s="35">
        <v>0</v>
      </c>
      <c r="J866" s="35">
        <v>0</v>
      </c>
      <c r="K866" s="35">
        <v>0</v>
      </c>
      <c r="L866" s="36">
        <v>968</v>
      </c>
      <c r="M866" s="21">
        <v>0.87</v>
      </c>
      <c r="N866" s="21">
        <v>3.6</v>
      </c>
      <c r="O866" s="12">
        <v>0</v>
      </c>
      <c r="P866" s="35">
        <v>100</v>
      </c>
      <c r="Q866" s="35">
        <v>30</v>
      </c>
      <c r="R866" s="35">
        <v>180</v>
      </c>
      <c r="S866" s="35">
        <v>100</v>
      </c>
      <c r="T866" s="21">
        <v>2.588555858310627</v>
      </c>
      <c r="U866" s="21">
        <f>T866/F866</f>
        <v>0.22187621642662517</v>
      </c>
      <c r="V866" s="37">
        <v>1.5</v>
      </c>
      <c r="W866" s="37">
        <v>10.17</v>
      </c>
      <c r="X866" s="37" t="s">
        <v>1</v>
      </c>
      <c r="Y866" s="23" t="s">
        <v>6</v>
      </c>
      <c r="Z866" s="21" t="s">
        <v>6</v>
      </c>
      <c r="AA866" s="37" t="s">
        <v>1</v>
      </c>
      <c r="AB866" s="37" t="s">
        <v>1</v>
      </c>
      <c r="AC866" s="27" t="s">
        <v>173</v>
      </c>
    </row>
    <row r="867" spans="1:29">
      <c r="A867" s="48" t="s">
        <v>16</v>
      </c>
      <c r="B867" s="35" t="s">
        <v>161</v>
      </c>
      <c r="C867" s="35" t="s">
        <v>61</v>
      </c>
      <c r="D867" s="36">
        <v>600</v>
      </c>
      <c r="E867" s="12">
        <v>60</v>
      </c>
      <c r="F867" s="21">
        <f t="shared" si="57"/>
        <v>14</v>
      </c>
      <c r="G867" s="35">
        <v>0</v>
      </c>
      <c r="H867" s="35">
        <v>0</v>
      </c>
      <c r="I867" s="35">
        <v>0</v>
      </c>
      <c r="J867" s="35">
        <v>0</v>
      </c>
      <c r="K867" s="35">
        <v>0</v>
      </c>
      <c r="L867" s="36">
        <v>968</v>
      </c>
      <c r="M867" s="21">
        <v>0.87</v>
      </c>
      <c r="N867" s="21">
        <v>3.6</v>
      </c>
      <c r="O867" s="12">
        <v>0</v>
      </c>
      <c r="P867" s="35">
        <v>100</v>
      </c>
      <c r="Q867" s="35">
        <v>30</v>
      </c>
      <c r="R867" s="35">
        <v>180</v>
      </c>
      <c r="S867" s="35">
        <v>75</v>
      </c>
      <c r="T867" s="21">
        <v>2.7475022706630337</v>
      </c>
      <c r="U867" s="21">
        <v>0.19610244477808897</v>
      </c>
      <c r="V867" s="37">
        <v>2.67</v>
      </c>
      <c r="W867" s="37">
        <v>41.79</v>
      </c>
      <c r="X867" s="37" t="s">
        <v>1</v>
      </c>
      <c r="Y867" s="23" t="s">
        <v>6</v>
      </c>
      <c r="Z867" s="21" t="s">
        <v>6</v>
      </c>
      <c r="AA867" s="37" t="s">
        <v>1</v>
      </c>
      <c r="AB867" s="37" t="s">
        <v>1</v>
      </c>
      <c r="AC867" s="27" t="s">
        <v>173</v>
      </c>
    </row>
    <row r="868" spans="1:29">
      <c r="A868" s="48" t="s">
        <v>16</v>
      </c>
      <c r="B868" s="35" t="s">
        <v>161</v>
      </c>
      <c r="C868" s="35" t="s">
        <v>61</v>
      </c>
      <c r="D868" s="36">
        <v>600</v>
      </c>
      <c r="E868" s="12">
        <v>70</v>
      </c>
      <c r="F868" s="21">
        <f t="shared" si="57"/>
        <v>16.333333333333332</v>
      </c>
      <c r="G868" s="35">
        <v>0</v>
      </c>
      <c r="H868" s="35">
        <v>0</v>
      </c>
      <c r="I868" s="35">
        <v>0</v>
      </c>
      <c r="J868" s="35">
        <v>0</v>
      </c>
      <c r="K868" s="35">
        <v>0</v>
      </c>
      <c r="L868" s="36">
        <v>968</v>
      </c>
      <c r="M868" s="21">
        <v>0.87</v>
      </c>
      <c r="N868" s="21">
        <v>3.6</v>
      </c>
      <c r="O868" s="12">
        <v>0</v>
      </c>
      <c r="P868" s="35">
        <v>100</v>
      </c>
      <c r="Q868" s="35">
        <v>30</v>
      </c>
      <c r="R868" s="35">
        <v>180</v>
      </c>
      <c r="S868" s="35">
        <v>75</v>
      </c>
      <c r="T868" s="21">
        <v>2.7247956403269757</v>
      </c>
      <c r="U868" s="21">
        <v>0.16710558937645059</v>
      </c>
      <c r="V868" s="37">
        <v>4.59</v>
      </c>
      <c r="W868" s="37">
        <v>59.14</v>
      </c>
      <c r="X868" s="37" t="s">
        <v>1</v>
      </c>
      <c r="Y868" s="23" t="s">
        <v>6</v>
      </c>
      <c r="Z868" s="21" t="s">
        <v>6</v>
      </c>
      <c r="AA868" s="37" t="s">
        <v>1</v>
      </c>
      <c r="AB868" s="37" t="s">
        <v>1</v>
      </c>
      <c r="AC868" s="27" t="s">
        <v>173</v>
      </c>
    </row>
    <row r="869" spans="1:29">
      <c r="A869" s="35" t="s">
        <v>196</v>
      </c>
      <c r="B869" s="35" t="s">
        <v>161</v>
      </c>
      <c r="C869" s="35" t="s">
        <v>60</v>
      </c>
      <c r="D869" s="36">
        <v>600</v>
      </c>
      <c r="E869" s="12">
        <v>50</v>
      </c>
      <c r="F869" s="21">
        <f t="shared" si="57"/>
        <v>11.666666666666666</v>
      </c>
      <c r="G869" s="35">
        <v>0</v>
      </c>
      <c r="H869" s="35">
        <v>0</v>
      </c>
      <c r="I869" s="35">
        <v>0</v>
      </c>
      <c r="J869" s="35">
        <v>0</v>
      </c>
      <c r="K869" s="35">
        <v>0</v>
      </c>
      <c r="L869" s="36">
        <v>256</v>
      </c>
      <c r="M869" s="21">
        <v>1.05</v>
      </c>
      <c r="N869" s="21">
        <v>16.5</v>
      </c>
      <c r="O869" s="12">
        <v>0</v>
      </c>
      <c r="P869" s="35">
        <v>100</v>
      </c>
      <c r="Q869" s="35">
        <v>30</v>
      </c>
      <c r="R869" s="35">
        <v>180</v>
      </c>
      <c r="S869" s="35">
        <v>75</v>
      </c>
      <c r="T869" s="21">
        <v>2.2479564032697548</v>
      </c>
      <c r="U869" s="21">
        <f>T869/F869</f>
        <v>0.19268197742312185</v>
      </c>
      <c r="V869" s="37">
        <v>2.72</v>
      </c>
      <c r="W869" s="37">
        <v>42.07</v>
      </c>
      <c r="X869" s="37" t="s">
        <v>1</v>
      </c>
      <c r="Y869" s="23" t="s">
        <v>6</v>
      </c>
      <c r="Z869" s="21" t="s">
        <v>6</v>
      </c>
      <c r="AA869" s="37" t="s">
        <v>1</v>
      </c>
      <c r="AB869" s="37" t="s">
        <v>1</v>
      </c>
      <c r="AC869" s="27" t="s">
        <v>173</v>
      </c>
    </row>
    <row r="870" spans="1:29">
      <c r="A870" s="35" t="s">
        <v>196</v>
      </c>
      <c r="B870" s="35" t="s">
        <v>161</v>
      </c>
      <c r="C870" s="35" t="s">
        <v>60</v>
      </c>
      <c r="D870" s="36">
        <v>600</v>
      </c>
      <c r="E870" s="12">
        <v>50</v>
      </c>
      <c r="F870" s="21">
        <f t="shared" si="57"/>
        <v>11.666666666666666</v>
      </c>
      <c r="G870" s="35">
        <v>0</v>
      </c>
      <c r="H870" s="35">
        <v>0</v>
      </c>
      <c r="I870" s="35">
        <v>0</v>
      </c>
      <c r="J870" s="35">
        <v>0</v>
      </c>
      <c r="K870" s="35">
        <v>0</v>
      </c>
      <c r="L870" s="36">
        <v>253</v>
      </c>
      <c r="M870" s="21">
        <v>1.24</v>
      </c>
      <c r="N870" s="21">
        <v>19.600000000000001</v>
      </c>
      <c r="O870" s="12">
        <v>0</v>
      </c>
      <c r="P870" s="35">
        <v>100</v>
      </c>
      <c r="Q870" s="35">
        <v>30</v>
      </c>
      <c r="R870" s="35">
        <v>180</v>
      </c>
      <c r="S870" s="35">
        <v>75</v>
      </c>
      <c r="T870" s="21">
        <v>2.8383287920072662</v>
      </c>
      <c r="U870" s="21">
        <f>T870/F870</f>
        <v>0.24328532502919425</v>
      </c>
      <c r="V870" s="37">
        <v>2.61</v>
      </c>
      <c r="W870" s="37">
        <v>18.149999999999999</v>
      </c>
      <c r="X870" s="37" t="s">
        <v>1</v>
      </c>
      <c r="Y870" s="23" t="s">
        <v>6</v>
      </c>
      <c r="Z870" s="21" t="s">
        <v>6</v>
      </c>
      <c r="AA870" s="37" t="s">
        <v>1</v>
      </c>
      <c r="AB870" s="37" t="s">
        <v>1</v>
      </c>
      <c r="AC870" s="27" t="s">
        <v>173</v>
      </c>
    </row>
    <row r="871" spans="1:29">
      <c r="A871" s="35" t="s">
        <v>196</v>
      </c>
      <c r="B871" s="35" t="s">
        <v>161</v>
      </c>
      <c r="C871" s="35" t="s">
        <v>60</v>
      </c>
      <c r="D871" s="36">
        <v>600</v>
      </c>
      <c r="E871" s="12">
        <v>50</v>
      </c>
      <c r="F871" s="21">
        <f t="shared" si="57"/>
        <v>11.666666666666666</v>
      </c>
      <c r="G871" s="35">
        <v>0</v>
      </c>
      <c r="H871" s="35">
        <v>0</v>
      </c>
      <c r="I871" s="35">
        <v>0</v>
      </c>
      <c r="J871" s="35">
        <v>0</v>
      </c>
      <c r="K871" s="35">
        <v>0</v>
      </c>
      <c r="L871" s="36">
        <v>240</v>
      </c>
      <c r="M871" s="21">
        <v>1.1000000000000001</v>
      </c>
      <c r="N871" s="21">
        <v>18.399999999999999</v>
      </c>
      <c r="O871" s="12">
        <v>0</v>
      </c>
      <c r="P871" s="35">
        <v>100</v>
      </c>
      <c r="Q871" s="35">
        <v>30</v>
      </c>
      <c r="R871" s="35">
        <v>180</v>
      </c>
      <c r="S871" s="35">
        <v>50</v>
      </c>
      <c r="T871" s="21">
        <v>2.2025431425976385</v>
      </c>
      <c r="U871" s="21">
        <f>T871/F871</f>
        <v>0.18878941222265475</v>
      </c>
      <c r="V871" s="37">
        <v>2.25</v>
      </c>
      <c r="W871" s="37">
        <v>7.17</v>
      </c>
      <c r="X871" s="37" t="s">
        <v>1</v>
      </c>
      <c r="Y871" s="23" t="s">
        <v>6</v>
      </c>
      <c r="Z871" s="21" t="s">
        <v>6</v>
      </c>
      <c r="AA871" s="37" t="s">
        <v>1</v>
      </c>
      <c r="AB871" s="37" t="s">
        <v>1</v>
      </c>
      <c r="AC871" s="27" t="s">
        <v>173</v>
      </c>
    </row>
    <row r="872" spans="1:29">
      <c r="A872" s="35" t="s">
        <v>196</v>
      </c>
      <c r="B872" s="35" t="s">
        <v>161</v>
      </c>
      <c r="C872" s="35" t="s">
        <v>60</v>
      </c>
      <c r="D872" s="36">
        <v>600</v>
      </c>
      <c r="E872" s="12">
        <v>50</v>
      </c>
      <c r="F872" s="21">
        <f t="shared" si="57"/>
        <v>11.666666666666666</v>
      </c>
      <c r="G872" s="35">
        <v>0</v>
      </c>
      <c r="H872" s="35">
        <v>0</v>
      </c>
      <c r="I872" s="35">
        <v>0</v>
      </c>
      <c r="J872" s="35">
        <v>0</v>
      </c>
      <c r="K872" s="35">
        <v>0</v>
      </c>
      <c r="L872" s="36">
        <v>240</v>
      </c>
      <c r="M872" s="21">
        <v>1.1000000000000001</v>
      </c>
      <c r="N872" s="21">
        <v>18.399999999999999</v>
      </c>
      <c r="O872" s="12">
        <v>0</v>
      </c>
      <c r="P872" s="35">
        <v>100</v>
      </c>
      <c r="Q872" s="35">
        <v>30</v>
      </c>
      <c r="R872" s="35">
        <v>180</v>
      </c>
      <c r="S872" s="35">
        <v>75</v>
      </c>
      <c r="T872" s="21">
        <v>2.9518619436875566</v>
      </c>
      <c r="U872" s="21">
        <v>0.25290040896686489</v>
      </c>
      <c r="V872" s="37">
        <v>2.25</v>
      </c>
      <c r="W872" s="37">
        <v>22.52</v>
      </c>
      <c r="X872" s="37" t="s">
        <v>1</v>
      </c>
      <c r="Y872" s="23" t="s">
        <v>6</v>
      </c>
      <c r="Z872" s="21" t="s">
        <v>6</v>
      </c>
      <c r="AA872" s="37" t="s">
        <v>1</v>
      </c>
      <c r="AB872" s="37" t="s">
        <v>1</v>
      </c>
      <c r="AC872" s="27" t="s">
        <v>173</v>
      </c>
    </row>
    <row r="873" spans="1:29">
      <c r="A873" s="35" t="s">
        <v>196</v>
      </c>
      <c r="B873" s="35" t="s">
        <v>161</v>
      </c>
      <c r="C873" s="35" t="s">
        <v>60</v>
      </c>
      <c r="D873" s="36">
        <v>600</v>
      </c>
      <c r="E873" s="12">
        <v>50</v>
      </c>
      <c r="F873" s="21">
        <f t="shared" si="57"/>
        <v>11.666666666666666</v>
      </c>
      <c r="G873" s="35">
        <v>0</v>
      </c>
      <c r="H873" s="35">
        <v>0</v>
      </c>
      <c r="I873" s="35">
        <v>0</v>
      </c>
      <c r="J873" s="35">
        <v>0</v>
      </c>
      <c r="K873" s="35">
        <v>0</v>
      </c>
      <c r="L873" s="36">
        <v>240</v>
      </c>
      <c r="M873" s="21">
        <v>1.1000000000000001</v>
      </c>
      <c r="N873" s="21">
        <v>18.399999999999999</v>
      </c>
      <c r="O873" s="12">
        <v>0</v>
      </c>
      <c r="P873" s="35">
        <v>100</v>
      </c>
      <c r="Q873" s="35">
        <v>30</v>
      </c>
      <c r="R873" s="35">
        <v>180</v>
      </c>
      <c r="S873" s="35">
        <v>100</v>
      </c>
      <c r="T873" s="21">
        <v>3.4514078110808355</v>
      </c>
      <c r="U873" s="21">
        <f>T873/F873</f>
        <v>0.29583495523550019</v>
      </c>
      <c r="V873" s="37">
        <v>2.25</v>
      </c>
      <c r="W873" s="37">
        <v>7.06</v>
      </c>
      <c r="X873" s="37" t="s">
        <v>1</v>
      </c>
      <c r="Y873" s="23" t="s">
        <v>6</v>
      </c>
      <c r="Z873" s="21" t="s">
        <v>6</v>
      </c>
      <c r="AA873" s="37" t="s">
        <v>1</v>
      </c>
      <c r="AB873" s="37" t="s">
        <v>1</v>
      </c>
      <c r="AC873" s="27" t="s">
        <v>173</v>
      </c>
    </row>
    <row r="874" spans="1:29">
      <c r="A874" s="35" t="s">
        <v>196</v>
      </c>
      <c r="B874" s="35" t="s">
        <v>161</v>
      </c>
      <c r="C874" s="35" t="s">
        <v>60</v>
      </c>
      <c r="D874" s="36">
        <v>600</v>
      </c>
      <c r="E874" s="12">
        <v>60</v>
      </c>
      <c r="F874" s="21">
        <f t="shared" si="57"/>
        <v>14</v>
      </c>
      <c r="G874" s="35">
        <v>0</v>
      </c>
      <c r="H874" s="35">
        <v>0</v>
      </c>
      <c r="I874" s="35">
        <v>0</v>
      </c>
      <c r="J874" s="35">
        <v>0</v>
      </c>
      <c r="K874" s="35">
        <v>0</v>
      </c>
      <c r="L874" s="36">
        <v>240</v>
      </c>
      <c r="M874" s="21">
        <v>1.1000000000000001</v>
      </c>
      <c r="N874" s="21">
        <v>18.399999999999999</v>
      </c>
      <c r="O874" s="12">
        <v>0</v>
      </c>
      <c r="P874" s="35">
        <v>100</v>
      </c>
      <c r="Q874" s="35">
        <v>30</v>
      </c>
      <c r="R874" s="35">
        <v>180</v>
      </c>
      <c r="S874" s="35">
        <v>75</v>
      </c>
      <c r="T874" s="21">
        <v>3.2470481380563125</v>
      </c>
      <c r="U874" s="21">
        <v>0.23167590655948062</v>
      </c>
      <c r="V874" s="37">
        <v>2.68</v>
      </c>
      <c r="W874" s="37">
        <v>29.18</v>
      </c>
      <c r="X874" s="37" t="s">
        <v>1</v>
      </c>
      <c r="Y874" s="23" t="s">
        <v>6</v>
      </c>
      <c r="Z874" s="21" t="s">
        <v>6</v>
      </c>
      <c r="AA874" s="37" t="s">
        <v>1</v>
      </c>
      <c r="AB874" s="37" t="s">
        <v>1</v>
      </c>
      <c r="AC874" s="27" t="s">
        <v>173</v>
      </c>
    </row>
    <row r="875" spans="1:29">
      <c r="A875" s="35" t="s">
        <v>196</v>
      </c>
      <c r="B875" s="35" t="s">
        <v>161</v>
      </c>
      <c r="C875" s="35" t="s">
        <v>60</v>
      </c>
      <c r="D875" s="36">
        <v>600</v>
      </c>
      <c r="E875" s="12">
        <v>70</v>
      </c>
      <c r="F875" s="21">
        <f t="shared" si="57"/>
        <v>16.333333333333332</v>
      </c>
      <c r="G875" s="35">
        <v>0</v>
      </c>
      <c r="H875" s="35">
        <v>0</v>
      </c>
      <c r="I875" s="35">
        <v>0</v>
      </c>
      <c r="J875" s="35">
        <v>0</v>
      </c>
      <c r="K875" s="35">
        <v>0</v>
      </c>
      <c r="L875" s="36">
        <v>240</v>
      </c>
      <c r="M875" s="21">
        <v>1.1000000000000001</v>
      </c>
      <c r="N875" s="21">
        <v>18.399999999999999</v>
      </c>
      <c r="O875" s="12">
        <v>0</v>
      </c>
      <c r="P875" s="35">
        <v>100</v>
      </c>
      <c r="Q875" s="35">
        <v>30</v>
      </c>
      <c r="R875" s="35">
        <v>180</v>
      </c>
      <c r="S875" s="35">
        <v>75</v>
      </c>
      <c r="T875" s="21">
        <v>2.4523160762942782</v>
      </c>
      <c r="U875" s="21">
        <v>0.14946832681256797</v>
      </c>
      <c r="V875" s="37">
        <v>3.61</v>
      </c>
      <c r="W875" s="37">
        <v>58.35</v>
      </c>
      <c r="X875" s="37" t="s">
        <v>1</v>
      </c>
      <c r="Y875" s="23" t="s">
        <v>6</v>
      </c>
      <c r="Z875" s="21" t="s">
        <v>6</v>
      </c>
      <c r="AA875" s="37" t="s">
        <v>1</v>
      </c>
      <c r="AB875" s="37" t="s">
        <v>1</v>
      </c>
      <c r="AC875" s="27" t="s">
        <v>173</v>
      </c>
    </row>
    <row r="876" spans="1:29">
      <c r="A876" s="35" t="s">
        <v>196</v>
      </c>
      <c r="B876" s="35" t="s">
        <v>161</v>
      </c>
      <c r="C876" s="35" t="s">
        <v>60</v>
      </c>
      <c r="D876" s="36">
        <v>600</v>
      </c>
      <c r="E876" s="12">
        <v>50</v>
      </c>
      <c r="F876" s="21">
        <f t="shared" si="57"/>
        <v>11.666666666666666</v>
      </c>
      <c r="G876" s="35">
        <v>0</v>
      </c>
      <c r="H876" s="35">
        <v>0</v>
      </c>
      <c r="I876" s="35">
        <v>0</v>
      </c>
      <c r="J876" s="35">
        <v>0</v>
      </c>
      <c r="K876" s="35">
        <v>0</v>
      </c>
      <c r="L876" s="36">
        <v>237</v>
      </c>
      <c r="M876" s="21">
        <v>1.38</v>
      </c>
      <c r="N876" s="21">
        <v>23.3</v>
      </c>
      <c r="O876" s="12">
        <v>0</v>
      </c>
      <c r="P876" s="35">
        <v>100</v>
      </c>
      <c r="Q876" s="35">
        <v>30</v>
      </c>
      <c r="R876" s="35">
        <v>180</v>
      </c>
      <c r="S876" s="35">
        <v>75</v>
      </c>
      <c r="T876" s="21">
        <v>3.9736603088101727</v>
      </c>
      <c r="U876" s="21">
        <v>0.33989097517178007</v>
      </c>
      <c r="V876" s="37">
        <v>2.6</v>
      </c>
      <c r="W876" s="37">
        <v>5.98</v>
      </c>
      <c r="X876" s="37" t="s">
        <v>1</v>
      </c>
      <c r="Y876" s="23" t="s">
        <v>6</v>
      </c>
      <c r="Z876" s="21" t="s">
        <v>6</v>
      </c>
      <c r="AA876" s="37" t="s">
        <v>1</v>
      </c>
      <c r="AB876" s="37" t="s">
        <v>1</v>
      </c>
      <c r="AC876" s="27" t="s">
        <v>173</v>
      </c>
    </row>
    <row r="877" spans="1:29">
      <c r="A877" s="35" t="s">
        <v>196</v>
      </c>
      <c r="B877" s="35" t="s">
        <v>161</v>
      </c>
      <c r="C877" s="35" t="s">
        <v>60</v>
      </c>
      <c r="D877" s="36">
        <v>600</v>
      </c>
      <c r="E877" s="12">
        <v>60</v>
      </c>
      <c r="F877" s="21">
        <f t="shared" si="57"/>
        <v>14</v>
      </c>
      <c r="G877" s="35">
        <v>0</v>
      </c>
      <c r="H877" s="35">
        <v>0</v>
      </c>
      <c r="I877" s="35">
        <v>0</v>
      </c>
      <c r="J877" s="35">
        <v>0</v>
      </c>
      <c r="K877" s="35">
        <v>0</v>
      </c>
      <c r="L877" s="36">
        <v>237</v>
      </c>
      <c r="M877" s="21">
        <v>1.38</v>
      </c>
      <c r="N877" s="21">
        <v>23.3</v>
      </c>
      <c r="O877" s="12">
        <v>0</v>
      </c>
      <c r="P877" s="35">
        <v>100</v>
      </c>
      <c r="Q877" s="35">
        <v>30</v>
      </c>
      <c r="R877" s="35">
        <v>180</v>
      </c>
      <c r="S877" s="35">
        <v>75</v>
      </c>
      <c r="T877" s="21">
        <v>3.7011807447774752</v>
      </c>
      <c r="U877" s="21">
        <v>0.26396106515099516</v>
      </c>
      <c r="V877" s="37" t="s">
        <v>1</v>
      </c>
      <c r="W877" s="37" t="s">
        <v>1</v>
      </c>
      <c r="X877" s="37" t="s">
        <v>1</v>
      </c>
      <c r="Y877" s="23" t="s">
        <v>6</v>
      </c>
      <c r="Z877" s="21" t="s">
        <v>6</v>
      </c>
      <c r="AA877" s="37" t="s">
        <v>1</v>
      </c>
      <c r="AB877" s="37" t="s">
        <v>1</v>
      </c>
      <c r="AC877" s="27" t="s">
        <v>173</v>
      </c>
    </row>
    <row r="878" spans="1:29">
      <c r="A878" s="35" t="s">
        <v>196</v>
      </c>
      <c r="B878" s="35" t="s">
        <v>161</v>
      </c>
      <c r="C878" s="35" t="s">
        <v>60</v>
      </c>
      <c r="D878" s="36">
        <v>600</v>
      </c>
      <c r="E878" s="12">
        <v>70</v>
      </c>
      <c r="F878" s="21">
        <f t="shared" si="57"/>
        <v>16.333333333333332</v>
      </c>
      <c r="G878" s="35">
        <v>0</v>
      </c>
      <c r="H878" s="35">
        <v>0</v>
      </c>
      <c r="I878" s="35">
        <v>0</v>
      </c>
      <c r="J878" s="35">
        <v>0</v>
      </c>
      <c r="K878" s="35">
        <v>0</v>
      </c>
      <c r="L878" s="36">
        <v>237</v>
      </c>
      <c r="M878" s="21">
        <v>1.38</v>
      </c>
      <c r="N878" s="21">
        <v>23.3</v>
      </c>
      <c r="O878" s="12">
        <v>0</v>
      </c>
      <c r="P878" s="35">
        <v>100</v>
      </c>
      <c r="Q878" s="35">
        <v>30</v>
      </c>
      <c r="R878" s="35">
        <v>180</v>
      </c>
      <c r="S878" s="35">
        <v>75</v>
      </c>
      <c r="T878" s="21">
        <v>3.542234332425068</v>
      </c>
      <c r="U878" s="21">
        <v>0.21643013722459878</v>
      </c>
      <c r="V878" s="37" t="s">
        <v>1</v>
      </c>
      <c r="W878" s="37" t="s">
        <v>1</v>
      </c>
      <c r="X878" s="37" t="s">
        <v>1</v>
      </c>
      <c r="Y878" s="23" t="s">
        <v>6</v>
      </c>
      <c r="Z878" s="21" t="s">
        <v>6</v>
      </c>
      <c r="AA878" s="37" t="s">
        <v>1</v>
      </c>
      <c r="AB878" s="37" t="s">
        <v>1</v>
      </c>
      <c r="AC878" s="27" t="s">
        <v>173</v>
      </c>
    </row>
    <row r="879" spans="1:29">
      <c r="A879" s="35" t="s">
        <v>197</v>
      </c>
      <c r="B879" s="35" t="s">
        <v>161</v>
      </c>
      <c r="C879" s="35" t="s">
        <v>60</v>
      </c>
      <c r="D879" s="36">
        <v>600</v>
      </c>
      <c r="E879" s="12">
        <v>50</v>
      </c>
      <c r="F879" s="21">
        <f t="shared" si="57"/>
        <v>11.666666666666666</v>
      </c>
      <c r="G879" s="35">
        <v>0</v>
      </c>
      <c r="H879" s="35">
        <v>0</v>
      </c>
      <c r="I879" s="35">
        <v>0</v>
      </c>
      <c r="J879" s="35">
        <v>0</v>
      </c>
      <c r="K879" s="35">
        <v>0</v>
      </c>
      <c r="L879" s="36">
        <v>400</v>
      </c>
      <c r="M879" s="21">
        <v>1.1299999999999999</v>
      </c>
      <c r="N879" s="21">
        <v>11.3</v>
      </c>
      <c r="O879" s="12">
        <v>0</v>
      </c>
      <c r="P879" s="35">
        <v>100</v>
      </c>
      <c r="Q879" s="35">
        <v>30</v>
      </c>
      <c r="R879" s="35">
        <v>180</v>
      </c>
      <c r="S879" s="35">
        <v>75</v>
      </c>
      <c r="T879" s="21">
        <v>2.3841961852861036</v>
      </c>
      <c r="U879" s="21">
        <f>T879/F879</f>
        <v>0.20435967302452318</v>
      </c>
      <c r="V879" s="37">
        <v>26.1</v>
      </c>
      <c r="W879" s="37">
        <v>33.700000000000003</v>
      </c>
      <c r="X879" s="37" t="s">
        <v>1</v>
      </c>
      <c r="Y879" s="23" t="s">
        <v>6</v>
      </c>
      <c r="Z879" s="21" t="s">
        <v>6</v>
      </c>
      <c r="AA879" s="37" t="s">
        <v>1</v>
      </c>
      <c r="AB879" s="37" t="s">
        <v>1</v>
      </c>
      <c r="AC879" s="27" t="s">
        <v>173</v>
      </c>
    </row>
    <row r="880" spans="1:29">
      <c r="A880" s="35" t="s">
        <v>197</v>
      </c>
      <c r="B880" s="35" t="s">
        <v>161</v>
      </c>
      <c r="C880" s="35" t="s">
        <v>60</v>
      </c>
      <c r="D880" s="36">
        <v>600</v>
      </c>
      <c r="E880" s="12">
        <v>50</v>
      </c>
      <c r="F880" s="21">
        <f t="shared" si="57"/>
        <v>11.666666666666666</v>
      </c>
      <c r="G880" s="35">
        <v>0</v>
      </c>
      <c r="H880" s="35">
        <v>0</v>
      </c>
      <c r="I880" s="35">
        <v>0</v>
      </c>
      <c r="J880" s="35">
        <v>0</v>
      </c>
      <c r="K880" s="35">
        <v>0</v>
      </c>
      <c r="L880" s="36">
        <v>756</v>
      </c>
      <c r="M880" s="21">
        <v>1.95</v>
      </c>
      <c r="N880" s="21">
        <v>10.3</v>
      </c>
      <c r="O880" s="12">
        <v>0</v>
      </c>
      <c r="P880" s="35">
        <v>100</v>
      </c>
      <c r="Q880" s="35">
        <v>30</v>
      </c>
      <c r="R880" s="35">
        <v>180</v>
      </c>
      <c r="S880" s="35">
        <v>50</v>
      </c>
      <c r="T880" s="21">
        <v>2.8610354223433241</v>
      </c>
      <c r="U880" s="21">
        <f>T880/F880</f>
        <v>0.24523160762942778</v>
      </c>
      <c r="V880" s="37">
        <v>0.82</v>
      </c>
      <c r="W880" s="37">
        <v>7.6</v>
      </c>
      <c r="X880" s="37" t="s">
        <v>1</v>
      </c>
      <c r="Y880" s="23" t="s">
        <v>6</v>
      </c>
      <c r="Z880" s="21" t="s">
        <v>6</v>
      </c>
      <c r="AA880" s="37" t="s">
        <v>1</v>
      </c>
      <c r="AB880" s="37" t="s">
        <v>1</v>
      </c>
      <c r="AC880" s="27" t="s">
        <v>173</v>
      </c>
    </row>
    <row r="881" spans="1:29">
      <c r="A881" s="35" t="s">
        <v>197</v>
      </c>
      <c r="B881" s="35" t="s">
        <v>161</v>
      </c>
      <c r="C881" s="35" t="s">
        <v>60</v>
      </c>
      <c r="D881" s="36">
        <v>600</v>
      </c>
      <c r="E881" s="12">
        <v>50</v>
      </c>
      <c r="F881" s="21">
        <f t="shared" si="57"/>
        <v>11.666666666666666</v>
      </c>
      <c r="G881" s="35">
        <v>0</v>
      </c>
      <c r="H881" s="35">
        <v>0</v>
      </c>
      <c r="I881" s="35">
        <v>0</v>
      </c>
      <c r="J881" s="35">
        <v>0</v>
      </c>
      <c r="K881" s="35">
        <v>0</v>
      </c>
      <c r="L881" s="36">
        <v>756</v>
      </c>
      <c r="M881" s="21">
        <v>1.95</v>
      </c>
      <c r="N881" s="21">
        <v>10.3</v>
      </c>
      <c r="O881" s="12">
        <v>0</v>
      </c>
      <c r="P881" s="35">
        <v>100</v>
      </c>
      <c r="Q881" s="35">
        <v>30</v>
      </c>
      <c r="R881" s="35">
        <v>180</v>
      </c>
      <c r="S881" s="35">
        <v>75</v>
      </c>
      <c r="T881" s="21">
        <v>3.4968210717529518</v>
      </c>
      <c r="U881" s="21">
        <v>0.30521432335126375</v>
      </c>
      <c r="V881" s="37">
        <v>0.82</v>
      </c>
      <c r="W881" s="37">
        <v>4.21</v>
      </c>
      <c r="X881" s="37">
        <v>105</v>
      </c>
      <c r="Y881" s="23" t="s">
        <v>6</v>
      </c>
      <c r="Z881" s="21">
        <v>17.351598173515985</v>
      </c>
      <c r="AA881" s="37">
        <v>10</v>
      </c>
      <c r="AB881" s="37" t="s">
        <v>1</v>
      </c>
      <c r="AC881" s="27" t="s">
        <v>173</v>
      </c>
    </row>
    <row r="882" spans="1:29">
      <c r="A882" s="35" t="s">
        <v>197</v>
      </c>
      <c r="B882" s="35" t="s">
        <v>161</v>
      </c>
      <c r="C882" s="35" t="s">
        <v>60</v>
      </c>
      <c r="D882" s="36">
        <v>600</v>
      </c>
      <c r="E882" s="12">
        <v>50</v>
      </c>
      <c r="F882" s="21">
        <f t="shared" si="57"/>
        <v>11.666666666666666</v>
      </c>
      <c r="G882" s="35">
        <v>0</v>
      </c>
      <c r="H882" s="35">
        <v>0</v>
      </c>
      <c r="I882" s="35">
        <v>0</v>
      </c>
      <c r="J882" s="35">
        <v>0</v>
      </c>
      <c r="K882" s="35">
        <v>0</v>
      </c>
      <c r="L882" s="36">
        <v>756</v>
      </c>
      <c r="M882" s="21">
        <v>1.95</v>
      </c>
      <c r="N882" s="21">
        <v>10.3</v>
      </c>
      <c r="O882" s="12">
        <v>0</v>
      </c>
      <c r="P882" s="35">
        <v>100</v>
      </c>
      <c r="Q882" s="35">
        <v>30</v>
      </c>
      <c r="R882" s="35">
        <v>180</v>
      </c>
      <c r="S882" s="35">
        <v>100</v>
      </c>
      <c r="T882" s="21">
        <v>2.9518619436875566</v>
      </c>
      <c r="U882" s="21">
        <f>T882/F882</f>
        <v>0.25301673803036201</v>
      </c>
      <c r="V882" s="37">
        <v>0.82</v>
      </c>
      <c r="W882" s="37">
        <v>3.29</v>
      </c>
      <c r="X882" s="37" t="s">
        <v>1</v>
      </c>
      <c r="Y882" s="23" t="s">
        <v>6</v>
      </c>
      <c r="Z882" s="21" t="s">
        <v>6</v>
      </c>
      <c r="AA882" s="37" t="s">
        <v>1</v>
      </c>
      <c r="AB882" s="37" t="s">
        <v>1</v>
      </c>
      <c r="AC882" s="27" t="s">
        <v>173</v>
      </c>
    </row>
    <row r="883" spans="1:29">
      <c r="A883" s="35" t="s">
        <v>197</v>
      </c>
      <c r="B883" s="35" t="s">
        <v>161</v>
      </c>
      <c r="C883" s="35" t="s">
        <v>60</v>
      </c>
      <c r="D883" s="36">
        <v>600</v>
      </c>
      <c r="E883" s="12">
        <v>60</v>
      </c>
      <c r="F883" s="21">
        <f t="shared" si="57"/>
        <v>14</v>
      </c>
      <c r="G883" s="35">
        <v>0</v>
      </c>
      <c r="H883" s="35">
        <v>0</v>
      </c>
      <c r="I883" s="35">
        <v>0</v>
      </c>
      <c r="J883" s="35">
        <v>0</v>
      </c>
      <c r="K883" s="35">
        <v>0</v>
      </c>
      <c r="L883" s="36">
        <v>756</v>
      </c>
      <c r="M883" s="21">
        <v>1.95</v>
      </c>
      <c r="N883" s="21">
        <v>10.3</v>
      </c>
      <c r="O883" s="12">
        <v>0</v>
      </c>
      <c r="P883" s="35">
        <v>100</v>
      </c>
      <c r="Q883" s="35">
        <v>30</v>
      </c>
      <c r="R883" s="35">
        <v>180</v>
      </c>
      <c r="S883" s="35">
        <v>75</v>
      </c>
      <c r="T883" s="21">
        <v>4.37</v>
      </c>
      <c r="U883" s="21">
        <v>0.31298667634551802</v>
      </c>
      <c r="V883" s="37" t="s">
        <v>1</v>
      </c>
      <c r="W883" s="37" t="s">
        <v>1</v>
      </c>
      <c r="X883" s="37" t="s">
        <v>1</v>
      </c>
      <c r="Y883" s="23" t="s">
        <v>6</v>
      </c>
      <c r="Z883" s="21" t="s">
        <v>6</v>
      </c>
      <c r="AA883" s="37" t="s">
        <v>1</v>
      </c>
      <c r="AB883" s="37" t="s">
        <v>1</v>
      </c>
      <c r="AC883" s="27" t="s">
        <v>173</v>
      </c>
    </row>
    <row r="884" spans="1:29">
      <c r="A884" s="35" t="s">
        <v>197</v>
      </c>
      <c r="B884" s="35" t="s">
        <v>161</v>
      </c>
      <c r="C884" s="35" t="s">
        <v>60</v>
      </c>
      <c r="D884" s="36">
        <v>600</v>
      </c>
      <c r="E884" s="12">
        <v>70</v>
      </c>
      <c r="F884" s="21">
        <f t="shared" si="57"/>
        <v>16.333333333333332</v>
      </c>
      <c r="G884" s="35">
        <v>0</v>
      </c>
      <c r="H884" s="35">
        <v>0</v>
      </c>
      <c r="I884" s="35">
        <v>0</v>
      </c>
      <c r="J884" s="35">
        <v>0</v>
      </c>
      <c r="K884" s="35">
        <v>0</v>
      </c>
      <c r="L884" s="36">
        <v>756</v>
      </c>
      <c r="M884" s="21">
        <v>1.95</v>
      </c>
      <c r="N884" s="21">
        <v>10.3</v>
      </c>
      <c r="O884" s="12">
        <v>0</v>
      </c>
      <c r="P884" s="35">
        <v>100</v>
      </c>
      <c r="Q884" s="35">
        <v>30</v>
      </c>
      <c r="R884" s="35">
        <v>180</v>
      </c>
      <c r="S884" s="35">
        <v>50</v>
      </c>
      <c r="T884" s="21">
        <v>3.4514078110808355</v>
      </c>
      <c r="U884" s="21">
        <f>T884/F884</f>
        <v>0.21131068231107158</v>
      </c>
      <c r="V884" s="37">
        <v>3.53</v>
      </c>
      <c r="W884" s="37">
        <v>4.37</v>
      </c>
      <c r="X884" s="37" t="s">
        <v>1</v>
      </c>
      <c r="Y884" s="23" t="s">
        <v>6</v>
      </c>
      <c r="Z884" s="21" t="s">
        <v>6</v>
      </c>
      <c r="AA884" s="37" t="s">
        <v>1</v>
      </c>
      <c r="AB884" s="37" t="s">
        <v>1</v>
      </c>
      <c r="AC884" s="27" t="s">
        <v>173</v>
      </c>
    </row>
    <row r="885" spans="1:29" ht="13.2" customHeight="1">
      <c r="A885" s="35" t="s">
        <v>197</v>
      </c>
      <c r="B885" s="35" t="s">
        <v>161</v>
      </c>
      <c r="C885" s="35" t="s">
        <v>60</v>
      </c>
      <c r="D885" s="36">
        <v>600</v>
      </c>
      <c r="E885" s="12">
        <v>70</v>
      </c>
      <c r="F885" s="21">
        <f t="shared" si="57"/>
        <v>16.333333333333332</v>
      </c>
      <c r="G885" s="35">
        <v>0</v>
      </c>
      <c r="H885" s="35">
        <v>0</v>
      </c>
      <c r="I885" s="35">
        <v>0</v>
      </c>
      <c r="J885" s="35">
        <v>0</v>
      </c>
      <c r="K885" s="35">
        <v>0</v>
      </c>
      <c r="L885" s="36">
        <v>756</v>
      </c>
      <c r="M885" s="21">
        <v>1.95</v>
      </c>
      <c r="N885" s="21">
        <v>10.3</v>
      </c>
      <c r="O885" s="12">
        <v>0</v>
      </c>
      <c r="P885" s="35">
        <v>100</v>
      </c>
      <c r="Q885" s="35">
        <v>30</v>
      </c>
      <c r="R885" s="35">
        <v>180</v>
      </c>
      <c r="S885" s="35">
        <v>75</v>
      </c>
      <c r="T885" s="21">
        <v>4.881925522252498</v>
      </c>
      <c r="U885" s="21">
        <v>0.29744197035701053</v>
      </c>
      <c r="V885" s="37">
        <v>2.06</v>
      </c>
      <c r="W885" s="37">
        <v>15.17</v>
      </c>
      <c r="X885" s="37">
        <v>105</v>
      </c>
      <c r="Y885" s="23" t="s">
        <v>6</v>
      </c>
      <c r="Z885" s="21">
        <v>4.9000000000000004</v>
      </c>
      <c r="AA885" s="37">
        <v>10</v>
      </c>
      <c r="AB885" s="37" t="s">
        <v>1</v>
      </c>
      <c r="AC885" s="27" t="s">
        <v>173</v>
      </c>
    </row>
    <row r="886" spans="1:29">
      <c r="A886" s="35" t="s">
        <v>197</v>
      </c>
      <c r="B886" s="35" t="s">
        <v>161</v>
      </c>
      <c r="C886" s="35" t="s">
        <v>60</v>
      </c>
      <c r="D886" s="36">
        <v>600</v>
      </c>
      <c r="E886" s="12">
        <v>70</v>
      </c>
      <c r="F886" s="21">
        <f t="shared" si="57"/>
        <v>16.333333333333332</v>
      </c>
      <c r="G886" s="35">
        <v>0</v>
      </c>
      <c r="H886" s="35">
        <v>0</v>
      </c>
      <c r="I886" s="35">
        <v>0</v>
      </c>
      <c r="J886" s="35">
        <v>0</v>
      </c>
      <c r="K886" s="35">
        <v>0</v>
      </c>
      <c r="L886" s="36">
        <v>756</v>
      </c>
      <c r="M886" s="21">
        <v>1.95</v>
      </c>
      <c r="N886" s="21">
        <v>10.3</v>
      </c>
      <c r="O886" s="12">
        <v>0</v>
      </c>
      <c r="P886" s="35">
        <v>100</v>
      </c>
      <c r="Q886" s="35">
        <v>30</v>
      </c>
      <c r="R886" s="35">
        <v>180</v>
      </c>
      <c r="S886" s="35">
        <v>100</v>
      </c>
      <c r="T886" s="21">
        <v>4.7229791099000913</v>
      </c>
      <c r="U886" s="21">
        <f>T886/F886</f>
        <v>0.28916198632041379</v>
      </c>
      <c r="V886" s="37">
        <v>1.28</v>
      </c>
      <c r="W886" s="37">
        <v>3.43</v>
      </c>
      <c r="X886" s="37" t="s">
        <v>1</v>
      </c>
      <c r="Y886" s="23" t="s">
        <v>6</v>
      </c>
      <c r="Z886" s="21" t="s">
        <v>6</v>
      </c>
      <c r="AA886" s="37" t="s">
        <v>1</v>
      </c>
      <c r="AB886" s="37" t="s">
        <v>1</v>
      </c>
      <c r="AC886" s="27" t="s">
        <v>173</v>
      </c>
    </row>
    <row r="887" spans="1:29">
      <c r="A887" s="35" t="s">
        <v>197</v>
      </c>
      <c r="B887" s="35" t="s">
        <v>161</v>
      </c>
      <c r="C887" s="35" t="s">
        <v>60</v>
      </c>
      <c r="D887" s="36">
        <v>600</v>
      </c>
      <c r="E887" s="12">
        <v>75</v>
      </c>
      <c r="F887" s="21">
        <f t="shared" si="57"/>
        <v>17.5</v>
      </c>
      <c r="G887" s="35">
        <v>0</v>
      </c>
      <c r="H887" s="35">
        <v>0</v>
      </c>
      <c r="I887" s="35">
        <v>0</v>
      </c>
      <c r="J887" s="35">
        <v>0</v>
      </c>
      <c r="K887" s="35">
        <v>0</v>
      </c>
      <c r="L887" s="36">
        <v>756</v>
      </c>
      <c r="M887" s="21">
        <v>1.95</v>
      </c>
      <c r="N887" s="21">
        <v>10.3</v>
      </c>
      <c r="O887" s="12">
        <v>0</v>
      </c>
      <c r="P887" s="35">
        <v>100</v>
      </c>
      <c r="Q887" s="35">
        <v>30</v>
      </c>
      <c r="R887" s="35">
        <v>180</v>
      </c>
      <c r="S887" s="35">
        <v>75</v>
      </c>
      <c r="T887" s="21">
        <v>3.542234332425068</v>
      </c>
      <c r="U887" s="21">
        <v>0.20058649458246602</v>
      </c>
      <c r="V887" s="37">
        <v>3.28</v>
      </c>
      <c r="W887" s="37">
        <v>46.94</v>
      </c>
      <c r="X887" s="37" t="s">
        <v>1</v>
      </c>
      <c r="Y887" s="23" t="s">
        <v>6</v>
      </c>
      <c r="Z887" s="21" t="s">
        <v>6</v>
      </c>
      <c r="AA887" s="37" t="s">
        <v>1</v>
      </c>
      <c r="AB887" s="37" t="s">
        <v>1</v>
      </c>
      <c r="AC887" s="27" t="s">
        <v>173</v>
      </c>
    </row>
    <row r="888" spans="1:29">
      <c r="A888" s="35" t="s">
        <v>197</v>
      </c>
      <c r="B888" s="35" t="s">
        <v>161</v>
      </c>
      <c r="C888" s="35" t="s">
        <v>60</v>
      </c>
      <c r="D888" s="36">
        <v>600</v>
      </c>
      <c r="E888" s="12">
        <v>50</v>
      </c>
      <c r="F888" s="21">
        <f t="shared" si="57"/>
        <v>11.666666666666666</v>
      </c>
      <c r="G888" s="35">
        <v>0</v>
      </c>
      <c r="H888" s="35">
        <v>0</v>
      </c>
      <c r="I888" s="35">
        <v>0</v>
      </c>
      <c r="J888" s="35">
        <v>0</v>
      </c>
      <c r="K888" s="35">
        <v>0</v>
      </c>
      <c r="L888" s="36">
        <v>720</v>
      </c>
      <c r="M888" s="21">
        <v>1.17</v>
      </c>
      <c r="N888" s="21">
        <v>9.5</v>
      </c>
      <c r="O888" s="12">
        <v>0</v>
      </c>
      <c r="P888" s="35">
        <v>100</v>
      </c>
      <c r="Q888" s="35">
        <v>30</v>
      </c>
      <c r="R888" s="35">
        <v>180</v>
      </c>
      <c r="S888" s="35">
        <v>75</v>
      </c>
      <c r="T888" s="21">
        <v>3.3151680290644867</v>
      </c>
      <c r="U888" s="21">
        <f t="shared" ref="U888:U919" si="58">T888/F888</f>
        <v>0.28415725963409888</v>
      </c>
      <c r="V888" s="37">
        <v>2.39</v>
      </c>
      <c r="W888" s="37">
        <v>10.220000000000001</v>
      </c>
      <c r="X888" s="37" t="s">
        <v>1</v>
      </c>
      <c r="Y888" s="23" t="s">
        <v>6</v>
      </c>
      <c r="Z888" s="21" t="s">
        <v>6</v>
      </c>
      <c r="AA888" s="37" t="s">
        <v>1</v>
      </c>
      <c r="AB888" s="37" t="s">
        <v>1</v>
      </c>
      <c r="AC888" s="27" t="s">
        <v>173</v>
      </c>
    </row>
    <row r="889" spans="1:29">
      <c r="A889" s="35" t="s">
        <v>197</v>
      </c>
      <c r="B889" s="35" t="s">
        <v>161</v>
      </c>
      <c r="C889" s="35" t="s">
        <v>60</v>
      </c>
      <c r="D889" s="36">
        <v>600</v>
      </c>
      <c r="E889" s="12">
        <v>50</v>
      </c>
      <c r="F889" s="21">
        <f t="shared" si="57"/>
        <v>11.666666666666666</v>
      </c>
      <c r="G889" s="35">
        <v>0</v>
      </c>
      <c r="H889" s="35">
        <v>0</v>
      </c>
      <c r="I889" s="35">
        <v>0</v>
      </c>
      <c r="J889" s="35">
        <v>0</v>
      </c>
      <c r="K889" s="35">
        <v>0</v>
      </c>
      <c r="L889" s="36">
        <v>525</v>
      </c>
      <c r="M889" s="21">
        <v>1.17</v>
      </c>
      <c r="N889" s="21">
        <v>8.9</v>
      </c>
      <c r="O889" s="12">
        <v>0</v>
      </c>
      <c r="P889" s="35">
        <v>100</v>
      </c>
      <c r="Q889" s="35">
        <v>30</v>
      </c>
      <c r="R889" s="35">
        <v>180</v>
      </c>
      <c r="S889" s="35">
        <v>75</v>
      </c>
      <c r="T889" s="21">
        <v>2.6112624886466849</v>
      </c>
      <c r="U889" s="21">
        <f t="shared" si="58"/>
        <v>0.22382249902685872</v>
      </c>
      <c r="V889" s="37">
        <v>2.72</v>
      </c>
      <c r="W889" s="37">
        <v>23.91</v>
      </c>
      <c r="X889" s="37" t="s">
        <v>1</v>
      </c>
      <c r="Y889" s="23" t="s">
        <v>6</v>
      </c>
      <c r="Z889" s="21" t="s">
        <v>6</v>
      </c>
      <c r="AA889" s="37" t="s">
        <v>1</v>
      </c>
      <c r="AB889" s="37" t="s">
        <v>1</v>
      </c>
      <c r="AC889" s="27" t="s">
        <v>173</v>
      </c>
    </row>
    <row r="890" spans="1:29">
      <c r="A890" s="35" t="s">
        <v>197</v>
      </c>
      <c r="B890" s="35" t="s">
        <v>161</v>
      </c>
      <c r="C890" s="35" t="s">
        <v>60</v>
      </c>
      <c r="D890" s="36">
        <v>600</v>
      </c>
      <c r="E890" s="12">
        <v>50</v>
      </c>
      <c r="F890" s="21">
        <f t="shared" si="57"/>
        <v>11.666666666666666</v>
      </c>
      <c r="G890" s="35">
        <v>0</v>
      </c>
      <c r="H890" s="35">
        <v>0</v>
      </c>
      <c r="I890" s="35">
        <v>0</v>
      </c>
      <c r="J890" s="35">
        <v>0</v>
      </c>
      <c r="K890" s="35">
        <v>0</v>
      </c>
      <c r="L890" s="36">
        <v>752</v>
      </c>
      <c r="M890" s="21">
        <v>1.6</v>
      </c>
      <c r="N890" s="21">
        <v>8.5</v>
      </c>
      <c r="O890" s="12">
        <v>0</v>
      </c>
      <c r="P890" s="35">
        <v>100</v>
      </c>
      <c r="Q890" s="35">
        <v>30</v>
      </c>
      <c r="R890" s="35">
        <v>180</v>
      </c>
      <c r="S890" s="35">
        <v>75</v>
      </c>
      <c r="T890" s="21">
        <v>3.1335149863760217</v>
      </c>
      <c r="U890" s="21">
        <f t="shared" si="58"/>
        <v>0.26858699883223042</v>
      </c>
      <c r="V890" s="37">
        <v>2.61</v>
      </c>
      <c r="W890" s="37">
        <v>14.89</v>
      </c>
      <c r="X890" s="37" t="s">
        <v>1</v>
      </c>
      <c r="Y890" s="23" t="s">
        <v>6</v>
      </c>
      <c r="Z890" s="21" t="s">
        <v>6</v>
      </c>
      <c r="AA890" s="37" t="s">
        <v>1</v>
      </c>
      <c r="AB890" s="37" t="s">
        <v>1</v>
      </c>
      <c r="AC890" s="27" t="s">
        <v>173</v>
      </c>
    </row>
    <row r="891" spans="1:29">
      <c r="A891" s="35" t="s">
        <v>197</v>
      </c>
      <c r="B891" s="35" t="s">
        <v>161</v>
      </c>
      <c r="C891" s="35" t="s">
        <v>60</v>
      </c>
      <c r="D891" s="36">
        <v>600</v>
      </c>
      <c r="E891" s="12">
        <v>50</v>
      </c>
      <c r="F891" s="21">
        <f t="shared" si="57"/>
        <v>11.666666666666666</v>
      </c>
      <c r="G891" s="35">
        <v>0</v>
      </c>
      <c r="H891" s="35">
        <v>0</v>
      </c>
      <c r="I891" s="35">
        <v>0</v>
      </c>
      <c r="J891" s="35">
        <v>0</v>
      </c>
      <c r="K891" s="35">
        <v>0</v>
      </c>
      <c r="L891" s="36">
        <v>621</v>
      </c>
      <c r="M891" s="21">
        <v>1.21</v>
      </c>
      <c r="N891" s="21">
        <v>7.8</v>
      </c>
      <c r="O891" s="12">
        <v>0</v>
      </c>
      <c r="P891" s="35">
        <v>100</v>
      </c>
      <c r="Q891" s="35">
        <v>30</v>
      </c>
      <c r="R891" s="35">
        <v>180</v>
      </c>
      <c r="S891" s="35">
        <v>75</v>
      </c>
      <c r="T891" s="21">
        <v>2.3841961852861036</v>
      </c>
      <c r="U891" s="21">
        <f t="shared" si="58"/>
        <v>0.20435967302452318</v>
      </c>
      <c r="V891" s="37">
        <v>2.61</v>
      </c>
      <c r="W891" s="37">
        <v>30.33</v>
      </c>
      <c r="X891" s="37" t="s">
        <v>1</v>
      </c>
      <c r="Y891" s="23" t="s">
        <v>6</v>
      </c>
      <c r="Z891" s="21" t="s">
        <v>6</v>
      </c>
      <c r="AA891" s="37" t="s">
        <v>1</v>
      </c>
      <c r="AB891" s="37" t="s">
        <v>1</v>
      </c>
      <c r="AC891" s="27" t="s">
        <v>173</v>
      </c>
    </row>
    <row r="892" spans="1:29">
      <c r="A892" s="35" t="s">
        <v>197</v>
      </c>
      <c r="B892" s="35" t="s">
        <v>161</v>
      </c>
      <c r="C892" s="35" t="s">
        <v>60</v>
      </c>
      <c r="D892" s="36">
        <v>600</v>
      </c>
      <c r="E892" s="12">
        <v>50</v>
      </c>
      <c r="F892" s="21">
        <f t="shared" si="57"/>
        <v>11.666666666666666</v>
      </c>
      <c r="G892" s="35">
        <v>0</v>
      </c>
      <c r="H892" s="35">
        <v>0</v>
      </c>
      <c r="I892" s="35">
        <v>0</v>
      </c>
      <c r="J892" s="35">
        <v>0</v>
      </c>
      <c r="K892" s="35">
        <v>0</v>
      </c>
      <c r="L892" s="36">
        <v>800</v>
      </c>
      <c r="M892" s="21">
        <v>1.23</v>
      </c>
      <c r="N892" s="21">
        <v>6.1</v>
      </c>
      <c r="O892" s="12">
        <v>0</v>
      </c>
      <c r="P892" s="35">
        <v>100</v>
      </c>
      <c r="Q892" s="35">
        <v>30</v>
      </c>
      <c r="R892" s="35">
        <v>180</v>
      </c>
      <c r="S892" s="35">
        <v>75</v>
      </c>
      <c r="T892" s="21">
        <v>2.6339691189827432</v>
      </c>
      <c r="U892" s="21">
        <f t="shared" si="58"/>
        <v>0.2257687816270923</v>
      </c>
      <c r="V892" s="37">
        <v>2.72</v>
      </c>
      <c r="W892" s="37">
        <v>19.239999999999998</v>
      </c>
      <c r="X892" s="37" t="s">
        <v>1</v>
      </c>
      <c r="Y892" s="23" t="s">
        <v>6</v>
      </c>
      <c r="Z892" s="21" t="s">
        <v>6</v>
      </c>
      <c r="AA892" s="37" t="s">
        <v>1</v>
      </c>
      <c r="AB892" s="37" t="s">
        <v>1</v>
      </c>
      <c r="AC892" s="27" t="s">
        <v>173</v>
      </c>
    </row>
    <row r="893" spans="1:29">
      <c r="A893" s="35" t="s">
        <v>197</v>
      </c>
      <c r="B893" s="35" t="s">
        <v>161</v>
      </c>
      <c r="C893" s="35" t="s">
        <v>60</v>
      </c>
      <c r="D893" s="36">
        <v>600</v>
      </c>
      <c r="E893" s="12">
        <v>50</v>
      </c>
      <c r="F893" s="21">
        <f t="shared" si="57"/>
        <v>11.666666666666666</v>
      </c>
      <c r="G893" s="35">
        <v>0</v>
      </c>
      <c r="H893" s="35">
        <v>0</v>
      </c>
      <c r="I893" s="35">
        <v>0</v>
      </c>
      <c r="J893" s="35">
        <v>0</v>
      </c>
      <c r="K893" s="35">
        <v>0</v>
      </c>
      <c r="L893" s="36">
        <v>735</v>
      </c>
      <c r="M893" s="21">
        <v>1.03</v>
      </c>
      <c r="N893" s="21">
        <v>5.6</v>
      </c>
      <c r="O893" s="12">
        <v>0</v>
      </c>
      <c r="P893" s="35">
        <v>100</v>
      </c>
      <c r="Q893" s="35">
        <v>30</v>
      </c>
      <c r="R893" s="35">
        <v>180</v>
      </c>
      <c r="S893" s="35">
        <v>75</v>
      </c>
      <c r="T893" s="21">
        <v>2.11</v>
      </c>
      <c r="U893" s="21">
        <f t="shared" si="58"/>
        <v>0.18085714285714286</v>
      </c>
      <c r="V893" s="37">
        <v>2.72</v>
      </c>
      <c r="W893" s="37">
        <v>41.52</v>
      </c>
      <c r="X893" s="37" t="s">
        <v>1</v>
      </c>
      <c r="Y893" s="23" t="s">
        <v>6</v>
      </c>
      <c r="Z893" s="21" t="s">
        <v>6</v>
      </c>
      <c r="AA893" s="37" t="s">
        <v>1</v>
      </c>
      <c r="AB893" s="37" t="s">
        <v>1</v>
      </c>
      <c r="AC893" s="27" t="s">
        <v>173</v>
      </c>
    </row>
    <row r="894" spans="1:29" ht="13.8">
      <c r="A894" s="35" t="s">
        <v>16</v>
      </c>
      <c r="B894" s="35" t="s">
        <v>161</v>
      </c>
      <c r="C894" s="35" t="s">
        <v>189</v>
      </c>
      <c r="D894" s="36">
        <v>10000</v>
      </c>
      <c r="E894" s="12">
        <v>50</v>
      </c>
      <c r="F894" s="21">
        <f t="shared" si="57"/>
        <v>11.666666666666666</v>
      </c>
      <c r="G894" s="35">
        <v>0</v>
      </c>
      <c r="H894" s="35">
        <v>0</v>
      </c>
      <c r="I894" s="35">
        <v>0</v>
      </c>
      <c r="J894" s="35">
        <v>0</v>
      </c>
      <c r="K894" s="35">
        <v>0</v>
      </c>
      <c r="L894" s="36">
        <v>968</v>
      </c>
      <c r="M894" s="21">
        <v>0.87</v>
      </c>
      <c r="N894" s="21">
        <v>3.6</v>
      </c>
      <c r="O894" s="12">
        <v>0</v>
      </c>
      <c r="P894" s="35">
        <v>100</v>
      </c>
      <c r="Q894" s="35">
        <v>30</v>
      </c>
      <c r="R894" s="35">
        <v>180</v>
      </c>
      <c r="S894" s="35">
        <v>75</v>
      </c>
      <c r="T894" s="21">
        <v>2.2479564032697548</v>
      </c>
      <c r="U894" s="21">
        <f t="shared" si="58"/>
        <v>0.19268197742312185</v>
      </c>
      <c r="V894" s="37">
        <v>1.2</v>
      </c>
      <c r="W894" s="61">
        <v>47.6</v>
      </c>
      <c r="X894" s="37" t="s">
        <v>1</v>
      </c>
      <c r="Y894" s="23" t="s">
        <v>6</v>
      </c>
      <c r="Z894" s="21" t="s">
        <v>6</v>
      </c>
      <c r="AA894" s="37" t="s">
        <v>1</v>
      </c>
      <c r="AB894" s="37" t="s">
        <v>1</v>
      </c>
      <c r="AC894" s="27" t="s">
        <v>173</v>
      </c>
    </row>
    <row r="895" spans="1:29" ht="13.8">
      <c r="A895" s="35" t="s">
        <v>16</v>
      </c>
      <c r="B895" s="35" t="s">
        <v>161</v>
      </c>
      <c r="C895" s="35" t="s">
        <v>189</v>
      </c>
      <c r="D895" s="36">
        <v>10000</v>
      </c>
      <c r="E895" s="12">
        <v>60</v>
      </c>
      <c r="F895" s="21">
        <f t="shared" si="57"/>
        <v>14</v>
      </c>
      <c r="G895" s="35">
        <v>0</v>
      </c>
      <c r="H895" s="35">
        <v>0</v>
      </c>
      <c r="I895" s="35">
        <v>0</v>
      </c>
      <c r="J895" s="35">
        <v>0</v>
      </c>
      <c r="K895" s="35">
        <v>0</v>
      </c>
      <c r="L895" s="36">
        <v>968</v>
      </c>
      <c r="M895" s="21">
        <v>0.87</v>
      </c>
      <c r="N895" s="21">
        <v>3.6</v>
      </c>
      <c r="O895" s="12">
        <v>0</v>
      </c>
      <c r="P895" s="35">
        <v>100</v>
      </c>
      <c r="Q895" s="35">
        <v>30</v>
      </c>
      <c r="R895" s="35">
        <v>180</v>
      </c>
      <c r="S895" s="35">
        <v>75</v>
      </c>
      <c r="T895" s="21">
        <v>2.6339691189827432</v>
      </c>
      <c r="U895" s="21">
        <f t="shared" si="58"/>
        <v>0.18814065135591024</v>
      </c>
      <c r="V895" s="37" t="s">
        <v>1</v>
      </c>
      <c r="W895" s="61" t="s">
        <v>1</v>
      </c>
      <c r="X895" s="37" t="s">
        <v>1</v>
      </c>
      <c r="Y895" s="23" t="s">
        <v>6</v>
      </c>
      <c r="Z895" s="21" t="s">
        <v>6</v>
      </c>
      <c r="AA895" s="37" t="s">
        <v>1</v>
      </c>
      <c r="AB895" s="37" t="s">
        <v>1</v>
      </c>
      <c r="AC895" s="27" t="s">
        <v>173</v>
      </c>
    </row>
    <row r="896" spans="1:29" ht="13.8">
      <c r="A896" s="35" t="s">
        <v>196</v>
      </c>
      <c r="B896" s="35" t="s">
        <v>161</v>
      </c>
      <c r="C896" s="35" t="s">
        <v>189</v>
      </c>
      <c r="D896" s="36">
        <v>10000</v>
      </c>
      <c r="E896" s="12">
        <v>50</v>
      </c>
      <c r="F896" s="21">
        <f t="shared" si="57"/>
        <v>11.666666666666666</v>
      </c>
      <c r="G896" s="35">
        <v>0</v>
      </c>
      <c r="H896" s="35">
        <v>0</v>
      </c>
      <c r="I896" s="35">
        <v>0</v>
      </c>
      <c r="J896" s="35">
        <v>0</v>
      </c>
      <c r="K896" s="35">
        <v>0</v>
      </c>
      <c r="L896" s="36">
        <v>256</v>
      </c>
      <c r="M896" s="21">
        <v>1.05</v>
      </c>
      <c r="N896" s="21">
        <v>16.5</v>
      </c>
      <c r="O896" s="12">
        <v>0</v>
      </c>
      <c r="P896" s="35">
        <v>100</v>
      </c>
      <c r="Q896" s="35">
        <v>30</v>
      </c>
      <c r="R896" s="35">
        <v>180</v>
      </c>
      <c r="S896" s="35">
        <v>75</v>
      </c>
      <c r="T896" s="21">
        <v>1.6575840145322434</v>
      </c>
      <c r="U896" s="21">
        <f t="shared" si="58"/>
        <v>0.14207862981704944</v>
      </c>
      <c r="V896" s="37">
        <v>1.89</v>
      </c>
      <c r="W896" s="61">
        <v>73.239999999999995</v>
      </c>
      <c r="X896" s="37" t="s">
        <v>1</v>
      </c>
      <c r="Y896" s="23" t="s">
        <v>6</v>
      </c>
      <c r="Z896" s="21" t="s">
        <v>6</v>
      </c>
      <c r="AA896" s="37" t="s">
        <v>1</v>
      </c>
      <c r="AB896" s="37" t="s">
        <v>1</v>
      </c>
      <c r="AC896" s="27" t="s">
        <v>173</v>
      </c>
    </row>
    <row r="897" spans="1:29">
      <c r="A897" s="35" t="s">
        <v>196</v>
      </c>
      <c r="B897" s="35" t="s">
        <v>161</v>
      </c>
      <c r="C897" s="35" t="s">
        <v>189</v>
      </c>
      <c r="D897" s="36">
        <v>10000</v>
      </c>
      <c r="E897" s="12">
        <v>50</v>
      </c>
      <c r="F897" s="21">
        <f t="shared" ref="F897:F915" si="59">E897*226.51*10/D897</f>
        <v>11.3255</v>
      </c>
      <c r="G897" s="35">
        <v>0</v>
      </c>
      <c r="H897" s="35">
        <v>0</v>
      </c>
      <c r="I897" s="35">
        <v>0</v>
      </c>
      <c r="J897" s="35">
        <v>0</v>
      </c>
      <c r="K897" s="35">
        <v>0</v>
      </c>
      <c r="L897" s="36">
        <v>253</v>
      </c>
      <c r="M897" s="21">
        <v>1.24</v>
      </c>
      <c r="N897" s="21">
        <v>19.600000000000001</v>
      </c>
      <c r="O897" s="12">
        <v>0</v>
      </c>
      <c r="P897" s="35">
        <v>100</v>
      </c>
      <c r="Q897" s="35">
        <v>30</v>
      </c>
      <c r="R897" s="35">
        <v>180</v>
      </c>
      <c r="S897" s="35">
        <v>75</v>
      </c>
      <c r="T897" s="21">
        <v>2.6339691189827432</v>
      </c>
      <c r="U897" s="21">
        <f t="shared" si="58"/>
        <v>0.23256978667456124</v>
      </c>
      <c r="V897" s="37">
        <v>1.1499999999999999</v>
      </c>
      <c r="W897" s="62">
        <v>17.100000000000001</v>
      </c>
      <c r="X897" s="37" t="s">
        <v>1</v>
      </c>
      <c r="Y897" s="23" t="s">
        <v>6</v>
      </c>
      <c r="Z897" s="21" t="s">
        <v>6</v>
      </c>
      <c r="AA897" s="37" t="s">
        <v>1</v>
      </c>
      <c r="AB897" s="37" t="s">
        <v>1</v>
      </c>
      <c r="AC897" s="27" t="s">
        <v>173</v>
      </c>
    </row>
    <row r="898" spans="1:29">
      <c r="A898" s="35" t="s">
        <v>196</v>
      </c>
      <c r="B898" s="35" t="s">
        <v>161</v>
      </c>
      <c r="C898" s="35" t="s">
        <v>188</v>
      </c>
      <c r="D898" s="36">
        <v>10000</v>
      </c>
      <c r="E898" s="12">
        <v>50</v>
      </c>
      <c r="F898" s="21">
        <f t="shared" si="59"/>
        <v>11.3255</v>
      </c>
      <c r="G898" s="35">
        <v>0</v>
      </c>
      <c r="H898" s="35">
        <v>0</v>
      </c>
      <c r="I898" s="35">
        <v>0</v>
      </c>
      <c r="J898" s="35">
        <v>0</v>
      </c>
      <c r="K898" s="35">
        <v>0</v>
      </c>
      <c r="L898" s="36">
        <v>240</v>
      </c>
      <c r="M898" s="21">
        <v>1.1000000000000001</v>
      </c>
      <c r="N898" s="21">
        <v>18.399999999999999</v>
      </c>
      <c r="O898" s="12">
        <v>0</v>
      </c>
      <c r="P898" s="35">
        <v>100</v>
      </c>
      <c r="Q898" s="35">
        <v>30</v>
      </c>
      <c r="R898" s="35">
        <v>180</v>
      </c>
      <c r="S898" s="35">
        <v>75</v>
      </c>
      <c r="T898" s="21">
        <v>2.7020890099909174</v>
      </c>
      <c r="U898" s="21">
        <f t="shared" si="58"/>
        <v>0.23858452253683435</v>
      </c>
      <c r="V898" s="37">
        <v>1.03</v>
      </c>
      <c r="W898" s="62">
        <v>33.53</v>
      </c>
      <c r="X898" s="37" t="s">
        <v>1</v>
      </c>
      <c r="Y898" s="23" t="s">
        <v>6</v>
      </c>
      <c r="Z898" s="21" t="s">
        <v>6</v>
      </c>
      <c r="AA898" s="37" t="s">
        <v>1</v>
      </c>
      <c r="AB898" s="37" t="s">
        <v>1</v>
      </c>
      <c r="AC898" s="27" t="s">
        <v>173</v>
      </c>
    </row>
    <row r="899" spans="1:29">
      <c r="A899" s="35" t="s">
        <v>196</v>
      </c>
      <c r="B899" s="35" t="s">
        <v>161</v>
      </c>
      <c r="C899" s="35" t="s">
        <v>188</v>
      </c>
      <c r="D899" s="36">
        <v>10000</v>
      </c>
      <c r="E899" s="12">
        <v>60</v>
      </c>
      <c r="F899" s="21">
        <f t="shared" si="59"/>
        <v>13.5906</v>
      </c>
      <c r="G899" s="35">
        <v>0</v>
      </c>
      <c r="H899" s="35">
        <v>0</v>
      </c>
      <c r="I899" s="35">
        <v>0</v>
      </c>
      <c r="J899" s="35">
        <v>0</v>
      </c>
      <c r="K899" s="35">
        <v>0</v>
      </c>
      <c r="L899" s="36">
        <v>240</v>
      </c>
      <c r="M899" s="21">
        <v>1.1000000000000001</v>
      </c>
      <c r="N899" s="21">
        <v>18.399999999999999</v>
      </c>
      <c r="O899" s="12">
        <v>0</v>
      </c>
      <c r="P899" s="35">
        <v>100</v>
      </c>
      <c r="Q899" s="35">
        <v>30</v>
      </c>
      <c r="R899" s="35">
        <v>180</v>
      </c>
      <c r="S899" s="35">
        <v>75</v>
      </c>
      <c r="T899" s="21">
        <v>2.7247956403269757</v>
      </c>
      <c r="U899" s="21">
        <f t="shared" si="58"/>
        <v>0.20049119540910451</v>
      </c>
      <c r="V899" s="37" t="s">
        <v>1</v>
      </c>
      <c r="W899" s="62" t="s">
        <v>1</v>
      </c>
      <c r="X899" s="37" t="s">
        <v>1</v>
      </c>
      <c r="Y899" s="23" t="s">
        <v>6</v>
      </c>
      <c r="Z899" s="21" t="s">
        <v>6</v>
      </c>
      <c r="AA899" s="37" t="s">
        <v>1</v>
      </c>
      <c r="AB899" s="37" t="s">
        <v>1</v>
      </c>
      <c r="AC899" s="27" t="s">
        <v>173</v>
      </c>
    </row>
    <row r="900" spans="1:29">
      <c r="A900" s="35" t="s">
        <v>196</v>
      </c>
      <c r="B900" s="35" t="s">
        <v>161</v>
      </c>
      <c r="C900" s="35" t="s">
        <v>188</v>
      </c>
      <c r="D900" s="36">
        <v>10000</v>
      </c>
      <c r="E900" s="12">
        <v>50</v>
      </c>
      <c r="F900" s="21">
        <f t="shared" si="59"/>
        <v>11.3255</v>
      </c>
      <c r="G900" s="35">
        <v>0</v>
      </c>
      <c r="H900" s="35">
        <v>0</v>
      </c>
      <c r="I900" s="35">
        <v>0</v>
      </c>
      <c r="J900" s="35">
        <v>0</v>
      </c>
      <c r="K900" s="35">
        <v>0</v>
      </c>
      <c r="L900" s="36">
        <v>237</v>
      </c>
      <c r="M900" s="21">
        <v>1.38</v>
      </c>
      <c r="N900" s="21">
        <v>23.3</v>
      </c>
      <c r="O900" s="12">
        <v>0</v>
      </c>
      <c r="P900" s="35">
        <v>100</v>
      </c>
      <c r="Q900" s="35">
        <v>30</v>
      </c>
      <c r="R900" s="35">
        <v>180</v>
      </c>
      <c r="S900" s="35">
        <v>75</v>
      </c>
      <c r="T900" s="21">
        <v>2.9291553133514987</v>
      </c>
      <c r="U900" s="21">
        <f t="shared" si="58"/>
        <v>0.25863364207774481</v>
      </c>
      <c r="V900" s="37">
        <v>1</v>
      </c>
      <c r="W900" s="62">
        <v>8.32</v>
      </c>
      <c r="X900" s="37" t="s">
        <v>1</v>
      </c>
      <c r="Y900" s="23" t="s">
        <v>6</v>
      </c>
      <c r="Z900" s="21" t="s">
        <v>6</v>
      </c>
      <c r="AA900" s="37" t="s">
        <v>1</v>
      </c>
      <c r="AB900" s="37" t="s">
        <v>1</v>
      </c>
      <c r="AC900" s="27" t="s">
        <v>173</v>
      </c>
    </row>
    <row r="901" spans="1:29">
      <c r="A901" s="35" t="s">
        <v>196</v>
      </c>
      <c r="B901" s="35" t="s">
        <v>161</v>
      </c>
      <c r="C901" s="35" t="s">
        <v>188</v>
      </c>
      <c r="D901" s="36">
        <v>10000</v>
      </c>
      <c r="E901" s="12">
        <v>50</v>
      </c>
      <c r="F901" s="21">
        <f t="shared" si="59"/>
        <v>11.3255</v>
      </c>
      <c r="G901" s="35">
        <v>0</v>
      </c>
      <c r="H901" s="35">
        <v>0</v>
      </c>
      <c r="I901" s="35">
        <v>0</v>
      </c>
      <c r="J901" s="35">
        <v>0</v>
      </c>
      <c r="K901" s="35">
        <v>0</v>
      </c>
      <c r="L901" s="36">
        <v>400</v>
      </c>
      <c r="M901" s="21">
        <v>1.1299999999999999</v>
      </c>
      <c r="N901" s="21">
        <v>11.3</v>
      </c>
      <c r="O901" s="12">
        <v>0</v>
      </c>
      <c r="P901" s="35">
        <v>100</v>
      </c>
      <c r="Q901" s="35">
        <v>30</v>
      </c>
      <c r="R901" s="35">
        <v>180</v>
      </c>
      <c r="S901" s="35">
        <v>75</v>
      </c>
      <c r="T901" s="21">
        <v>1.7029972752043596</v>
      </c>
      <c r="U901" s="21">
        <f t="shared" si="58"/>
        <v>0.15036839655682838</v>
      </c>
      <c r="V901" s="37">
        <v>2.35</v>
      </c>
      <c r="W901" s="62">
        <v>67.510000000000005</v>
      </c>
      <c r="X901" s="37" t="s">
        <v>1</v>
      </c>
      <c r="Y901" s="23" t="s">
        <v>6</v>
      </c>
      <c r="Z901" s="21" t="s">
        <v>6</v>
      </c>
      <c r="AA901" s="37" t="s">
        <v>1</v>
      </c>
      <c r="AB901" s="37" t="s">
        <v>1</v>
      </c>
      <c r="AC901" s="27" t="s">
        <v>173</v>
      </c>
    </row>
    <row r="902" spans="1:29">
      <c r="A902" s="35" t="s">
        <v>196</v>
      </c>
      <c r="B902" s="35" t="s">
        <v>161</v>
      </c>
      <c r="C902" s="35" t="s">
        <v>188</v>
      </c>
      <c r="D902" s="36">
        <v>10000</v>
      </c>
      <c r="E902" s="12">
        <v>50</v>
      </c>
      <c r="F902" s="21">
        <f t="shared" si="59"/>
        <v>11.3255</v>
      </c>
      <c r="G902" s="35">
        <v>0</v>
      </c>
      <c r="H902" s="35">
        <v>0</v>
      </c>
      <c r="I902" s="35">
        <v>0</v>
      </c>
      <c r="J902" s="35">
        <v>0</v>
      </c>
      <c r="K902" s="35">
        <v>0</v>
      </c>
      <c r="L902" s="36">
        <v>756</v>
      </c>
      <c r="M902" s="21">
        <v>1.95</v>
      </c>
      <c r="N902" s="21">
        <v>10.3</v>
      </c>
      <c r="O902" s="12">
        <v>0</v>
      </c>
      <c r="P902" s="35">
        <v>100</v>
      </c>
      <c r="Q902" s="35">
        <v>30</v>
      </c>
      <c r="R902" s="35">
        <v>180</v>
      </c>
      <c r="S902" s="35">
        <v>50</v>
      </c>
      <c r="T902" s="21">
        <v>2.4977293369663944</v>
      </c>
      <c r="U902" s="21">
        <f t="shared" si="58"/>
        <v>0.22054031495001497</v>
      </c>
      <c r="V902" s="37">
        <v>1.57</v>
      </c>
      <c r="W902" s="62">
        <v>38.700000000000003</v>
      </c>
      <c r="X902" s="37" t="s">
        <v>1</v>
      </c>
      <c r="Y902" s="23" t="s">
        <v>6</v>
      </c>
      <c r="Z902" s="21" t="s">
        <v>6</v>
      </c>
      <c r="AA902" s="37" t="s">
        <v>1</v>
      </c>
      <c r="AB902" s="37" t="s">
        <v>1</v>
      </c>
      <c r="AC902" s="27" t="s">
        <v>173</v>
      </c>
    </row>
    <row r="903" spans="1:29">
      <c r="A903" s="35" t="s">
        <v>196</v>
      </c>
      <c r="B903" s="35" t="s">
        <v>161</v>
      </c>
      <c r="C903" s="35" t="s">
        <v>188</v>
      </c>
      <c r="D903" s="36">
        <v>10000</v>
      </c>
      <c r="E903" s="12">
        <v>50</v>
      </c>
      <c r="F903" s="21">
        <f t="shared" si="59"/>
        <v>11.3255</v>
      </c>
      <c r="G903" s="35">
        <v>0</v>
      </c>
      <c r="H903" s="35">
        <v>0</v>
      </c>
      <c r="I903" s="35">
        <v>0</v>
      </c>
      <c r="J903" s="35">
        <v>0</v>
      </c>
      <c r="K903" s="35">
        <v>0</v>
      </c>
      <c r="L903" s="36">
        <v>756</v>
      </c>
      <c r="M903" s="21">
        <v>1.95</v>
      </c>
      <c r="N903" s="21">
        <v>10.3</v>
      </c>
      <c r="O903" s="12">
        <v>0</v>
      </c>
      <c r="P903" s="35">
        <v>100</v>
      </c>
      <c r="Q903" s="35">
        <v>30</v>
      </c>
      <c r="R903" s="35">
        <v>180</v>
      </c>
      <c r="S903" s="35">
        <v>75</v>
      </c>
      <c r="T903" s="21">
        <v>2.8383287920072662</v>
      </c>
      <c r="U903" s="21">
        <f t="shared" si="58"/>
        <v>0.25061399426138065</v>
      </c>
      <c r="V903" s="37">
        <v>1.35</v>
      </c>
      <c r="W903" s="62">
        <v>4.18</v>
      </c>
      <c r="X903" s="37" t="s">
        <v>1</v>
      </c>
      <c r="Y903" s="23" t="s">
        <v>6</v>
      </c>
      <c r="Z903" s="21" t="s">
        <v>6</v>
      </c>
      <c r="AA903" s="37" t="s">
        <v>1</v>
      </c>
      <c r="AB903" s="37" t="s">
        <v>1</v>
      </c>
      <c r="AC903" s="27" t="s">
        <v>173</v>
      </c>
    </row>
    <row r="904" spans="1:29">
      <c r="A904" s="35" t="s">
        <v>197</v>
      </c>
      <c r="B904" s="35" t="s">
        <v>161</v>
      </c>
      <c r="C904" s="35" t="s">
        <v>188</v>
      </c>
      <c r="D904" s="36">
        <v>10000</v>
      </c>
      <c r="E904" s="12">
        <v>50</v>
      </c>
      <c r="F904" s="21">
        <f t="shared" si="59"/>
        <v>11.3255</v>
      </c>
      <c r="G904" s="35">
        <v>0</v>
      </c>
      <c r="H904" s="35">
        <v>0</v>
      </c>
      <c r="I904" s="35">
        <v>0</v>
      </c>
      <c r="J904" s="35">
        <v>0</v>
      </c>
      <c r="K904" s="35">
        <v>0</v>
      </c>
      <c r="L904" s="36">
        <v>756</v>
      </c>
      <c r="M904" s="21">
        <v>1.95</v>
      </c>
      <c r="N904" s="21">
        <v>10.3</v>
      </c>
      <c r="O904" s="12">
        <v>0</v>
      </c>
      <c r="P904" s="35">
        <v>100</v>
      </c>
      <c r="Q904" s="35">
        <v>30</v>
      </c>
      <c r="R904" s="35">
        <v>180</v>
      </c>
      <c r="S904" s="35">
        <v>100</v>
      </c>
      <c r="T904" s="21">
        <v>2.3387829246139873</v>
      </c>
      <c r="U904" s="21">
        <f t="shared" si="58"/>
        <v>0.20650593127137762</v>
      </c>
      <c r="V904" s="37">
        <v>1.59</v>
      </c>
      <c r="W904" s="62">
        <v>4.33</v>
      </c>
      <c r="X904" s="37" t="s">
        <v>1</v>
      </c>
      <c r="Y904" s="23" t="s">
        <v>6</v>
      </c>
      <c r="Z904" s="21" t="s">
        <v>6</v>
      </c>
      <c r="AA904" s="37" t="s">
        <v>1</v>
      </c>
      <c r="AB904" s="37" t="s">
        <v>1</v>
      </c>
      <c r="AC904" s="27" t="s">
        <v>173</v>
      </c>
    </row>
    <row r="905" spans="1:29">
      <c r="A905" s="35" t="s">
        <v>197</v>
      </c>
      <c r="B905" s="35" t="s">
        <v>161</v>
      </c>
      <c r="C905" s="35" t="s">
        <v>188</v>
      </c>
      <c r="D905" s="36">
        <v>10000</v>
      </c>
      <c r="E905" s="12">
        <v>70</v>
      </c>
      <c r="F905" s="21">
        <f t="shared" si="59"/>
        <v>15.855700000000001</v>
      </c>
      <c r="G905" s="35">
        <v>0</v>
      </c>
      <c r="H905" s="35">
        <v>0</v>
      </c>
      <c r="I905" s="35">
        <v>0</v>
      </c>
      <c r="J905" s="35">
        <v>0</v>
      </c>
      <c r="K905" s="35">
        <v>0</v>
      </c>
      <c r="L905" s="36">
        <v>756</v>
      </c>
      <c r="M905" s="21">
        <v>1.95</v>
      </c>
      <c r="N905" s="21">
        <v>10.3</v>
      </c>
      <c r="O905" s="12">
        <v>0</v>
      </c>
      <c r="P905" s="35">
        <v>100</v>
      </c>
      <c r="Q905" s="35">
        <v>30</v>
      </c>
      <c r="R905" s="35">
        <v>180</v>
      </c>
      <c r="S905" s="35">
        <v>50</v>
      </c>
      <c r="T905" s="21">
        <v>2.6112624886466849</v>
      </c>
      <c r="U905" s="21">
        <f t="shared" si="58"/>
        <v>0.16468919622890726</v>
      </c>
      <c r="V905" s="37">
        <v>3.89</v>
      </c>
      <c r="W905" s="62">
        <v>58.28</v>
      </c>
      <c r="X905" s="37" t="s">
        <v>1</v>
      </c>
      <c r="Y905" s="23" t="s">
        <v>6</v>
      </c>
      <c r="Z905" s="21" t="s">
        <v>6</v>
      </c>
      <c r="AA905" s="37" t="s">
        <v>1</v>
      </c>
      <c r="AB905" s="37" t="s">
        <v>1</v>
      </c>
      <c r="AC905" s="27" t="s">
        <v>173</v>
      </c>
    </row>
    <row r="906" spans="1:29">
      <c r="A906" s="35" t="s">
        <v>197</v>
      </c>
      <c r="B906" s="35" t="s">
        <v>161</v>
      </c>
      <c r="C906" s="35" t="s">
        <v>188</v>
      </c>
      <c r="D906" s="36">
        <v>10000</v>
      </c>
      <c r="E906" s="12">
        <v>70</v>
      </c>
      <c r="F906" s="21">
        <f t="shared" si="59"/>
        <v>15.855700000000001</v>
      </c>
      <c r="G906" s="35">
        <v>0</v>
      </c>
      <c r="H906" s="35">
        <v>0</v>
      </c>
      <c r="I906" s="35">
        <v>0</v>
      </c>
      <c r="J906" s="35">
        <v>0</v>
      </c>
      <c r="K906" s="35">
        <v>0</v>
      </c>
      <c r="L906" s="36">
        <v>756</v>
      </c>
      <c r="M906" s="21">
        <v>1.95</v>
      </c>
      <c r="N906" s="21">
        <v>10.3</v>
      </c>
      <c r="O906" s="12">
        <v>0</v>
      </c>
      <c r="P906" s="35">
        <v>100</v>
      </c>
      <c r="Q906" s="35">
        <v>30</v>
      </c>
      <c r="R906" s="35">
        <v>180</v>
      </c>
      <c r="S906" s="35">
        <v>75</v>
      </c>
      <c r="T906" s="21">
        <v>3.8601271571298819</v>
      </c>
      <c r="U906" s="21">
        <f t="shared" si="58"/>
        <v>0.24345359442534115</v>
      </c>
      <c r="V906" s="37">
        <v>2.72</v>
      </c>
      <c r="W906" s="62">
        <v>42.59</v>
      </c>
      <c r="X906" s="37">
        <v>105</v>
      </c>
      <c r="Y906" s="23" t="s">
        <v>6</v>
      </c>
      <c r="Z906" s="21">
        <v>2.7647058823529345</v>
      </c>
      <c r="AA906" s="37">
        <v>10</v>
      </c>
      <c r="AB906" s="37" t="s">
        <v>1</v>
      </c>
      <c r="AC906" s="27" t="s">
        <v>173</v>
      </c>
    </row>
    <row r="907" spans="1:29">
      <c r="A907" s="35" t="s">
        <v>197</v>
      </c>
      <c r="B907" s="35" t="s">
        <v>161</v>
      </c>
      <c r="C907" s="35" t="s">
        <v>188</v>
      </c>
      <c r="D907" s="36">
        <v>10000</v>
      </c>
      <c r="E907" s="12">
        <v>70</v>
      </c>
      <c r="F907" s="21">
        <f t="shared" si="59"/>
        <v>15.855700000000001</v>
      </c>
      <c r="G907" s="35">
        <v>0</v>
      </c>
      <c r="H907" s="35">
        <v>0</v>
      </c>
      <c r="I907" s="35">
        <v>0</v>
      </c>
      <c r="J907" s="35">
        <v>0</v>
      </c>
      <c r="K907" s="35">
        <v>0</v>
      </c>
      <c r="L907" s="36">
        <v>756</v>
      </c>
      <c r="M907" s="21">
        <v>1.95</v>
      </c>
      <c r="N907" s="21">
        <v>10.3</v>
      </c>
      <c r="O907" s="12">
        <v>0</v>
      </c>
      <c r="P907" s="35">
        <v>100</v>
      </c>
      <c r="Q907" s="35">
        <v>30</v>
      </c>
      <c r="R907" s="35">
        <v>180</v>
      </c>
      <c r="S907" s="35">
        <v>100</v>
      </c>
      <c r="T907" s="21">
        <v>3.8374205267938239</v>
      </c>
      <c r="U907" s="21">
        <f t="shared" si="58"/>
        <v>0.24202151445813327</v>
      </c>
      <c r="V907" s="37">
        <v>4.78</v>
      </c>
      <c r="W907" s="62">
        <v>7.35</v>
      </c>
      <c r="X907" s="37" t="s">
        <v>1</v>
      </c>
      <c r="Y907" s="23" t="s">
        <v>6</v>
      </c>
      <c r="Z907" s="21" t="s">
        <v>6</v>
      </c>
      <c r="AA907" s="37" t="s">
        <v>1</v>
      </c>
      <c r="AB907" s="37" t="s">
        <v>1</v>
      </c>
      <c r="AC907" s="27" t="s">
        <v>173</v>
      </c>
    </row>
    <row r="908" spans="1:29">
      <c r="A908" s="35" t="s">
        <v>197</v>
      </c>
      <c r="B908" s="35" t="s">
        <v>161</v>
      </c>
      <c r="C908" s="35" t="s">
        <v>188</v>
      </c>
      <c r="D908" s="36">
        <v>10000</v>
      </c>
      <c r="E908" s="12">
        <v>75</v>
      </c>
      <c r="F908" s="21">
        <f t="shared" si="59"/>
        <v>16.988250000000001</v>
      </c>
      <c r="G908" s="35">
        <v>0</v>
      </c>
      <c r="H908" s="35">
        <v>0</v>
      </c>
      <c r="I908" s="35">
        <v>0</v>
      </c>
      <c r="J908" s="35">
        <v>0</v>
      </c>
      <c r="K908" s="35">
        <v>0</v>
      </c>
      <c r="L908" s="36">
        <v>756</v>
      </c>
      <c r="M908" s="21">
        <v>1.95</v>
      </c>
      <c r="N908" s="21">
        <v>10.3</v>
      </c>
      <c r="O908" s="12">
        <v>0</v>
      </c>
      <c r="P908" s="35">
        <v>100</v>
      </c>
      <c r="Q908" s="35">
        <v>30</v>
      </c>
      <c r="R908" s="35">
        <v>180</v>
      </c>
      <c r="S908" s="35">
        <v>75</v>
      </c>
      <c r="T908" s="21">
        <v>3.6784741144414168</v>
      </c>
      <c r="U908" s="21">
        <f t="shared" si="58"/>
        <v>0.21653049104183283</v>
      </c>
      <c r="V908" s="37">
        <v>2.06</v>
      </c>
      <c r="W908" s="62">
        <v>36.700000000000003</v>
      </c>
      <c r="X908" s="37" t="s">
        <v>1</v>
      </c>
      <c r="Y908" s="23" t="s">
        <v>6</v>
      </c>
      <c r="Z908" s="21" t="s">
        <v>6</v>
      </c>
      <c r="AA908" s="37" t="s">
        <v>1</v>
      </c>
      <c r="AB908" s="37" t="s">
        <v>1</v>
      </c>
      <c r="AC908" s="27" t="s">
        <v>173</v>
      </c>
    </row>
    <row r="909" spans="1:29">
      <c r="A909" s="35" t="s">
        <v>197</v>
      </c>
      <c r="B909" s="35" t="s">
        <v>161</v>
      </c>
      <c r="C909" s="35" t="s">
        <v>188</v>
      </c>
      <c r="D909" s="36">
        <v>10000</v>
      </c>
      <c r="E909" s="12">
        <v>50</v>
      </c>
      <c r="F909" s="21">
        <f t="shared" si="59"/>
        <v>11.3255</v>
      </c>
      <c r="G909" s="35">
        <v>0</v>
      </c>
      <c r="H909" s="35">
        <v>0</v>
      </c>
      <c r="I909" s="35">
        <v>0</v>
      </c>
      <c r="J909" s="35">
        <v>0</v>
      </c>
      <c r="K909" s="35">
        <v>0</v>
      </c>
      <c r="L909" s="36">
        <v>720</v>
      </c>
      <c r="M909" s="21">
        <v>1.71</v>
      </c>
      <c r="N909" s="21">
        <v>9.5</v>
      </c>
      <c r="O909" s="12">
        <v>0</v>
      </c>
      <c r="P909" s="35">
        <v>100</v>
      </c>
      <c r="Q909" s="35">
        <v>30</v>
      </c>
      <c r="R909" s="35">
        <v>180</v>
      </c>
      <c r="S909" s="35">
        <v>75</v>
      </c>
      <c r="T909" s="21">
        <v>2.8837420526793824</v>
      </c>
      <c r="U909" s="21">
        <f t="shared" si="58"/>
        <v>0.2546238181695627</v>
      </c>
      <c r="V909" s="37">
        <v>1</v>
      </c>
      <c r="W909" s="62">
        <v>6.54</v>
      </c>
      <c r="X909" s="37" t="s">
        <v>1</v>
      </c>
      <c r="Y909" s="23" t="s">
        <v>6</v>
      </c>
      <c r="Z909" s="21" t="s">
        <v>6</v>
      </c>
      <c r="AA909" s="37" t="s">
        <v>1</v>
      </c>
      <c r="AB909" s="37" t="s">
        <v>1</v>
      </c>
      <c r="AC909" s="27" t="s">
        <v>173</v>
      </c>
    </row>
    <row r="910" spans="1:29">
      <c r="A910" s="35" t="s">
        <v>197</v>
      </c>
      <c r="B910" s="35" t="s">
        <v>161</v>
      </c>
      <c r="C910" s="35" t="s">
        <v>188</v>
      </c>
      <c r="D910" s="36">
        <v>10000</v>
      </c>
      <c r="E910" s="12">
        <v>50</v>
      </c>
      <c r="F910" s="21">
        <f t="shared" si="59"/>
        <v>11.3255</v>
      </c>
      <c r="G910" s="35">
        <v>0</v>
      </c>
      <c r="H910" s="35">
        <v>0</v>
      </c>
      <c r="I910" s="35">
        <v>0</v>
      </c>
      <c r="J910" s="35">
        <v>0</v>
      </c>
      <c r="K910" s="35">
        <v>0</v>
      </c>
      <c r="L910" s="36">
        <v>525</v>
      </c>
      <c r="M910" s="21">
        <v>1.17</v>
      </c>
      <c r="N910" s="21">
        <v>8.9</v>
      </c>
      <c r="O910" s="12">
        <v>0</v>
      </c>
      <c r="P910" s="35">
        <v>100</v>
      </c>
      <c r="Q910" s="35">
        <v>30</v>
      </c>
      <c r="R910" s="35">
        <v>180</v>
      </c>
      <c r="S910" s="35">
        <v>75</v>
      </c>
      <c r="T910" s="21">
        <v>2.4977293369663944</v>
      </c>
      <c r="U910" s="21">
        <f t="shared" si="58"/>
        <v>0.22054031495001497</v>
      </c>
      <c r="V910" s="37">
        <v>1.45</v>
      </c>
      <c r="W910" s="62">
        <v>26.19</v>
      </c>
      <c r="X910" s="37" t="s">
        <v>1</v>
      </c>
      <c r="Y910" s="23" t="s">
        <v>6</v>
      </c>
      <c r="Z910" s="21" t="s">
        <v>6</v>
      </c>
      <c r="AA910" s="37" t="s">
        <v>1</v>
      </c>
      <c r="AB910" s="37" t="s">
        <v>1</v>
      </c>
      <c r="AC910" s="27" t="s">
        <v>173</v>
      </c>
    </row>
    <row r="911" spans="1:29">
      <c r="A911" s="35" t="s">
        <v>197</v>
      </c>
      <c r="B911" s="35" t="s">
        <v>161</v>
      </c>
      <c r="C911" s="35" t="s">
        <v>188</v>
      </c>
      <c r="D911" s="36">
        <v>10000</v>
      </c>
      <c r="E911" s="12">
        <v>50</v>
      </c>
      <c r="F911" s="21">
        <f t="shared" si="59"/>
        <v>11.3255</v>
      </c>
      <c r="G911" s="35">
        <v>0</v>
      </c>
      <c r="H911" s="35">
        <v>0</v>
      </c>
      <c r="I911" s="35">
        <v>0</v>
      </c>
      <c r="J911" s="35">
        <v>0</v>
      </c>
      <c r="K911" s="35">
        <v>0</v>
      </c>
      <c r="L911" s="36">
        <v>752</v>
      </c>
      <c r="M911" s="21">
        <v>1.6</v>
      </c>
      <c r="N911" s="21">
        <v>8.9</v>
      </c>
      <c r="O911" s="12">
        <v>0</v>
      </c>
      <c r="P911" s="35">
        <v>100</v>
      </c>
      <c r="Q911" s="35">
        <v>30</v>
      </c>
      <c r="R911" s="35">
        <v>180</v>
      </c>
      <c r="S911" s="35">
        <v>75</v>
      </c>
      <c r="T911" s="21">
        <v>2.6566757493188011</v>
      </c>
      <c r="U911" s="21">
        <f t="shared" si="58"/>
        <v>0.23457469862865227</v>
      </c>
      <c r="V911" s="37">
        <v>1.03</v>
      </c>
      <c r="W911" s="62">
        <v>5.42</v>
      </c>
      <c r="X911" s="37" t="s">
        <v>1</v>
      </c>
      <c r="Y911" s="23" t="s">
        <v>6</v>
      </c>
      <c r="Z911" s="21" t="s">
        <v>6</v>
      </c>
      <c r="AA911" s="37" t="s">
        <v>1</v>
      </c>
      <c r="AB911" s="37" t="s">
        <v>1</v>
      </c>
      <c r="AC911" s="27" t="s">
        <v>173</v>
      </c>
    </row>
    <row r="912" spans="1:29">
      <c r="A912" s="35" t="s">
        <v>197</v>
      </c>
      <c r="B912" s="35" t="s">
        <v>161</v>
      </c>
      <c r="C912" s="35" t="s">
        <v>188</v>
      </c>
      <c r="D912" s="36">
        <v>10000</v>
      </c>
      <c r="E912" s="12">
        <v>50</v>
      </c>
      <c r="F912" s="21">
        <f t="shared" si="59"/>
        <v>11.3255</v>
      </c>
      <c r="G912" s="35">
        <v>0</v>
      </c>
      <c r="H912" s="35">
        <v>0</v>
      </c>
      <c r="I912" s="35">
        <v>0</v>
      </c>
      <c r="J912" s="35">
        <v>0</v>
      </c>
      <c r="K912" s="35">
        <v>0</v>
      </c>
      <c r="L912" s="36">
        <v>621</v>
      </c>
      <c r="M912" s="21">
        <v>1.21</v>
      </c>
      <c r="N912" s="21">
        <v>7.8</v>
      </c>
      <c r="O912" s="12">
        <v>0</v>
      </c>
      <c r="P912" s="35">
        <v>100</v>
      </c>
      <c r="Q912" s="35">
        <v>30</v>
      </c>
      <c r="R912" s="35">
        <v>180</v>
      </c>
      <c r="S912" s="35">
        <v>75</v>
      </c>
      <c r="T912" s="21">
        <v>1.9073569482288828</v>
      </c>
      <c r="U912" s="21">
        <f t="shared" si="58"/>
        <v>0.16841260414364778</v>
      </c>
      <c r="V912" s="37">
        <v>5.66</v>
      </c>
      <c r="W912" s="62">
        <v>47.07</v>
      </c>
      <c r="X912" s="37" t="s">
        <v>1</v>
      </c>
      <c r="Y912" s="23" t="s">
        <v>6</v>
      </c>
      <c r="Z912" s="21" t="s">
        <v>6</v>
      </c>
      <c r="AA912" s="37" t="s">
        <v>1</v>
      </c>
      <c r="AB912" s="37" t="s">
        <v>1</v>
      </c>
      <c r="AC912" s="27" t="s">
        <v>173</v>
      </c>
    </row>
    <row r="913" spans="1:29">
      <c r="A913" s="35" t="s">
        <v>197</v>
      </c>
      <c r="B913" s="35" t="s">
        <v>161</v>
      </c>
      <c r="C913" s="35" t="s">
        <v>188</v>
      </c>
      <c r="D913" s="36">
        <v>10000</v>
      </c>
      <c r="E913" s="12">
        <v>50</v>
      </c>
      <c r="F913" s="21">
        <f t="shared" si="59"/>
        <v>11.3255</v>
      </c>
      <c r="G913" s="35">
        <v>0</v>
      </c>
      <c r="H913" s="35">
        <v>0</v>
      </c>
      <c r="I913" s="35">
        <v>0</v>
      </c>
      <c r="J913" s="35">
        <v>0</v>
      </c>
      <c r="K913" s="35">
        <v>0</v>
      </c>
      <c r="L913" s="36">
        <v>800</v>
      </c>
      <c r="M913" s="21">
        <v>1.23</v>
      </c>
      <c r="N913" s="21">
        <v>6.1</v>
      </c>
      <c r="O913" s="12">
        <v>0</v>
      </c>
      <c r="P913" s="35">
        <v>100</v>
      </c>
      <c r="Q913" s="35">
        <v>30</v>
      </c>
      <c r="R913" s="35">
        <v>180</v>
      </c>
      <c r="S913" s="35">
        <v>75</v>
      </c>
      <c r="T913" s="21">
        <v>1.7029972752043596</v>
      </c>
      <c r="U913" s="21">
        <f t="shared" si="58"/>
        <v>0.15036839655682838</v>
      </c>
      <c r="V913" s="37">
        <v>1.89</v>
      </c>
      <c r="W913" s="62">
        <v>43.2</v>
      </c>
      <c r="X913" s="37" t="s">
        <v>1</v>
      </c>
      <c r="Y913" s="23" t="s">
        <v>6</v>
      </c>
      <c r="Z913" s="21" t="s">
        <v>6</v>
      </c>
      <c r="AA913" s="37" t="s">
        <v>1</v>
      </c>
      <c r="AB913" s="37" t="s">
        <v>1</v>
      </c>
      <c r="AC913" s="27" t="s">
        <v>173</v>
      </c>
    </row>
    <row r="914" spans="1:29">
      <c r="A914" s="35" t="s">
        <v>197</v>
      </c>
      <c r="B914" s="35" t="s">
        <v>161</v>
      </c>
      <c r="C914" s="35" t="s">
        <v>188</v>
      </c>
      <c r="D914" s="36">
        <v>10000</v>
      </c>
      <c r="E914" s="12">
        <v>50</v>
      </c>
      <c r="F914" s="21">
        <f t="shared" si="59"/>
        <v>11.3255</v>
      </c>
      <c r="G914" s="35">
        <v>0</v>
      </c>
      <c r="H914" s="35">
        <v>0</v>
      </c>
      <c r="I914" s="35">
        <v>0</v>
      </c>
      <c r="J914" s="35">
        <v>0</v>
      </c>
      <c r="K914" s="35">
        <v>0</v>
      </c>
      <c r="L914" s="36">
        <v>735</v>
      </c>
      <c r="M914" s="21">
        <v>1.03</v>
      </c>
      <c r="N914" s="21">
        <v>5.6</v>
      </c>
      <c r="O914" s="12">
        <v>0</v>
      </c>
      <c r="P914" s="35">
        <v>100</v>
      </c>
      <c r="Q914" s="35">
        <v>30</v>
      </c>
      <c r="R914" s="35">
        <v>180</v>
      </c>
      <c r="S914" s="35">
        <v>75</v>
      </c>
      <c r="T914" s="21">
        <v>1.5440508628519527</v>
      </c>
      <c r="U914" s="21">
        <f t="shared" si="58"/>
        <v>0.13633401287819105</v>
      </c>
      <c r="V914" s="37">
        <v>1.89</v>
      </c>
      <c r="W914" s="62">
        <v>69.81</v>
      </c>
      <c r="X914" s="37" t="s">
        <v>1</v>
      </c>
      <c r="Y914" s="23" t="s">
        <v>6</v>
      </c>
      <c r="Z914" s="21" t="s">
        <v>6</v>
      </c>
      <c r="AA914" s="37" t="s">
        <v>1</v>
      </c>
      <c r="AB914" s="37" t="s">
        <v>1</v>
      </c>
      <c r="AC914" s="27" t="s">
        <v>173</v>
      </c>
    </row>
    <row r="915" spans="1:29">
      <c r="A915" s="35" t="s">
        <v>197</v>
      </c>
      <c r="B915" s="35" t="s">
        <v>161</v>
      </c>
      <c r="C915" s="35" t="s">
        <v>188</v>
      </c>
      <c r="D915" s="36">
        <v>10000</v>
      </c>
      <c r="E915" s="12">
        <v>70</v>
      </c>
      <c r="F915" s="21">
        <f t="shared" si="59"/>
        <v>15.855700000000001</v>
      </c>
      <c r="G915" s="35">
        <v>0</v>
      </c>
      <c r="H915" s="35">
        <v>0</v>
      </c>
      <c r="I915" s="35">
        <v>0</v>
      </c>
      <c r="J915" s="35">
        <v>0</v>
      </c>
      <c r="K915" s="35">
        <v>0</v>
      </c>
      <c r="L915" s="36">
        <v>756</v>
      </c>
      <c r="M915" s="21">
        <v>1.95</v>
      </c>
      <c r="N915" s="21">
        <v>10.3</v>
      </c>
      <c r="O915" s="12">
        <v>0</v>
      </c>
      <c r="P915" s="35">
        <v>100</v>
      </c>
      <c r="Q915" s="35">
        <v>30</v>
      </c>
      <c r="R915" s="35">
        <v>180</v>
      </c>
      <c r="S915" s="35">
        <v>75</v>
      </c>
      <c r="T915" s="35">
        <v>4.25</v>
      </c>
      <c r="U915" s="21">
        <f t="shared" si="58"/>
        <v>0.26804240746230062</v>
      </c>
      <c r="V915" s="37">
        <v>2.06</v>
      </c>
      <c r="W915" s="37">
        <v>39.19</v>
      </c>
      <c r="X915" s="37">
        <v>105</v>
      </c>
      <c r="Y915" s="23" t="s">
        <v>6</v>
      </c>
      <c r="Z915" s="21">
        <v>-0.99515725613325767</v>
      </c>
      <c r="AA915" s="37">
        <v>10</v>
      </c>
      <c r="AB915" s="37" t="s">
        <v>1</v>
      </c>
      <c r="AC915" s="27" t="s">
        <v>173</v>
      </c>
    </row>
    <row r="916" spans="1:29">
      <c r="A916" s="35" t="s">
        <v>8</v>
      </c>
      <c r="B916" s="35" t="s">
        <v>3</v>
      </c>
      <c r="C916" s="35" t="s">
        <v>65</v>
      </c>
      <c r="D916" s="36">
        <v>189</v>
      </c>
      <c r="E916" s="12">
        <v>19.489999999999998</v>
      </c>
      <c r="F916" s="21">
        <f>E916*5*10/D916</f>
        <v>5.1560846560846558</v>
      </c>
      <c r="G916" s="35">
        <v>0</v>
      </c>
      <c r="H916" s="35">
        <v>0</v>
      </c>
      <c r="I916" s="35">
        <v>0</v>
      </c>
      <c r="J916" s="35">
        <v>0</v>
      </c>
      <c r="K916" s="35">
        <v>0</v>
      </c>
      <c r="L916" s="36">
        <v>270</v>
      </c>
      <c r="M916" s="35">
        <v>1.39</v>
      </c>
      <c r="N916" s="21">
        <v>20.399999999999999</v>
      </c>
      <c r="O916" s="12">
        <v>0</v>
      </c>
      <c r="P916" s="35">
        <v>0.04</v>
      </c>
      <c r="Q916" s="35">
        <v>100</v>
      </c>
      <c r="R916" s="35">
        <v>120</v>
      </c>
      <c r="S916" s="35">
        <v>25</v>
      </c>
      <c r="T916" s="21">
        <f>37.2/44.01</f>
        <v>0.84526244035446496</v>
      </c>
      <c r="U916" s="21">
        <f t="shared" si="58"/>
        <v>0.16393494225448321</v>
      </c>
      <c r="V916" s="37">
        <v>27.26</v>
      </c>
      <c r="W916" s="37">
        <v>56.75</v>
      </c>
      <c r="X916" s="35" t="s">
        <v>1</v>
      </c>
      <c r="Y916" s="23" t="s">
        <v>6</v>
      </c>
      <c r="Z916" s="21" t="s">
        <v>6</v>
      </c>
      <c r="AA916" s="35" t="s">
        <v>1</v>
      </c>
      <c r="AB916" s="37" t="s">
        <v>1</v>
      </c>
      <c r="AC916" s="27" t="s">
        <v>15</v>
      </c>
    </row>
    <row r="917" spans="1:29">
      <c r="A917" s="35" t="s">
        <v>8</v>
      </c>
      <c r="B917" s="35" t="s">
        <v>3</v>
      </c>
      <c r="C917" s="35" t="s">
        <v>65</v>
      </c>
      <c r="D917" s="36">
        <v>189</v>
      </c>
      <c r="E917" s="12">
        <v>19.489999999999998</v>
      </c>
      <c r="F917" s="21">
        <f t="shared" ref="F917:F935" si="60">E917*5*10/D917</f>
        <v>5.1560846560846558</v>
      </c>
      <c r="G917" s="35">
        <v>0</v>
      </c>
      <c r="H917" s="35">
        <v>0</v>
      </c>
      <c r="I917" s="35">
        <v>0</v>
      </c>
      <c r="J917" s="35">
        <v>0</v>
      </c>
      <c r="K917" s="35">
        <v>0</v>
      </c>
      <c r="L917" s="36">
        <v>270</v>
      </c>
      <c r="M917" s="35">
        <v>1.39</v>
      </c>
      <c r="N917" s="21">
        <v>20.399999999999999</v>
      </c>
      <c r="O917" s="12">
        <v>0</v>
      </c>
      <c r="P917" s="35">
        <v>0.04</v>
      </c>
      <c r="Q917" s="35">
        <v>100</v>
      </c>
      <c r="R917" s="35">
        <v>120</v>
      </c>
      <c r="S917" s="35">
        <v>30</v>
      </c>
      <c r="T917" s="21">
        <f>35.3/44.01</f>
        <v>0.80209043399227442</v>
      </c>
      <c r="U917" s="21">
        <f t="shared" si="58"/>
        <v>0.15556192101030258</v>
      </c>
      <c r="V917" s="37" t="s">
        <v>6</v>
      </c>
      <c r="W917" s="37" t="s">
        <v>6</v>
      </c>
      <c r="X917" s="35" t="s">
        <v>1</v>
      </c>
      <c r="Y917" s="23" t="s">
        <v>6</v>
      </c>
      <c r="Z917" s="21" t="s">
        <v>6</v>
      </c>
      <c r="AA917" s="35" t="s">
        <v>1</v>
      </c>
      <c r="AB917" s="37" t="s">
        <v>1</v>
      </c>
      <c r="AC917" s="27" t="s">
        <v>15</v>
      </c>
    </row>
    <row r="918" spans="1:29">
      <c r="A918" s="35" t="s">
        <v>8</v>
      </c>
      <c r="B918" s="35" t="s">
        <v>3</v>
      </c>
      <c r="C918" s="35" t="s">
        <v>65</v>
      </c>
      <c r="D918" s="36">
        <v>189</v>
      </c>
      <c r="E918" s="12">
        <v>19.489999999999998</v>
      </c>
      <c r="F918" s="21">
        <f t="shared" si="60"/>
        <v>5.1560846560846558</v>
      </c>
      <c r="G918" s="35">
        <v>0</v>
      </c>
      <c r="H918" s="35">
        <v>0</v>
      </c>
      <c r="I918" s="35">
        <v>0</v>
      </c>
      <c r="J918" s="35">
        <v>0</v>
      </c>
      <c r="K918" s="35">
        <v>0</v>
      </c>
      <c r="L918" s="36">
        <v>270</v>
      </c>
      <c r="M918" s="35">
        <v>1.39</v>
      </c>
      <c r="N918" s="21">
        <v>20.399999999999999</v>
      </c>
      <c r="O918" s="12">
        <v>0</v>
      </c>
      <c r="P918" s="35">
        <v>0.04</v>
      </c>
      <c r="Q918" s="35">
        <v>100</v>
      </c>
      <c r="R918" s="35">
        <v>120</v>
      </c>
      <c r="S918" s="35">
        <v>35</v>
      </c>
      <c r="T918" s="21">
        <f>31.6/44.01</f>
        <v>0.7180186321290617</v>
      </c>
      <c r="U918" s="21">
        <f t="shared" si="58"/>
        <v>0.13925656385058252</v>
      </c>
      <c r="V918" s="37" t="s">
        <v>6</v>
      </c>
      <c r="W918" s="37" t="s">
        <v>6</v>
      </c>
      <c r="X918" s="35" t="s">
        <v>1</v>
      </c>
      <c r="Y918" s="23" t="s">
        <v>6</v>
      </c>
      <c r="Z918" s="21" t="s">
        <v>6</v>
      </c>
      <c r="AA918" s="35" t="s">
        <v>1</v>
      </c>
      <c r="AB918" s="37" t="s">
        <v>1</v>
      </c>
      <c r="AC918" s="27" t="s">
        <v>15</v>
      </c>
    </row>
    <row r="919" spans="1:29">
      <c r="A919" s="35" t="s">
        <v>8</v>
      </c>
      <c r="B919" s="35" t="s">
        <v>3</v>
      </c>
      <c r="C919" s="35" t="s">
        <v>65</v>
      </c>
      <c r="D919" s="36">
        <v>189</v>
      </c>
      <c r="E919" s="12">
        <v>28.560000000000002</v>
      </c>
      <c r="F919" s="21">
        <f t="shared" si="60"/>
        <v>7.5555555555555554</v>
      </c>
      <c r="G919" s="35">
        <v>0</v>
      </c>
      <c r="H919" s="35">
        <v>0</v>
      </c>
      <c r="I919" s="35">
        <v>0</v>
      </c>
      <c r="J919" s="35">
        <v>0</v>
      </c>
      <c r="K919" s="35">
        <v>0</v>
      </c>
      <c r="L919" s="36">
        <v>270</v>
      </c>
      <c r="M919" s="35">
        <v>1.39</v>
      </c>
      <c r="N919" s="21">
        <v>20.399999999999999</v>
      </c>
      <c r="O919" s="12">
        <v>0</v>
      </c>
      <c r="P919" s="35">
        <v>0.04</v>
      </c>
      <c r="Q919" s="35">
        <v>100</v>
      </c>
      <c r="R919" s="35">
        <v>120</v>
      </c>
      <c r="S919" s="35">
        <v>25</v>
      </c>
      <c r="T919" s="21">
        <f>65.5/44.01</f>
        <v>1.4882981140649854</v>
      </c>
      <c r="U919" s="21">
        <f t="shared" si="58"/>
        <v>0.19698063274389513</v>
      </c>
      <c r="V919" s="37">
        <v>47.52</v>
      </c>
      <c r="W919" s="37">
        <v>98.47</v>
      </c>
      <c r="X919" s="35" t="s">
        <v>1</v>
      </c>
      <c r="Y919" s="23" t="s">
        <v>6</v>
      </c>
      <c r="Z919" s="21" t="s">
        <v>6</v>
      </c>
      <c r="AA919" s="35" t="s">
        <v>1</v>
      </c>
      <c r="AB919" s="37" t="s">
        <v>1</v>
      </c>
      <c r="AC919" s="27" t="s">
        <v>15</v>
      </c>
    </row>
    <row r="920" spans="1:29">
      <c r="A920" s="35" t="s">
        <v>8</v>
      </c>
      <c r="B920" s="35" t="s">
        <v>3</v>
      </c>
      <c r="C920" s="35" t="s">
        <v>65</v>
      </c>
      <c r="D920" s="36">
        <v>189</v>
      </c>
      <c r="E920" s="12">
        <v>28.560000000000002</v>
      </c>
      <c r="F920" s="21">
        <f t="shared" si="60"/>
        <v>7.5555555555555554</v>
      </c>
      <c r="G920" s="35">
        <v>0</v>
      </c>
      <c r="H920" s="35">
        <v>0</v>
      </c>
      <c r="I920" s="35">
        <v>0</v>
      </c>
      <c r="J920" s="35">
        <v>0</v>
      </c>
      <c r="K920" s="35">
        <v>0</v>
      </c>
      <c r="L920" s="36">
        <v>270</v>
      </c>
      <c r="M920" s="35">
        <v>1.39</v>
      </c>
      <c r="N920" s="21">
        <v>20.399999999999999</v>
      </c>
      <c r="O920" s="12">
        <v>0</v>
      </c>
      <c r="P920" s="35">
        <v>0.04</v>
      </c>
      <c r="Q920" s="35">
        <v>100</v>
      </c>
      <c r="R920" s="35">
        <v>120</v>
      </c>
      <c r="S920" s="35">
        <v>30</v>
      </c>
      <c r="T920" s="21">
        <f>65.6/44.01</f>
        <v>1.490570324926153</v>
      </c>
      <c r="U920" s="21">
        <f t="shared" ref="U920:U951" si="61">T920/F920</f>
        <v>0.19728136653434378</v>
      </c>
      <c r="V920" s="37" t="s">
        <v>1</v>
      </c>
      <c r="W920" s="37" t="s">
        <v>1</v>
      </c>
      <c r="X920" s="35" t="s">
        <v>1</v>
      </c>
      <c r="Y920" s="23" t="s">
        <v>6</v>
      </c>
      <c r="Z920" s="21" t="s">
        <v>6</v>
      </c>
      <c r="AA920" s="35" t="s">
        <v>1</v>
      </c>
      <c r="AB920" s="37" t="s">
        <v>1</v>
      </c>
      <c r="AC920" s="27" t="s">
        <v>15</v>
      </c>
    </row>
    <row r="921" spans="1:29">
      <c r="A921" s="35" t="s">
        <v>7</v>
      </c>
      <c r="B921" s="35" t="s">
        <v>3</v>
      </c>
      <c r="C921" s="35" t="s">
        <v>65</v>
      </c>
      <c r="D921" s="36">
        <v>189</v>
      </c>
      <c r="E921" s="12">
        <v>28.560000000000002</v>
      </c>
      <c r="F921" s="21">
        <f t="shared" si="60"/>
        <v>7.5555555555555554</v>
      </c>
      <c r="G921" s="35">
        <v>0</v>
      </c>
      <c r="H921" s="35">
        <v>0</v>
      </c>
      <c r="I921" s="35">
        <v>0</v>
      </c>
      <c r="J921" s="35">
        <v>0</v>
      </c>
      <c r="K921" s="35">
        <v>0</v>
      </c>
      <c r="L921" s="36">
        <v>270</v>
      </c>
      <c r="M921" s="35">
        <v>1.39</v>
      </c>
      <c r="N921" s="21">
        <v>20.399999999999999</v>
      </c>
      <c r="O921" s="12">
        <v>0</v>
      </c>
      <c r="P921" s="35">
        <v>0.04</v>
      </c>
      <c r="Q921" s="35">
        <v>100</v>
      </c>
      <c r="R921" s="35">
        <v>120</v>
      </c>
      <c r="S921" s="35">
        <v>35</v>
      </c>
      <c r="T921" s="21">
        <f>62/44.01</f>
        <v>1.4087707339241082</v>
      </c>
      <c r="U921" s="21">
        <f t="shared" si="61"/>
        <v>0.1864549500781908</v>
      </c>
      <c r="V921" s="37" t="s">
        <v>1</v>
      </c>
      <c r="W921" s="37" t="s">
        <v>1</v>
      </c>
      <c r="X921" s="35" t="s">
        <v>1</v>
      </c>
      <c r="Y921" s="23" t="s">
        <v>6</v>
      </c>
      <c r="Z921" s="21" t="s">
        <v>6</v>
      </c>
      <c r="AA921" s="35" t="s">
        <v>1</v>
      </c>
      <c r="AB921" s="37" t="s">
        <v>1</v>
      </c>
      <c r="AC921" s="27" t="s">
        <v>15</v>
      </c>
    </row>
    <row r="922" spans="1:29">
      <c r="A922" s="35" t="s">
        <v>7</v>
      </c>
      <c r="B922" s="35" t="s">
        <v>3</v>
      </c>
      <c r="C922" s="35" t="s">
        <v>65</v>
      </c>
      <c r="D922" s="36">
        <v>189</v>
      </c>
      <c r="E922" s="12">
        <v>39.290000000000006</v>
      </c>
      <c r="F922" s="21">
        <f t="shared" si="60"/>
        <v>10.394179894179896</v>
      </c>
      <c r="G922" s="35">
        <v>0</v>
      </c>
      <c r="H922" s="35">
        <v>0</v>
      </c>
      <c r="I922" s="35">
        <v>0</v>
      </c>
      <c r="J922" s="35">
        <v>0</v>
      </c>
      <c r="K922" s="35">
        <v>0</v>
      </c>
      <c r="L922" s="36">
        <v>270</v>
      </c>
      <c r="M922" s="35">
        <v>1.39</v>
      </c>
      <c r="N922" s="21">
        <v>20.399999999999999</v>
      </c>
      <c r="O922" s="12">
        <v>0</v>
      </c>
      <c r="P922" s="35">
        <v>0.04</v>
      </c>
      <c r="Q922" s="35">
        <v>100</v>
      </c>
      <c r="R922" s="35">
        <v>120</v>
      </c>
      <c r="S922" s="35">
        <v>25</v>
      </c>
      <c r="T922" s="21">
        <f>94.6/44.01</f>
        <v>2.1495114746648487</v>
      </c>
      <c r="U922" s="21">
        <f t="shared" si="61"/>
        <v>0.20679952594128601</v>
      </c>
      <c r="V922" s="37">
        <v>88.85</v>
      </c>
      <c r="W922" s="37" t="s">
        <v>1</v>
      </c>
      <c r="X922" s="35">
        <v>100</v>
      </c>
      <c r="Y922" s="23">
        <v>22.12</v>
      </c>
      <c r="Z922" s="21">
        <v>28.877005347593581</v>
      </c>
      <c r="AA922" s="35">
        <v>50</v>
      </c>
      <c r="AB922" s="37" t="s">
        <v>1</v>
      </c>
      <c r="AC922" s="27" t="s">
        <v>15</v>
      </c>
    </row>
    <row r="923" spans="1:29">
      <c r="A923" s="35" t="s">
        <v>7</v>
      </c>
      <c r="B923" s="35" t="s">
        <v>3</v>
      </c>
      <c r="C923" s="35" t="s">
        <v>65</v>
      </c>
      <c r="D923" s="36">
        <v>189</v>
      </c>
      <c r="E923" s="12">
        <v>39.290000000000006</v>
      </c>
      <c r="F923" s="21">
        <f t="shared" si="60"/>
        <v>10.394179894179896</v>
      </c>
      <c r="G923" s="35">
        <v>0</v>
      </c>
      <c r="H923" s="35">
        <v>0</v>
      </c>
      <c r="I923" s="35">
        <v>0</v>
      </c>
      <c r="J923" s="35">
        <v>0</v>
      </c>
      <c r="K923" s="35">
        <v>0</v>
      </c>
      <c r="L923" s="36">
        <v>270</v>
      </c>
      <c r="M923" s="35">
        <v>1.39</v>
      </c>
      <c r="N923" s="21">
        <v>20.399999999999999</v>
      </c>
      <c r="O923" s="12">
        <v>0</v>
      </c>
      <c r="P923" s="35">
        <v>0.04</v>
      </c>
      <c r="Q923" s="35">
        <v>100</v>
      </c>
      <c r="R923" s="35">
        <v>120</v>
      </c>
      <c r="S923" s="35">
        <v>30</v>
      </c>
      <c r="T923" s="21">
        <f>96.8/44.01</f>
        <v>2.1995001136105432</v>
      </c>
      <c r="U923" s="21">
        <f t="shared" si="61"/>
        <v>0.21160881724224617</v>
      </c>
      <c r="V923" s="37" t="s">
        <v>1</v>
      </c>
      <c r="W923" s="37" t="s">
        <v>1</v>
      </c>
      <c r="X923" s="35" t="s">
        <v>1</v>
      </c>
      <c r="Y923" s="23" t="s">
        <v>6</v>
      </c>
      <c r="Z923" s="21" t="s">
        <v>6</v>
      </c>
      <c r="AA923" s="35" t="s">
        <v>1</v>
      </c>
      <c r="AB923" s="37" t="s">
        <v>1</v>
      </c>
      <c r="AC923" s="27" t="s">
        <v>15</v>
      </c>
    </row>
    <row r="924" spans="1:29">
      <c r="A924" s="35" t="s">
        <v>7</v>
      </c>
      <c r="B924" s="35" t="s">
        <v>3</v>
      </c>
      <c r="C924" s="35" t="s">
        <v>65</v>
      </c>
      <c r="D924" s="36">
        <v>189</v>
      </c>
      <c r="E924" s="12">
        <v>39.290000000000006</v>
      </c>
      <c r="F924" s="21">
        <f t="shared" si="60"/>
        <v>10.394179894179896</v>
      </c>
      <c r="G924" s="35">
        <v>0</v>
      </c>
      <c r="H924" s="35">
        <v>0</v>
      </c>
      <c r="I924" s="35">
        <v>0</v>
      </c>
      <c r="J924" s="35">
        <v>0</v>
      </c>
      <c r="K924" s="35">
        <v>0</v>
      </c>
      <c r="L924" s="36">
        <v>270</v>
      </c>
      <c r="M924" s="35">
        <v>1.39</v>
      </c>
      <c r="N924" s="21">
        <v>20.399999999999999</v>
      </c>
      <c r="O924" s="12">
        <v>0</v>
      </c>
      <c r="P924" s="35">
        <v>0.04</v>
      </c>
      <c r="Q924" s="35">
        <v>100</v>
      </c>
      <c r="R924" s="35">
        <v>120</v>
      </c>
      <c r="S924" s="35">
        <v>35</v>
      </c>
      <c r="T924" s="21">
        <f>96.2/44.01</f>
        <v>2.1858668484435357</v>
      </c>
      <c r="U924" s="21">
        <f t="shared" si="61"/>
        <v>0.21029719234198432</v>
      </c>
      <c r="V924" s="37" t="s">
        <v>1</v>
      </c>
      <c r="W924" s="37" t="s">
        <v>1</v>
      </c>
      <c r="X924" s="35" t="s">
        <v>1</v>
      </c>
      <c r="Y924" s="23" t="s">
        <v>6</v>
      </c>
      <c r="Z924" s="21" t="s">
        <v>6</v>
      </c>
      <c r="AA924" s="35" t="s">
        <v>1</v>
      </c>
      <c r="AB924" s="37" t="s">
        <v>1</v>
      </c>
      <c r="AC924" s="27" t="s">
        <v>15</v>
      </c>
    </row>
    <row r="925" spans="1:29">
      <c r="A925" s="35" t="s">
        <v>7</v>
      </c>
      <c r="B925" s="35" t="s">
        <v>3</v>
      </c>
      <c r="C925" s="35" t="s">
        <v>65</v>
      </c>
      <c r="D925" s="36">
        <v>189</v>
      </c>
      <c r="E925" s="12">
        <v>49.65</v>
      </c>
      <c r="F925" s="21">
        <f t="shared" si="60"/>
        <v>13.134920634920634</v>
      </c>
      <c r="G925" s="35">
        <v>0</v>
      </c>
      <c r="H925" s="35">
        <v>0</v>
      </c>
      <c r="I925" s="35">
        <v>0</v>
      </c>
      <c r="J925" s="35">
        <v>0</v>
      </c>
      <c r="K925" s="35">
        <v>0</v>
      </c>
      <c r="L925" s="36">
        <v>270</v>
      </c>
      <c r="M925" s="35">
        <v>1.39</v>
      </c>
      <c r="N925" s="21">
        <v>20.399999999999999</v>
      </c>
      <c r="O925" s="12">
        <v>0</v>
      </c>
      <c r="P925" s="35">
        <v>0.04</v>
      </c>
      <c r="Q925" s="35">
        <v>100</v>
      </c>
      <c r="R925" s="35">
        <v>120</v>
      </c>
      <c r="S925" s="35">
        <v>25</v>
      </c>
      <c r="T925" s="21">
        <f>113.2/44.01</f>
        <v>2.5721426948420816</v>
      </c>
      <c r="U925" s="21">
        <f t="shared" si="61"/>
        <v>0.19582476105746363</v>
      </c>
      <c r="V925" s="37" t="s">
        <v>1</v>
      </c>
      <c r="W925" s="37" t="s">
        <v>1</v>
      </c>
      <c r="X925" s="35" t="s">
        <v>1</v>
      </c>
      <c r="Y925" s="23" t="s">
        <v>6</v>
      </c>
      <c r="Z925" s="21" t="s">
        <v>6</v>
      </c>
      <c r="AA925" s="35" t="s">
        <v>1</v>
      </c>
      <c r="AB925" s="37" t="s">
        <v>1</v>
      </c>
      <c r="AC925" s="27" t="s">
        <v>15</v>
      </c>
    </row>
    <row r="926" spans="1:29">
      <c r="A926" s="35" t="s">
        <v>7</v>
      </c>
      <c r="B926" s="35" t="s">
        <v>3</v>
      </c>
      <c r="C926" s="35" t="s">
        <v>65</v>
      </c>
      <c r="D926" s="36">
        <v>189</v>
      </c>
      <c r="E926" s="12">
        <v>49.65</v>
      </c>
      <c r="F926" s="21">
        <f t="shared" si="60"/>
        <v>13.134920634920634</v>
      </c>
      <c r="G926" s="35">
        <v>0</v>
      </c>
      <c r="H926" s="35">
        <v>0</v>
      </c>
      <c r="I926" s="35">
        <v>0</v>
      </c>
      <c r="J926" s="35">
        <v>0</v>
      </c>
      <c r="K926" s="35">
        <v>0</v>
      </c>
      <c r="L926" s="36">
        <v>270</v>
      </c>
      <c r="M926" s="35">
        <v>1.39</v>
      </c>
      <c r="N926" s="21">
        <v>20.399999999999999</v>
      </c>
      <c r="O926" s="12">
        <v>0</v>
      </c>
      <c r="P926" s="35">
        <v>0.04</v>
      </c>
      <c r="Q926" s="35">
        <v>100</v>
      </c>
      <c r="R926" s="35">
        <v>120</v>
      </c>
      <c r="S926" s="35">
        <v>30</v>
      </c>
      <c r="T926" s="21">
        <f>118.2/44.01</f>
        <v>2.6857532379004772</v>
      </c>
      <c r="U926" s="21">
        <f t="shared" si="61"/>
        <v>0.20447426463774027</v>
      </c>
      <c r="V926" s="37" t="s">
        <v>1</v>
      </c>
      <c r="W926" s="37" t="s">
        <v>1</v>
      </c>
      <c r="X926" s="35" t="s">
        <v>1</v>
      </c>
      <c r="Y926" s="23" t="s">
        <v>6</v>
      </c>
      <c r="Z926" s="21" t="s">
        <v>6</v>
      </c>
      <c r="AA926" s="35" t="s">
        <v>1</v>
      </c>
      <c r="AB926" s="37" t="s">
        <v>1</v>
      </c>
      <c r="AC926" s="27" t="s">
        <v>15</v>
      </c>
    </row>
    <row r="927" spans="1:29">
      <c r="A927" s="35" t="s">
        <v>7</v>
      </c>
      <c r="B927" s="35" t="s">
        <v>3</v>
      </c>
      <c r="C927" s="35" t="s">
        <v>65</v>
      </c>
      <c r="D927" s="36">
        <v>189</v>
      </c>
      <c r="E927" s="12">
        <v>49.65</v>
      </c>
      <c r="F927" s="21">
        <f t="shared" si="60"/>
        <v>13.134920634920634</v>
      </c>
      <c r="G927" s="35">
        <v>0</v>
      </c>
      <c r="H927" s="35">
        <v>0</v>
      </c>
      <c r="I927" s="35">
        <v>0</v>
      </c>
      <c r="J927" s="35">
        <v>0</v>
      </c>
      <c r="K927" s="35">
        <v>0</v>
      </c>
      <c r="L927" s="36">
        <v>270</v>
      </c>
      <c r="M927" s="35">
        <v>1.39</v>
      </c>
      <c r="N927" s="21">
        <v>20.399999999999999</v>
      </c>
      <c r="O927" s="12">
        <v>0</v>
      </c>
      <c r="P927" s="35">
        <v>0.04</v>
      </c>
      <c r="Q927" s="35">
        <v>100</v>
      </c>
      <c r="R927" s="35">
        <v>120</v>
      </c>
      <c r="S927" s="35">
        <v>35</v>
      </c>
      <c r="T927" s="21">
        <f>121.4/44.01</f>
        <v>2.7584639854578508</v>
      </c>
      <c r="U927" s="21">
        <f t="shared" si="61"/>
        <v>0.21000994692911734</v>
      </c>
      <c r="V927" s="37" t="s">
        <v>1</v>
      </c>
      <c r="W927" s="37" t="s">
        <v>1</v>
      </c>
      <c r="X927" s="35" t="s">
        <v>1</v>
      </c>
      <c r="Y927" s="23" t="s">
        <v>6</v>
      </c>
      <c r="Z927" s="21" t="s">
        <v>6</v>
      </c>
      <c r="AA927" s="35" t="s">
        <v>1</v>
      </c>
      <c r="AB927" s="37" t="s">
        <v>1</v>
      </c>
      <c r="AC927" s="27" t="s">
        <v>15</v>
      </c>
    </row>
    <row r="928" spans="1:29">
      <c r="A928" s="35" t="s">
        <v>7</v>
      </c>
      <c r="B928" s="35" t="s">
        <v>180</v>
      </c>
      <c r="C928" s="35" t="s">
        <v>60</v>
      </c>
      <c r="D928" s="36">
        <v>350</v>
      </c>
      <c r="E928" s="12">
        <v>19.37</v>
      </c>
      <c r="F928" s="21">
        <f t="shared" si="60"/>
        <v>2.7671428571428573</v>
      </c>
      <c r="G928" s="35">
        <v>0</v>
      </c>
      <c r="H928" s="35">
        <v>0</v>
      </c>
      <c r="I928" s="35">
        <v>0</v>
      </c>
      <c r="J928" s="35">
        <v>0</v>
      </c>
      <c r="K928" s="35">
        <v>0</v>
      </c>
      <c r="L928" s="36">
        <v>270</v>
      </c>
      <c r="M928" s="35">
        <v>1.39</v>
      </c>
      <c r="N928" s="21">
        <v>20.399999999999999</v>
      </c>
      <c r="O928" s="12">
        <v>0</v>
      </c>
      <c r="P928" s="35">
        <v>0.04</v>
      </c>
      <c r="Q928" s="35">
        <v>100</v>
      </c>
      <c r="R928" s="35">
        <v>120</v>
      </c>
      <c r="S928" s="35">
        <v>25</v>
      </c>
      <c r="T928" s="21">
        <f>24.9/44.01</f>
        <v>0.56578050443081118</v>
      </c>
      <c r="U928" s="21">
        <f t="shared" si="61"/>
        <v>0.2044637858035972</v>
      </c>
      <c r="V928" s="37">
        <v>24.7</v>
      </c>
      <c r="W928" s="37">
        <v>60.95</v>
      </c>
      <c r="X928" s="35" t="s">
        <v>1</v>
      </c>
      <c r="Y928" s="23" t="s">
        <v>6</v>
      </c>
      <c r="Z928" s="21" t="s">
        <v>6</v>
      </c>
      <c r="AA928" s="35" t="s">
        <v>1</v>
      </c>
      <c r="AB928" s="37" t="s">
        <v>1</v>
      </c>
      <c r="AC928" s="27" t="s">
        <v>15</v>
      </c>
    </row>
    <row r="929" spans="1:29">
      <c r="A929" s="35" t="s">
        <v>7</v>
      </c>
      <c r="B929" s="35" t="s">
        <v>180</v>
      </c>
      <c r="C929" s="35" t="s">
        <v>60</v>
      </c>
      <c r="D929" s="36">
        <v>350</v>
      </c>
      <c r="E929" s="12">
        <v>19.37</v>
      </c>
      <c r="F929" s="21">
        <f t="shared" si="60"/>
        <v>2.7671428571428573</v>
      </c>
      <c r="G929" s="35">
        <v>0</v>
      </c>
      <c r="H929" s="35">
        <v>0</v>
      </c>
      <c r="I929" s="35">
        <v>0</v>
      </c>
      <c r="J929" s="35">
        <v>0</v>
      </c>
      <c r="K929" s="35">
        <v>0</v>
      </c>
      <c r="L929" s="36">
        <v>270</v>
      </c>
      <c r="M929" s="35">
        <v>1.39</v>
      </c>
      <c r="N929" s="21">
        <v>20.399999999999999</v>
      </c>
      <c r="O929" s="12">
        <v>0</v>
      </c>
      <c r="P929" s="35">
        <v>0.04</v>
      </c>
      <c r="Q929" s="35">
        <v>100</v>
      </c>
      <c r="R929" s="35">
        <v>120</v>
      </c>
      <c r="S929" s="35">
        <v>30</v>
      </c>
      <c r="T929" s="21">
        <f>25.2/44.01</f>
        <v>0.57259713701431492</v>
      </c>
      <c r="U929" s="21">
        <f t="shared" si="61"/>
        <v>0.20692720490966465</v>
      </c>
      <c r="V929" s="37" t="s">
        <v>1</v>
      </c>
      <c r="W929" s="37" t="s">
        <v>1</v>
      </c>
      <c r="X929" s="35" t="s">
        <v>1</v>
      </c>
      <c r="Y929" s="23" t="s">
        <v>6</v>
      </c>
      <c r="Z929" s="21" t="s">
        <v>6</v>
      </c>
      <c r="AA929" s="35" t="s">
        <v>1</v>
      </c>
      <c r="AB929" s="37" t="s">
        <v>1</v>
      </c>
      <c r="AC929" s="27" t="s">
        <v>15</v>
      </c>
    </row>
    <row r="930" spans="1:29">
      <c r="A930" s="35" t="s">
        <v>7</v>
      </c>
      <c r="B930" s="35" t="s">
        <v>180</v>
      </c>
      <c r="C930" s="35" t="s">
        <v>60</v>
      </c>
      <c r="D930" s="36">
        <v>350</v>
      </c>
      <c r="E930" s="12">
        <v>19.37</v>
      </c>
      <c r="F930" s="21">
        <f t="shared" si="60"/>
        <v>2.7671428571428573</v>
      </c>
      <c r="G930" s="35">
        <v>0</v>
      </c>
      <c r="H930" s="35">
        <v>0</v>
      </c>
      <c r="I930" s="35">
        <v>0</v>
      </c>
      <c r="J930" s="35">
        <v>0</v>
      </c>
      <c r="K930" s="35">
        <v>0</v>
      </c>
      <c r="L930" s="36">
        <v>270</v>
      </c>
      <c r="M930" s="35">
        <v>1.39</v>
      </c>
      <c r="N930" s="21">
        <v>20.399999999999999</v>
      </c>
      <c r="O930" s="12">
        <v>0</v>
      </c>
      <c r="P930" s="35">
        <v>0.04</v>
      </c>
      <c r="Q930" s="35">
        <v>100</v>
      </c>
      <c r="R930" s="35">
        <v>120</v>
      </c>
      <c r="S930" s="35">
        <v>35</v>
      </c>
      <c r="T930" s="21">
        <f>24/44.01</f>
        <v>0.54533060668029998</v>
      </c>
      <c r="U930" s="21">
        <f t="shared" si="61"/>
        <v>0.19707352848539492</v>
      </c>
      <c r="V930" s="37" t="s">
        <v>1</v>
      </c>
      <c r="W930" s="37" t="s">
        <v>1</v>
      </c>
      <c r="X930" s="35" t="s">
        <v>1</v>
      </c>
      <c r="Y930" s="23" t="s">
        <v>6</v>
      </c>
      <c r="Z930" s="21" t="s">
        <v>6</v>
      </c>
      <c r="AA930" s="35" t="s">
        <v>1</v>
      </c>
      <c r="AB930" s="37" t="s">
        <v>1</v>
      </c>
      <c r="AC930" s="27" t="s">
        <v>15</v>
      </c>
    </row>
    <row r="931" spans="1:29">
      <c r="A931" s="35" t="s">
        <v>7</v>
      </c>
      <c r="B931" s="35" t="s">
        <v>180</v>
      </c>
      <c r="C931" s="35" t="s">
        <v>60</v>
      </c>
      <c r="D931" s="36">
        <v>350</v>
      </c>
      <c r="E931" s="12">
        <v>28.03</v>
      </c>
      <c r="F931" s="21">
        <f t="shared" si="60"/>
        <v>4.0042857142857144</v>
      </c>
      <c r="G931" s="35">
        <v>0</v>
      </c>
      <c r="H931" s="35">
        <v>0</v>
      </c>
      <c r="I931" s="35">
        <v>0</v>
      </c>
      <c r="J931" s="35">
        <v>0</v>
      </c>
      <c r="K931" s="35">
        <v>0</v>
      </c>
      <c r="L931" s="36">
        <v>270</v>
      </c>
      <c r="M931" s="35">
        <v>1.39</v>
      </c>
      <c r="N931" s="21">
        <v>20.399999999999999</v>
      </c>
      <c r="O931" s="12">
        <v>0</v>
      </c>
      <c r="P931" s="35">
        <v>0.04</v>
      </c>
      <c r="Q931" s="35">
        <v>100</v>
      </c>
      <c r="R931" s="35">
        <v>120</v>
      </c>
      <c r="S931" s="35">
        <v>25</v>
      </c>
      <c r="T931" s="21">
        <f>46.9/44.01</f>
        <v>1.0656668938877527</v>
      </c>
      <c r="U931" s="21">
        <f t="shared" si="61"/>
        <v>0.26613158249069813</v>
      </c>
      <c r="V931" s="37">
        <v>23.45</v>
      </c>
      <c r="W931" s="37">
        <v>115.37</v>
      </c>
      <c r="X931" s="35" t="s">
        <v>1</v>
      </c>
      <c r="Y931" s="23" t="s">
        <v>6</v>
      </c>
      <c r="Z931" s="21" t="s">
        <v>6</v>
      </c>
      <c r="AA931" s="35" t="s">
        <v>1</v>
      </c>
      <c r="AB931" s="37" t="s">
        <v>1</v>
      </c>
      <c r="AC931" s="27" t="s">
        <v>15</v>
      </c>
    </row>
    <row r="932" spans="1:29">
      <c r="A932" s="35" t="s">
        <v>7</v>
      </c>
      <c r="B932" s="35" t="s">
        <v>180</v>
      </c>
      <c r="C932" s="35" t="s">
        <v>60</v>
      </c>
      <c r="D932" s="36">
        <v>350</v>
      </c>
      <c r="E932" s="12">
        <v>28.03</v>
      </c>
      <c r="F932" s="21">
        <f t="shared" si="60"/>
        <v>4.0042857142857144</v>
      </c>
      <c r="G932" s="35">
        <v>0</v>
      </c>
      <c r="H932" s="35">
        <v>0</v>
      </c>
      <c r="I932" s="35">
        <v>0</v>
      </c>
      <c r="J932" s="35">
        <v>0</v>
      </c>
      <c r="K932" s="35">
        <v>0</v>
      </c>
      <c r="L932" s="36">
        <v>270</v>
      </c>
      <c r="M932" s="35">
        <v>1.39</v>
      </c>
      <c r="N932" s="21">
        <v>20.399999999999999</v>
      </c>
      <c r="O932" s="12">
        <v>0</v>
      </c>
      <c r="P932" s="35">
        <v>0.04</v>
      </c>
      <c r="Q932" s="35">
        <v>100</v>
      </c>
      <c r="R932" s="35">
        <v>120</v>
      </c>
      <c r="S932" s="35">
        <v>30</v>
      </c>
      <c r="T932" s="21">
        <f>47.7/44.01</f>
        <v>1.0838445807770962</v>
      </c>
      <c r="U932" s="21">
        <f t="shared" si="61"/>
        <v>0.27067114040098728</v>
      </c>
      <c r="V932" s="37" t="s">
        <v>6</v>
      </c>
      <c r="W932" s="37" t="s">
        <v>6</v>
      </c>
      <c r="X932" s="35" t="s">
        <v>1</v>
      </c>
      <c r="Y932" s="23" t="s">
        <v>6</v>
      </c>
      <c r="Z932" s="21" t="s">
        <v>6</v>
      </c>
      <c r="AA932" s="35" t="s">
        <v>1</v>
      </c>
      <c r="AB932" s="37" t="s">
        <v>1</v>
      </c>
      <c r="AC932" s="27" t="s">
        <v>15</v>
      </c>
    </row>
    <row r="933" spans="1:29">
      <c r="A933" s="35" t="s">
        <v>7</v>
      </c>
      <c r="B933" s="35" t="s">
        <v>180</v>
      </c>
      <c r="C933" s="35" t="s">
        <v>60</v>
      </c>
      <c r="D933" s="36">
        <v>350</v>
      </c>
      <c r="E933" s="12">
        <v>28.03</v>
      </c>
      <c r="F933" s="21">
        <f t="shared" si="60"/>
        <v>4.0042857142857144</v>
      </c>
      <c r="G933" s="35">
        <v>0</v>
      </c>
      <c r="H933" s="35">
        <v>0</v>
      </c>
      <c r="I933" s="35">
        <v>0</v>
      </c>
      <c r="J933" s="35">
        <v>0</v>
      </c>
      <c r="K933" s="35">
        <v>0</v>
      </c>
      <c r="L933" s="36">
        <v>270</v>
      </c>
      <c r="M933" s="35">
        <v>1.39</v>
      </c>
      <c r="N933" s="21">
        <v>20.399999999999999</v>
      </c>
      <c r="O933" s="12">
        <v>0</v>
      </c>
      <c r="P933" s="35">
        <v>0.04</v>
      </c>
      <c r="Q933" s="35">
        <v>100</v>
      </c>
      <c r="R933" s="35">
        <v>120</v>
      </c>
      <c r="S933" s="35">
        <v>35</v>
      </c>
      <c r="T933" s="21">
        <f>47.8/44.01</f>
        <v>1.0861167916382639</v>
      </c>
      <c r="U933" s="21">
        <f t="shared" si="61"/>
        <v>0.27123858513977334</v>
      </c>
      <c r="V933" s="37" t="s">
        <v>6</v>
      </c>
      <c r="W933" s="37" t="s">
        <v>6</v>
      </c>
      <c r="X933" s="35" t="s">
        <v>1</v>
      </c>
      <c r="Y933" s="23" t="s">
        <v>6</v>
      </c>
      <c r="Z933" s="21" t="s">
        <v>6</v>
      </c>
      <c r="AA933" s="35" t="s">
        <v>1</v>
      </c>
      <c r="AB933" s="37" t="s">
        <v>1</v>
      </c>
      <c r="AC933" s="27" t="s">
        <v>15</v>
      </c>
    </row>
    <row r="934" spans="1:29">
      <c r="A934" s="35" t="s">
        <v>7</v>
      </c>
      <c r="B934" s="35" t="s">
        <v>180</v>
      </c>
      <c r="C934" s="35" t="s">
        <v>60</v>
      </c>
      <c r="D934" s="36">
        <v>350</v>
      </c>
      <c r="E934" s="12">
        <v>39.589999999999996</v>
      </c>
      <c r="F934" s="21">
        <f t="shared" si="60"/>
        <v>5.6557142857142857</v>
      </c>
      <c r="G934" s="35">
        <v>0</v>
      </c>
      <c r="H934" s="35">
        <v>0</v>
      </c>
      <c r="I934" s="35">
        <v>0</v>
      </c>
      <c r="J934" s="35">
        <v>0</v>
      </c>
      <c r="K934" s="35">
        <v>0</v>
      </c>
      <c r="L934" s="36">
        <v>270</v>
      </c>
      <c r="M934" s="35">
        <v>1.39</v>
      </c>
      <c r="N934" s="21">
        <v>20.399999999999999</v>
      </c>
      <c r="O934" s="12">
        <v>0</v>
      </c>
      <c r="P934" s="35">
        <v>0.04</v>
      </c>
      <c r="Q934" s="35">
        <v>100</v>
      </c>
      <c r="R934" s="35">
        <v>120</v>
      </c>
      <c r="S934" s="35">
        <v>25</v>
      </c>
      <c r="T934" s="21">
        <f>67.3/44.01</f>
        <v>1.5291979095660078</v>
      </c>
      <c r="U934" s="21">
        <f t="shared" si="61"/>
        <v>0.27038103983233275</v>
      </c>
      <c r="V934" s="37" t="s">
        <v>6</v>
      </c>
      <c r="W934" s="37" t="s">
        <v>6</v>
      </c>
      <c r="X934" s="35">
        <v>100</v>
      </c>
      <c r="Y934" s="23">
        <v>0.54</v>
      </c>
      <c r="Z934" s="21">
        <v>0.76923076923076983</v>
      </c>
      <c r="AA934" s="35">
        <v>50</v>
      </c>
      <c r="AB934" s="37" t="s">
        <v>1</v>
      </c>
      <c r="AC934" s="27" t="s">
        <v>15</v>
      </c>
    </row>
    <row r="935" spans="1:29">
      <c r="A935" s="35" t="s">
        <v>7</v>
      </c>
      <c r="B935" s="35" t="s">
        <v>180</v>
      </c>
      <c r="C935" s="35" t="s">
        <v>60</v>
      </c>
      <c r="D935" s="36">
        <v>350</v>
      </c>
      <c r="E935" s="12">
        <v>39.589999999999996</v>
      </c>
      <c r="F935" s="21">
        <f t="shared" si="60"/>
        <v>5.6557142857142857</v>
      </c>
      <c r="G935" s="35">
        <v>0</v>
      </c>
      <c r="H935" s="35">
        <v>0</v>
      </c>
      <c r="I935" s="35">
        <v>0</v>
      </c>
      <c r="J935" s="35">
        <v>0</v>
      </c>
      <c r="K935" s="35">
        <v>0</v>
      </c>
      <c r="L935" s="36">
        <v>270</v>
      </c>
      <c r="M935" s="35">
        <v>1.39</v>
      </c>
      <c r="N935" s="21">
        <v>20.399999999999999</v>
      </c>
      <c r="O935" s="12">
        <v>0</v>
      </c>
      <c r="P935" s="35">
        <v>0.04</v>
      </c>
      <c r="Q935" s="35">
        <v>100</v>
      </c>
      <c r="R935" s="35">
        <v>120</v>
      </c>
      <c r="S935" s="35">
        <v>30</v>
      </c>
      <c r="T935" s="21">
        <f>71.8/44.01</f>
        <v>1.631447398318564</v>
      </c>
      <c r="U935" s="21">
        <f t="shared" si="61"/>
        <v>0.28846000980626291</v>
      </c>
      <c r="V935" s="37" t="s">
        <v>6</v>
      </c>
      <c r="W935" s="37" t="s">
        <v>6</v>
      </c>
      <c r="X935" s="35" t="s">
        <v>1</v>
      </c>
      <c r="Y935" s="23" t="s">
        <v>6</v>
      </c>
      <c r="Z935" s="21" t="s">
        <v>6</v>
      </c>
      <c r="AA935" s="35" t="s">
        <v>1</v>
      </c>
      <c r="AB935" s="37" t="s">
        <v>1</v>
      </c>
      <c r="AC935" s="27" t="s">
        <v>15</v>
      </c>
    </row>
    <row r="936" spans="1:29">
      <c r="A936" s="35" t="s">
        <v>7</v>
      </c>
      <c r="B936" s="35" t="s">
        <v>180</v>
      </c>
      <c r="C936" s="35" t="s">
        <v>60</v>
      </c>
      <c r="D936" s="36">
        <v>350</v>
      </c>
      <c r="E936" s="12">
        <v>39.589999999999996</v>
      </c>
      <c r="F936" s="21">
        <f>E936*7.86*10/D936</f>
        <v>8.890782857142856</v>
      </c>
      <c r="G936" s="35">
        <v>0</v>
      </c>
      <c r="H936" s="35">
        <v>0</v>
      </c>
      <c r="I936" s="35">
        <v>0</v>
      </c>
      <c r="J936" s="35">
        <v>0</v>
      </c>
      <c r="K936" s="35">
        <v>0</v>
      </c>
      <c r="L936" s="36">
        <v>270</v>
      </c>
      <c r="M936" s="35">
        <v>1.39</v>
      </c>
      <c r="N936" s="21">
        <v>20.399999999999999</v>
      </c>
      <c r="O936" s="12">
        <v>0</v>
      </c>
      <c r="P936" s="35">
        <v>0.04</v>
      </c>
      <c r="Q936" s="35">
        <v>100</v>
      </c>
      <c r="R936" s="35">
        <v>120</v>
      </c>
      <c r="S936" s="35">
        <v>35</v>
      </c>
      <c r="T936" s="21">
        <f>74.5/44.01</f>
        <v>1.6927970915700978</v>
      </c>
      <c r="U936" s="21">
        <f t="shared" si="61"/>
        <v>0.19039910419250702</v>
      </c>
      <c r="V936" s="37" t="s">
        <v>6</v>
      </c>
      <c r="W936" s="37" t="s">
        <v>6</v>
      </c>
      <c r="X936" s="35" t="s">
        <v>1</v>
      </c>
      <c r="Y936" s="23" t="s">
        <v>6</v>
      </c>
      <c r="Z936" s="21" t="s">
        <v>6</v>
      </c>
      <c r="AA936" s="35" t="s">
        <v>1</v>
      </c>
      <c r="AB936" s="37" t="s">
        <v>1</v>
      </c>
      <c r="AC936" s="27" t="s">
        <v>15</v>
      </c>
    </row>
    <row r="937" spans="1:29">
      <c r="A937" s="35" t="s">
        <v>7</v>
      </c>
      <c r="B937" s="35" t="s">
        <v>180</v>
      </c>
      <c r="C937" s="35" t="s">
        <v>60</v>
      </c>
      <c r="D937" s="36">
        <v>350</v>
      </c>
      <c r="E937" s="12">
        <v>49.21</v>
      </c>
      <c r="F937" s="21">
        <f t="shared" ref="F937:F939" si="62">E937*7.86*10/D937</f>
        <v>11.051160000000001</v>
      </c>
      <c r="G937" s="35">
        <v>0</v>
      </c>
      <c r="H937" s="35">
        <v>0</v>
      </c>
      <c r="I937" s="35">
        <v>0</v>
      </c>
      <c r="J937" s="35">
        <v>0</v>
      </c>
      <c r="K937" s="35">
        <v>0</v>
      </c>
      <c r="L937" s="36">
        <v>270</v>
      </c>
      <c r="M937" s="35">
        <v>1.39</v>
      </c>
      <c r="N937" s="21">
        <v>20.399999999999999</v>
      </c>
      <c r="O937" s="12">
        <v>0</v>
      </c>
      <c r="P937" s="35">
        <v>0.04</v>
      </c>
      <c r="Q937" s="35">
        <v>100</v>
      </c>
      <c r="R937" s="35">
        <v>120</v>
      </c>
      <c r="S937" s="35">
        <v>25</v>
      </c>
      <c r="T937" s="21">
        <f>74.7/44.01</f>
        <v>1.6973415132924337</v>
      </c>
      <c r="U937" s="21">
        <f t="shared" si="61"/>
        <v>0.15358944339711247</v>
      </c>
      <c r="V937" s="37" t="s">
        <v>6</v>
      </c>
      <c r="W937" s="37" t="s">
        <v>6</v>
      </c>
      <c r="X937" s="35" t="s">
        <v>1</v>
      </c>
      <c r="Y937" s="23" t="s">
        <v>6</v>
      </c>
      <c r="Z937" s="21" t="s">
        <v>6</v>
      </c>
      <c r="AA937" s="35" t="s">
        <v>1</v>
      </c>
      <c r="AB937" s="37" t="s">
        <v>1</v>
      </c>
      <c r="AC937" s="27" t="s">
        <v>15</v>
      </c>
    </row>
    <row r="938" spans="1:29">
      <c r="A938" s="35" t="s">
        <v>7</v>
      </c>
      <c r="B938" s="35" t="s">
        <v>180</v>
      </c>
      <c r="C938" s="35" t="s">
        <v>60</v>
      </c>
      <c r="D938" s="36">
        <v>350</v>
      </c>
      <c r="E938" s="12">
        <v>49.21</v>
      </c>
      <c r="F938" s="21">
        <f t="shared" si="62"/>
        <v>11.051160000000001</v>
      </c>
      <c r="G938" s="35">
        <v>0</v>
      </c>
      <c r="H938" s="35">
        <v>0</v>
      </c>
      <c r="I938" s="35">
        <v>0</v>
      </c>
      <c r="J938" s="35">
        <v>0</v>
      </c>
      <c r="K938" s="35">
        <v>0</v>
      </c>
      <c r="L938" s="36">
        <v>270</v>
      </c>
      <c r="M938" s="35">
        <v>1.39</v>
      </c>
      <c r="N938" s="21">
        <v>20.399999999999999</v>
      </c>
      <c r="O938" s="12">
        <v>0</v>
      </c>
      <c r="P938" s="35">
        <v>0.04</v>
      </c>
      <c r="Q938" s="35">
        <v>100</v>
      </c>
      <c r="R938" s="35">
        <v>120</v>
      </c>
      <c r="S938" s="35">
        <v>30</v>
      </c>
      <c r="T938" s="21">
        <f>79.7/44.01</f>
        <v>1.8109520563508295</v>
      </c>
      <c r="U938" s="21">
        <f t="shared" si="61"/>
        <v>0.16386986129517889</v>
      </c>
      <c r="V938" s="37" t="s">
        <v>6</v>
      </c>
      <c r="W938" s="37" t="s">
        <v>6</v>
      </c>
      <c r="X938" s="35" t="s">
        <v>1</v>
      </c>
      <c r="Y938" s="23" t="s">
        <v>6</v>
      </c>
      <c r="Z938" s="21" t="s">
        <v>6</v>
      </c>
      <c r="AA938" s="35" t="s">
        <v>1</v>
      </c>
      <c r="AB938" s="37" t="s">
        <v>1</v>
      </c>
      <c r="AC938" s="27" t="s">
        <v>15</v>
      </c>
    </row>
    <row r="939" spans="1:29">
      <c r="A939" s="35" t="s">
        <v>7</v>
      </c>
      <c r="B939" s="35" t="s">
        <v>180</v>
      </c>
      <c r="C939" s="35" t="s">
        <v>60</v>
      </c>
      <c r="D939" s="36">
        <v>350</v>
      </c>
      <c r="E939" s="12">
        <v>49.21</v>
      </c>
      <c r="F939" s="21">
        <f t="shared" si="62"/>
        <v>11.051160000000001</v>
      </c>
      <c r="G939" s="35">
        <v>0</v>
      </c>
      <c r="H939" s="35">
        <v>0</v>
      </c>
      <c r="I939" s="35">
        <v>0</v>
      </c>
      <c r="J939" s="35">
        <v>0</v>
      </c>
      <c r="K939" s="35">
        <v>0</v>
      </c>
      <c r="L939" s="36">
        <v>270</v>
      </c>
      <c r="M939" s="35">
        <v>1.39</v>
      </c>
      <c r="N939" s="21">
        <v>20.399999999999999</v>
      </c>
      <c r="O939" s="12">
        <v>0</v>
      </c>
      <c r="P939" s="35">
        <v>0.04</v>
      </c>
      <c r="Q939" s="35">
        <v>100</v>
      </c>
      <c r="R939" s="35">
        <v>120</v>
      </c>
      <c r="S939" s="35">
        <v>35</v>
      </c>
      <c r="T939" s="21">
        <f>84.1/44.01</f>
        <v>1.9109293342422176</v>
      </c>
      <c r="U939" s="21">
        <f t="shared" si="61"/>
        <v>0.17291662904547733</v>
      </c>
      <c r="V939" s="37" t="s">
        <v>6</v>
      </c>
      <c r="W939" s="37" t="s">
        <v>6</v>
      </c>
      <c r="X939" s="35" t="s">
        <v>1</v>
      </c>
      <c r="Y939" s="23" t="s">
        <v>6</v>
      </c>
      <c r="Z939" s="21" t="s">
        <v>6</v>
      </c>
      <c r="AA939" s="35" t="s">
        <v>1</v>
      </c>
      <c r="AB939" s="37" t="s">
        <v>1</v>
      </c>
      <c r="AC939" s="27" t="s">
        <v>15</v>
      </c>
    </row>
    <row r="940" spans="1:29">
      <c r="A940" s="35" t="s">
        <v>7</v>
      </c>
      <c r="B940" s="35" t="s">
        <v>180</v>
      </c>
      <c r="C940" s="35" t="s">
        <v>176</v>
      </c>
      <c r="D940" s="36">
        <v>537</v>
      </c>
      <c r="E940" s="12">
        <v>19.82</v>
      </c>
      <c r="F940" s="21">
        <f t="shared" ref="F940:F951" si="63">E940*12*10/D940</f>
        <v>4.4290502793296094</v>
      </c>
      <c r="G940" s="35">
        <v>0</v>
      </c>
      <c r="H940" s="35">
        <v>0</v>
      </c>
      <c r="I940" s="35">
        <v>0</v>
      </c>
      <c r="J940" s="35">
        <v>0</v>
      </c>
      <c r="K940" s="35">
        <v>0</v>
      </c>
      <c r="L940" s="36">
        <v>270</v>
      </c>
      <c r="M940" s="35">
        <v>1.39</v>
      </c>
      <c r="N940" s="21">
        <v>20.399999999999999</v>
      </c>
      <c r="O940" s="12">
        <v>0</v>
      </c>
      <c r="P940" s="35">
        <v>0.04</v>
      </c>
      <c r="Q940" s="35">
        <v>100</v>
      </c>
      <c r="R940" s="35">
        <v>120</v>
      </c>
      <c r="S940" s="35">
        <v>25</v>
      </c>
      <c r="T940" s="21">
        <f>22.6/44.01</f>
        <v>0.51351965462394911</v>
      </c>
      <c r="U940" s="21">
        <f t="shared" si="61"/>
        <v>0.11594351435127004</v>
      </c>
      <c r="V940" s="37">
        <v>24.85</v>
      </c>
      <c r="W940" s="37">
        <v>82.48</v>
      </c>
      <c r="X940" s="35" t="s">
        <v>1</v>
      </c>
      <c r="Y940" s="23" t="s">
        <v>6</v>
      </c>
      <c r="Z940" s="21" t="s">
        <v>6</v>
      </c>
      <c r="AA940" s="35" t="s">
        <v>1</v>
      </c>
      <c r="AB940" s="37" t="s">
        <v>1</v>
      </c>
      <c r="AC940" s="27" t="s">
        <v>15</v>
      </c>
    </row>
    <row r="941" spans="1:29">
      <c r="A941" s="35" t="s">
        <v>7</v>
      </c>
      <c r="B941" s="35" t="s">
        <v>180</v>
      </c>
      <c r="C941" s="35" t="s">
        <v>176</v>
      </c>
      <c r="D941" s="36">
        <v>537</v>
      </c>
      <c r="E941" s="12">
        <v>19.82</v>
      </c>
      <c r="F941" s="21">
        <f t="shared" si="63"/>
        <v>4.4290502793296094</v>
      </c>
      <c r="G941" s="35">
        <v>0</v>
      </c>
      <c r="H941" s="35">
        <v>0</v>
      </c>
      <c r="I941" s="35">
        <v>0</v>
      </c>
      <c r="J941" s="35">
        <v>0</v>
      </c>
      <c r="K941" s="35">
        <v>0</v>
      </c>
      <c r="L941" s="36">
        <v>270</v>
      </c>
      <c r="M941" s="35">
        <v>1.39</v>
      </c>
      <c r="N941" s="21">
        <v>20.399999999999999</v>
      </c>
      <c r="O941" s="12">
        <v>0</v>
      </c>
      <c r="P941" s="35">
        <v>0.04</v>
      </c>
      <c r="Q941" s="35">
        <v>100</v>
      </c>
      <c r="R941" s="35">
        <v>120</v>
      </c>
      <c r="S941" s="35">
        <v>30</v>
      </c>
      <c r="T941" s="21">
        <f>22.8/44.01</f>
        <v>0.51806407634628493</v>
      </c>
      <c r="U941" s="21">
        <f t="shared" si="61"/>
        <v>0.11696956315083878</v>
      </c>
      <c r="V941" s="37" t="s">
        <v>6</v>
      </c>
      <c r="W941" s="37" t="s">
        <v>6</v>
      </c>
      <c r="X941" s="35" t="s">
        <v>1</v>
      </c>
      <c r="Y941" s="23" t="s">
        <v>6</v>
      </c>
      <c r="Z941" s="21" t="s">
        <v>6</v>
      </c>
      <c r="AA941" s="35" t="s">
        <v>1</v>
      </c>
      <c r="AB941" s="37" t="s">
        <v>1</v>
      </c>
      <c r="AC941" s="27" t="s">
        <v>15</v>
      </c>
    </row>
    <row r="942" spans="1:29">
      <c r="A942" s="35" t="s">
        <v>7</v>
      </c>
      <c r="B942" s="35" t="s">
        <v>180</v>
      </c>
      <c r="C942" s="35" t="s">
        <v>176</v>
      </c>
      <c r="D942" s="36">
        <v>537</v>
      </c>
      <c r="E942" s="12">
        <v>19.82</v>
      </c>
      <c r="F942" s="21">
        <f t="shared" si="63"/>
        <v>4.4290502793296094</v>
      </c>
      <c r="G942" s="35">
        <v>0</v>
      </c>
      <c r="H942" s="35">
        <v>0</v>
      </c>
      <c r="I942" s="35">
        <v>0</v>
      </c>
      <c r="J942" s="35">
        <v>0</v>
      </c>
      <c r="K942" s="35">
        <v>0</v>
      </c>
      <c r="L942" s="36">
        <v>270</v>
      </c>
      <c r="M942" s="35">
        <v>1.39</v>
      </c>
      <c r="N942" s="21">
        <v>20.399999999999999</v>
      </c>
      <c r="O942" s="12">
        <v>0</v>
      </c>
      <c r="P942" s="35">
        <v>0.04</v>
      </c>
      <c r="Q942" s="35">
        <v>100</v>
      </c>
      <c r="R942" s="35">
        <v>120</v>
      </c>
      <c r="S942" s="35">
        <v>35</v>
      </c>
      <c r="T942" s="21">
        <f>21.8/44.01</f>
        <v>0.49534196773460581</v>
      </c>
      <c r="U942" s="21">
        <f t="shared" si="61"/>
        <v>0.111839319152995</v>
      </c>
      <c r="V942" s="37" t="s">
        <v>6</v>
      </c>
      <c r="W942" s="37" t="s">
        <v>6</v>
      </c>
      <c r="X942" s="35" t="s">
        <v>1</v>
      </c>
      <c r="Y942" s="23" t="s">
        <v>6</v>
      </c>
      <c r="Z942" s="21" t="s">
        <v>6</v>
      </c>
      <c r="AA942" s="35" t="s">
        <v>1</v>
      </c>
      <c r="AB942" s="37" t="s">
        <v>1</v>
      </c>
      <c r="AC942" s="27" t="s">
        <v>15</v>
      </c>
    </row>
    <row r="943" spans="1:29">
      <c r="A943" s="35" t="s">
        <v>7</v>
      </c>
      <c r="B943" s="35" t="s">
        <v>180</v>
      </c>
      <c r="C943" s="35" t="s">
        <v>176</v>
      </c>
      <c r="D943" s="36">
        <v>537</v>
      </c>
      <c r="E943" s="12">
        <v>28.48</v>
      </c>
      <c r="F943" s="21">
        <f t="shared" si="63"/>
        <v>6.3642458100558654</v>
      </c>
      <c r="G943" s="35">
        <v>0</v>
      </c>
      <c r="H943" s="35">
        <v>0</v>
      </c>
      <c r="I943" s="35">
        <v>0</v>
      </c>
      <c r="J943" s="35">
        <v>0</v>
      </c>
      <c r="K943" s="35">
        <v>0</v>
      </c>
      <c r="L943" s="36">
        <v>270</v>
      </c>
      <c r="M943" s="35">
        <v>1.39</v>
      </c>
      <c r="N943" s="21">
        <v>20.399999999999999</v>
      </c>
      <c r="O943" s="12">
        <v>0</v>
      </c>
      <c r="P943" s="35">
        <v>0.04</v>
      </c>
      <c r="Q943" s="35">
        <v>100</v>
      </c>
      <c r="R943" s="35">
        <v>120</v>
      </c>
      <c r="S943" s="35">
        <v>25</v>
      </c>
      <c r="T943" s="21">
        <f>42/44.01</f>
        <v>0.95432856169052493</v>
      </c>
      <c r="U943" s="21">
        <f t="shared" si="61"/>
        <v>0.14995155595383075</v>
      </c>
      <c r="V943" s="37">
        <v>41.8</v>
      </c>
      <c r="W943" s="37">
        <v>109.13</v>
      </c>
      <c r="X943" s="35" t="s">
        <v>1</v>
      </c>
      <c r="Y943" s="23" t="s">
        <v>6</v>
      </c>
      <c r="Z943" s="21" t="s">
        <v>6</v>
      </c>
      <c r="AA943" s="35" t="s">
        <v>1</v>
      </c>
      <c r="AB943" s="37" t="s">
        <v>1</v>
      </c>
      <c r="AC943" s="27" t="s">
        <v>15</v>
      </c>
    </row>
    <row r="944" spans="1:29">
      <c r="A944" s="35" t="s">
        <v>7</v>
      </c>
      <c r="B944" s="35" t="s">
        <v>180</v>
      </c>
      <c r="C944" s="35" t="s">
        <v>176</v>
      </c>
      <c r="D944" s="36">
        <v>537</v>
      </c>
      <c r="E944" s="12">
        <v>28.48</v>
      </c>
      <c r="F944" s="21">
        <f t="shared" si="63"/>
        <v>6.3642458100558654</v>
      </c>
      <c r="G944" s="35">
        <v>0</v>
      </c>
      <c r="H944" s="35">
        <v>0</v>
      </c>
      <c r="I944" s="35">
        <v>0</v>
      </c>
      <c r="J944" s="35">
        <v>0</v>
      </c>
      <c r="K944" s="35">
        <v>0</v>
      </c>
      <c r="L944" s="36">
        <v>270</v>
      </c>
      <c r="M944" s="35">
        <v>1.39</v>
      </c>
      <c r="N944" s="21">
        <v>20.399999999999999</v>
      </c>
      <c r="O944" s="12">
        <v>0</v>
      </c>
      <c r="P944" s="35">
        <v>0.04</v>
      </c>
      <c r="Q944" s="35">
        <v>100</v>
      </c>
      <c r="R944" s="35">
        <v>120</v>
      </c>
      <c r="S944" s="35">
        <v>30</v>
      </c>
      <c r="T944" s="21">
        <f>43/44.01</f>
        <v>0.97705067030220405</v>
      </c>
      <c r="U944" s="21">
        <f t="shared" si="61"/>
        <v>0.15352183109558862</v>
      </c>
      <c r="V944" s="37" t="s">
        <v>6</v>
      </c>
      <c r="W944" s="37" t="s">
        <v>6</v>
      </c>
      <c r="X944" s="35" t="s">
        <v>1</v>
      </c>
      <c r="Y944" s="23" t="s">
        <v>6</v>
      </c>
      <c r="Z944" s="21" t="s">
        <v>6</v>
      </c>
      <c r="AA944" s="35" t="s">
        <v>1</v>
      </c>
      <c r="AB944" s="37" t="s">
        <v>1</v>
      </c>
      <c r="AC944" s="27" t="s">
        <v>15</v>
      </c>
    </row>
    <row r="945" spans="1:29">
      <c r="A945" s="35" t="s">
        <v>7</v>
      </c>
      <c r="B945" s="35" t="s">
        <v>180</v>
      </c>
      <c r="C945" s="35" t="s">
        <v>176</v>
      </c>
      <c r="D945" s="36">
        <v>537</v>
      </c>
      <c r="E945" s="12">
        <v>28.48</v>
      </c>
      <c r="F945" s="21">
        <f t="shared" si="63"/>
        <v>6.3642458100558654</v>
      </c>
      <c r="G945" s="35">
        <v>0</v>
      </c>
      <c r="H945" s="35">
        <v>0</v>
      </c>
      <c r="I945" s="35">
        <v>0</v>
      </c>
      <c r="J945" s="35">
        <v>0</v>
      </c>
      <c r="K945" s="35">
        <v>0</v>
      </c>
      <c r="L945" s="36">
        <v>270</v>
      </c>
      <c r="M945" s="35">
        <v>1.39</v>
      </c>
      <c r="N945" s="21">
        <v>20.399999999999999</v>
      </c>
      <c r="O945" s="12">
        <v>0</v>
      </c>
      <c r="P945" s="35">
        <v>0.04</v>
      </c>
      <c r="Q945" s="35">
        <v>100</v>
      </c>
      <c r="R945" s="35">
        <v>120</v>
      </c>
      <c r="S945" s="35">
        <v>35</v>
      </c>
      <c r="T945" s="21">
        <f>42.9/44.01</f>
        <v>0.97477845944103614</v>
      </c>
      <c r="U945" s="21">
        <f t="shared" si="61"/>
        <v>0.15316480358141282</v>
      </c>
      <c r="V945" s="37" t="s">
        <v>6</v>
      </c>
      <c r="W945" s="37" t="s">
        <v>6</v>
      </c>
      <c r="X945" s="35" t="s">
        <v>1</v>
      </c>
      <c r="Y945" s="23" t="s">
        <v>6</v>
      </c>
      <c r="Z945" s="21" t="s">
        <v>6</v>
      </c>
      <c r="AA945" s="35" t="s">
        <v>1</v>
      </c>
      <c r="AB945" s="37" t="s">
        <v>1</v>
      </c>
      <c r="AC945" s="27" t="s">
        <v>15</v>
      </c>
    </row>
    <row r="946" spans="1:29">
      <c r="A946" s="35" t="s">
        <v>7</v>
      </c>
      <c r="B946" s="35" t="s">
        <v>180</v>
      </c>
      <c r="C946" s="35" t="s">
        <v>176</v>
      </c>
      <c r="D946" s="36">
        <v>537</v>
      </c>
      <c r="E946" s="12">
        <v>37.76</v>
      </c>
      <c r="F946" s="21">
        <f t="shared" si="63"/>
        <v>8.4379888268156424</v>
      </c>
      <c r="G946" s="35">
        <v>0</v>
      </c>
      <c r="H946" s="35">
        <v>0</v>
      </c>
      <c r="I946" s="35">
        <v>0</v>
      </c>
      <c r="J946" s="35">
        <v>0</v>
      </c>
      <c r="K946" s="35">
        <v>0</v>
      </c>
      <c r="L946" s="36">
        <v>270</v>
      </c>
      <c r="M946" s="35">
        <v>1.39</v>
      </c>
      <c r="N946" s="21">
        <v>20.399999999999999</v>
      </c>
      <c r="O946" s="12">
        <v>0</v>
      </c>
      <c r="P946" s="35">
        <v>0.04</v>
      </c>
      <c r="Q946" s="35">
        <v>100</v>
      </c>
      <c r="R946" s="35">
        <v>120</v>
      </c>
      <c r="S946" s="35">
        <v>25</v>
      </c>
      <c r="T946" s="21">
        <f>54.9/44.01</f>
        <v>1.2474437627811861</v>
      </c>
      <c r="U946" s="21">
        <f t="shared" si="61"/>
        <v>0.14783662178087414</v>
      </c>
      <c r="V946" s="37">
        <v>52.6</v>
      </c>
      <c r="W946" s="37" t="s">
        <v>6</v>
      </c>
      <c r="X946" s="35">
        <v>100</v>
      </c>
      <c r="Y946" s="23">
        <v>0.26</v>
      </c>
      <c r="Z946" s="21">
        <v>0.80645161290322642</v>
      </c>
      <c r="AA946" s="35">
        <v>50</v>
      </c>
      <c r="AB946" s="37" t="s">
        <v>1</v>
      </c>
      <c r="AC946" s="27" t="s">
        <v>15</v>
      </c>
    </row>
    <row r="947" spans="1:29">
      <c r="A947" s="35" t="s">
        <v>7</v>
      </c>
      <c r="B947" s="35" t="s">
        <v>180</v>
      </c>
      <c r="C947" s="35" t="s">
        <v>176</v>
      </c>
      <c r="D947" s="36">
        <v>537</v>
      </c>
      <c r="E947" s="12">
        <v>37.76</v>
      </c>
      <c r="F947" s="21">
        <f t="shared" si="63"/>
        <v>8.4379888268156424</v>
      </c>
      <c r="G947" s="35">
        <v>0</v>
      </c>
      <c r="H947" s="35">
        <v>0</v>
      </c>
      <c r="I947" s="35">
        <v>0</v>
      </c>
      <c r="J947" s="35">
        <v>0</v>
      </c>
      <c r="K947" s="35">
        <v>0</v>
      </c>
      <c r="L947" s="36">
        <v>270</v>
      </c>
      <c r="M947" s="35">
        <v>1.39</v>
      </c>
      <c r="N947" s="21">
        <v>20.399999999999999</v>
      </c>
      <c r="O947" s="12">
        <v>0</v>
      </c>
      <c r="P947" s="35">
        <v>0.04</v>
      </c>
      <c r="Q947" s="35">
        <v>100</v>
      </c>
      <c r="R947" s="35">
        <v>120</v>
      </c>
      <c r="S947" s="35">
        <v>30</v>
      </c>
      <c r="T947" s="21">
        <f>59.9/44.01</f>
        <v>1.3610543058395819</v>
      </c>
      <c r="U947" s="21">
        <f t="shared" si="61"/>
        <v>0.16130079498496103</v>
      </c>
      <c r="V947" s="37" t="s">
        <v>6</v>
      </c>
      <c r="W947" s="37" t="s">
        <v>6</v>
      </c>
      <c r="X947" s="35" t="s">
        <v>1</v>
      </c>
      <c r="Y947" s="23" t="s">
        <v>6</v>
      </c>
      <c r="Z947" s="21" t="s">
        <v>6</v>
      </c>
      <c r="AA947" s="35" t="s">
        <v>1</v>
      </c>
      <c r="AB947" s="37" t="s">
        <v>1</v>
      </c>
      <c r="AC947" s="27" t="s">
        <v>15</v>
      </c>
    </row>
    <row r="948" spans="1:29">
      <c r="A948" s="35" t="s">
        <v>7</v>
      </c>
      <c r="B948" s="35" t="s">
        <v>180</v>
      </c>
      <c r="C948" s="35" t="s">
        <v>176</v>
      </c>
      <c r="D948" s="36">
        <v>537</v>
      </c>
      <c r="E948" s="12">
        <v>37.76</v>
      </c>
      <c r="F948" s="21">
        <f t="shared" si="63"/>
        <v>8.4379888268156424</v>
      </c>
      <c r="G948" s="35">
        <v>0</v>
      </c>
      <c r="H948" s="35">
        <v>0</v>
      </c>
      <c r="I948" s="35">
        <v>0</v>
      </c>
      <c r="J948" s="35">
        <v>0</v>
      </c>
      <c r="K948" s="35">
        <v>0</v>
      </c>
      <c r="L948" s="36">
        <v>270</v>
      </c>
      <c r="M948" s="35">
        <v>1.39</v>
      </c>
      <c r="N948" s="21">
        <v>20.399999999999999</v>
      </c>
      <c r="O948" s="12">
        <v>0</v>
      </c>
      <c r="P948" s="35">
        <v>0.04</v>
      </c>
      <c r="Q948" s="35">
        <v>100</v>
      </c>
      <c r="R948" s="35">
        <v>120</v>
      </c>
      <c r="S948" s="35">
        <v>35</v>
      </c>
      <c r="T948" s="21">
        <f>61.8/44.01</f>
        <v>1.4042263122017724</v>
      </c>
      <c r="U948" s="21">
        <f t="shared" si="61"/>
        <v>0.16641718080251408</v>
      </c>
      <c r="V948" s="37" t="s">
        <v>6</v>
      </c>
      <c r="W948" s="37" t="s">
        <v>6</v>
      </c>
      <c r="X948" s="35" t="s">
        <v>1</v>
      </c>
      <c r="Y948" s="23" t="s">
        <v>6</v>
      </c>
      <c r="Z948" s="21" t="s">
        <v>6</v>
      </c>
      <c r="AA948" s="35" t="s">
        <v>1</v>
      </c>
      <c r="AB948" s="37" t="s">
        <v>1</v>
      </c>
      <c r="AC948" s="27" t="s">
        <v>15</v>
      </c>
    </row>
    <row r="949" spans="1:29">
      <c r="A949" s="35" t="s">
        <v>7</v>
      </c>
      <c r="B949" s="35" t="s">
        <v>180</v>
      </c>
      <c r="C949" s="35" t="s">
        <v>176</v>
      </c>
      <c r="D949" s="36">
        <v>537</v>
      </c>
      <c r="E949" s="12">
        <v>49.2</v>
      </c>
      <c r="F949" s="21">
        <f t="shared" si="63"/>
        <v>10.994413407821231</v>
      </c>
      <c r="G949" s="35">
        <v>0</v>
      </c>
      <c r="H949" s="35">
        <v>0</v>
      </c>
      <c r="I949" s="35">
        <v>0</v>
      </c>
      <c r="J949" s="35">
        <v>0</v>
      </c>
      <c r="K949" s="35">
        <v>0</v>
      </c>
      <c r="L949" s="36">
        <v>270</v>
      </c>
      <c r="M949" s="35">
        <v>1.39</v>
      </c>
      <c r="N949" s="21">
        <v>20.399999999999999</v>
      </c>
      <c r="O949" s="12">
        <v>0</v>
      </c>
      <c r="P949" s="35">
        <v>0.04</v>
      </c>
      <c r="Q949" s="35">
        <v>100</v>
      </c>
      <c r="R949" s="35">
        <v>120</v>
      </c>
      <c r="S949" s="35">
        <v>25</v>
      </c>
      <c r="T949" s="21">
        <f>61.2/44.01</f>
        <v>1.3905930470347649</v>
      </c>
      <c r="U949" s="21">
        <f t="shared" si="61"/>
        <v>0.12648178629025553</v>
      </c>
      <c r="V949" s="37">
        <v>76.89</v>
      </c>
      <c r="W949" s="37" t="s">
        <v>6</v>
      </c>
      <c r="X949" s="35" t="s">
        <v>1</v>
      </c>
      <c r="Y949" s="23" t="s">
        <v>6</v>
      </c>
      <c r="Z949" s="21" t="s">
        <v>6</v>
      </c>
      <c r="AA949" s="35" t="s">
        <v>1</v>
      </c>
      <c r="AB949" s="37" t="s">
        <v>1</v>
      </c>
      <c r="AC949" s="27" t="s">
        <v>15</v>
      </c>
    </row>
    <row r="950" spans="1:29">
      <c r="A950" s="35" t="s">
        <v>7</v>
      </c>
      <c r="B950" s="35" t="s">
        <v>180</v>
      </c>
      <c r="C950" s="35" t="s">
        <v>176</v>
      </c>
      <c r="D950" s="36">
        <v>537</v>
      </c>
      <c r="E950" s="12">
        <v>49.2</v>
      </c>
      <c r="F950" s="21">
        <f t="shared" si="63"/>
        <v>10.994413407821231</v>
      </c>
      <c r="G950" s="35">
        <v>0</v>
      </c>
      <c r="H950" s="35">
        <v>0</v>
      </c>
      <c r="I950" s="35">
        <v>0</v>
      </c>
      <c r="J950" s="35">
        <v>0</v>
      </c>
      <c r="K950" s="35">
        <v>0</v>
      </c>
      <c r="L950" s="36">
        <v>270</v>
      </c>
      <c r="M950" s="35">
        <v>1.39</v>
      </c>
      <c r="N950" s="21">
        <v>20.399999999999999</v>
      </c>
      <c r="O950" s="12">
        <v>0</v>
      </c>
      <c r="P950" s="35">
        <v>0.04</v>
      </c>
      <c r="Q950" s="35">
        <v>100</v>
      </c>
      <c r="R950" s="35">
        <v>120</v>
      </c>
      <c r="S950" s="35">
        <v>30</v>
      </c>
      <c r="T950" s="21">
        <f>68.7/44.01</f>
        <v>1.5610088616223587</v>
      </c>
      <c r="U950" s="21">
        <f t="shared" si="61"/>
        <v>0.14198200519837509</v>
      </c>
      <c r="V950" s="37" t="s">
        <v>6</v>
      </c>
      <c r="W950" s="37" t="s">
        <v>6</v>
      </c>
      <c r="X950" s="35" t="s">
        <v>1</v>
      </c>
      <c r="Y950" s="23" t="s">
        <v>6</v>
      </c>
      <c r="Z950" s="21" t="s">
        <v>6</v>
      </c>
      <c r="AA950" s="35" t="s">
        <v>1</v>
      </c>
      <c r="AB950" s="37" t="s">
        <v>1</v>
      </c>
      <c r="AC950" s="27" t="s">
        <v>15</v>
      </c>
    </row>
    <row r="951" spans="1:29">
      <c r="A951" s="35" t="s">
        <v>7</v>
      </c>
      <c r="B951" s="35" t="s">
        <v>180</v>
      </c>
      <c r="C951" s="35" t="s">
        <v>176</v>
      </c>
      <c r="D951" s="36">
        <v>537</v>
      </c>
      <c r="E951" s="12">
        <v>49.2</v>
      </c>
      <c r="F951" s="21">
        <f t="shared" si="63"/>
        <v>10.994413407821231</v>
      </c>
      <c r="G951" s="35">
        <v>0</v>
      </c>
      <c r="H951" s="35">
        <v>0</v>
      </c>
      <c r="I951" s="35">
        <v>0</v>
      </c>
      <c r="J951" s="35">
        <v>0</v>
      </c>
      <c r="K951" s="35">
        <v>0</v>
      </c>
      <c r="L951" s="36">
        <v>270</v>
      </c>
      <c r="M951" s="35">
        <v>1.39</v>
      </c>
      <c r="N951" s="21">
        <v>20.399999999999999</v>
      </c>
      <c r="O951" s="12">
        <v>0</v>
      </c>
      <c r="P951" s="35">
        <v>0.04</v>
      </c>
      <c r="Q951" s="35">
        <v>100</v>
      </c>
      <c r="R951" s="35">
        <v>120</v>
      </c>
      <c r="S951" s="35">
        <v>35</v>
      </c>
      <c r="T951" s="21">
        <f>73.5/44.01</f>
        <v>1.6700749829584187</v>
      </c>
      <c r="U951" s="21">
        <f t="shared" si="61"/>
        <v>0.15190214529957161</v>
      </c>
      <c r="V951" s="37" t="s">
        <v>6</v>
      </c>
      <c r="W951" s="37" t="s">
        <v>6</v>
      </c>
      <c r="X951" s="35" t="s">
        <v>1</v>
      </c>
      <c r="Y951" s="23" t="s">
        <v>6</v>
      </c>
      <c r="Z951" s="21" t="s">
        <v>6</v>
      </c>
      <c r="AA951" s="35" t="s">
        <v>1</v>
      </c>
      <c r="AB951" s="37" t="s">
        <v>1</v>
      </c>
      <c r="AC951" s="27" t="s">
        <v>15</v>
      </c>
    </row>
    <row r="952" spans="1:29">
      <c r="A952" s="35" t="s">
        <v>7</v>
      </c>
      <c r="B952" s="35" t="s">
        <v>180</v>
      </c>
      <c r="C952" s="35" t="s">
        <v>177</v>
      </c>
      <c r="D952" s="36">
        <v>1020</v>
      </c>
      <c r="E952" s="12">
        <v>20.36</v>
      </c>
      <c r="F952" s="21">
        <f t="shared" ref="F952:F963" si="64">E952*22.9*10/D952</f>
        <v>4.5710196078431364</v>
      </c>
      <c r="G952" s="35">
        <v>0</v>
      </c>
      <c r="H952" s="35">
        <v>0</v>
      </c>
      <c r="I952" s="35">
        <v>0</v>
      </c>
      <c r="J952" s="35">
        <v>0</v>
      </c>
      <c r="K952" s="35">
        <v>0</v>
      </c>
      <c r="L952" s="36">
        <v>270</v>
      </c>
      <c r="M952" s="35">
        <v>1.39</v>
      </c>
      <c r="N952" s="21">
        <v>20.399999999999999</v>
      </c>
      <c r="O952" s="12">
        <v>0</v>
      </c>
      <c r="P952" s="35">
        <v>0.04</v>
      </c>
      <c r="Q952" s="35">
        <v>100</v>
      </c>
      <c r="R952" s="35">
        <v>120</v>
      </c>
      <c r="S952" s="35">
        <v>25</v>
      </c>
      <c r="T952" s="21">
        <f>22.3/44.01</f>
        <v>0.50670302204044537</v>
      </c>
      <c r="U952" s="21">
        <f t="shared" ref="U952:U983" si="65">T952/F952</f>
        <v>0.11085120290690162</v>
      </c>
      <c r="V952" s="37">
        <v>23.29</v>
      </c>
      <c r="W952" s="37">
        <v>69.260000000000005</v>
      </c>
      <c r="X952" s="35" t="s">
        <v>1</v>
      </c>
      <c r="Y952" s="23" t="s">
        <v>6</v>
      </c>
      <c r="Z952" s="21" t="s">
        <v>6</v>
      </c>
      <c r="AA952" s="35" t="s">
        <v>1</v>
      </c>
      <c r="AB952" s="37" t="s">
        <v>1</v>
      </c>
      <c r="AC952" s="27" t="s">
        <v>15</v>
      </c>
    </row>
    <row r="953" spans="1:29">
      <c r="A953" s="35" t="s">
        <v>7</v>
      </c>
      <c r="B953" s="35" t="s">
        <v>180</v>
      </c>
      <c r="C953" s="35" t="s">
        <v>177</v>
      </c>
      <c r="D953" s="36">
        <v>1020</v>
      </c>
      <c r="E953" s="12">
        <v>20.36</v>
      </c>
      <c r="F953" s="21">
        <f t="shared" si="64"/>
        <v>4.5710196078431364</v>
      </c>
      <c r="G953" s="35">
        <v>0</v>
      </c>
      <c r="H953" s="35">
        <v>0</v>
      </c>
      <c r="I953" s="35">
        <v>0</v>
      </c>
      <c r="J953" s="35">
        <v>0</v>
      </c>
      <c r="K953" s="35">
        <v>0</v>
      </c>
      <c r="L953" s="36">
        <v>270</v>
      </c>
      <c r="M953" s="35">
        <v>1.39</v>
      </c>
      <c r="N953" s="21">
        <v>20.399999999999999</v>
      </c>
      <c r="O953" s="12">
        <v>0</v>
      </c>
      <c r="P953" s="35">
        <v>0.04</v>
      </c>
      <c r="Q953" s="35">
        <v>100</v>
      </c>
      <c r="R953" s="35">
        <v>120</v>
      </c>
      <c r="S953" s="35">
        <v>30</v>
      </c>
      <c r="T953" s="21">
        <f>2.22/44.01</f>
        <v>5.0443081117927752E-2</v>
      </c>
      <c r="U953" s="21">
        <f t="shared" si="65"/>
        <v>1.1035411231090655E-2</v>
      </c>
      <c r="V953" s="37" t="s">
        <v>6</v>
      </c>
      <c r="W953" s="37" t="s">
        <v>6</v>
      </c>
      <c r="X953" s="35" t="s">
        <v>1</v>
      </c>
      <c r="Y953" s="23" t="s">
        <v>6</v>
      </c>
      <c r="Z953" s="21" t="s">
        <v>6</v>
      </c>
      <c r="AA953" s="35" t="s">
        <v>1</v>
      </c>
      <c r="AB953" s="37" t="s">
        <v>1</v>
      </c>
      <c r="AC953" s="27" t="s">
        <v>15</v>
      </c>
    </row>
    <row r="954" spans="1:29">
      <c r="A954" s="35" t="s">
        <v>7</v>
      </c>
      <c r="B954" s="35" t="s">
        <v>180</v>
      </c>
      <c r="C954" s="35" t="s">
        <v>177</v>
      </c>
      <c r="D954" s="36">
        <v>1020</v>
      </c>
      <c r="E954" s="12">
        <v>20.36</v>
      </c>
      <c r="F954" s="21">
        <f t="shared" si="64"/>
        <v>4.5710196078431364</v>
      </c>
      <c r="G954" s="35">
        <v>0</v>
      </c>
      <c r="H954" s="35">
        <v>0</v>
      </c>
      <c r="I954" s="35">
        <v>0</v>
      </c>
      <c r="J954" s="35">
        <v>0</v>
      </c>
      <c r="K954" s="35">
        <v>0</v>
      </c>
      <c r="L954" s="36">
        <v>270</v>
      </c>
      <c r="M954" s="35">
        <v>1.39</v>
      </c>
      <c r="N954" s="21">
        <v>20.399999999999999</v>
      </c>
      <c r="O954" s="12">
        <v>0</v>
      </c>
      <c r="P954" s="35">
        <v>0.04</v>
      </c>
      <c r="Q954" s="35">
        <v>100</v>
      </c>
      <c r="R954" s="35">
        <v>120</v>
      </c>
      <c r="S954" s="35">
        <v>35</v>
      </c>
      <c r="T954" s="21">
        <f>21/44.01</f>
        <v>0.47716428084526247</v>
      </c>
      <c r="U954" s="21">
        <f t="shared" si="65"/>
        <v>0.10438902515896566</v>
      </c>
      <c r="V954" s="37" t="s">
        <v>6</v>
      </c>
      <c r="W954" s="37" t="s">
        <v>6</v>
      </c>
      <c r="X954" s="35" t="s">
        <v>1</v>
      </c>
      <c r="Y954" s="23" t="s">
        <v>6</v>
      </c>
      <c r="Z954" s="21" t="s">
        <v>6</v>
      </c>
      <c r="AA954" s="35" t="s">
        <v>1</v>
      </c>
      <c r="AB954" s="37" t="s">
        <v>1</v>
      </c>
      <c r="AC954" s="27" t="s">
        <v>15</v>
      </c>
    </row>
    <row r="955" spans="1:29">
      <c r="A955" s="35" t="s">
        <v>7</v>
      </c>
      <c r="B955" s="35" t="s">
        <v>180</v>
      </c>
      <c r="C955" s="35" t="s">
        <v>177</v>
      </c>
      <c r="D955" s="36">
        <v>1020</v>
      </c>
      <c r="E955" s="12">
        <v>29.060000000000002</v>
      </c>
      <c r="F955" s="21">
        <f t="shared" si="64"/>
        <v>6.5242549019607852</v>
      </c>
      <c r="G955" s="35">
        <v>0</v>
      </c>
      <c r="H955" s="35">
        <v>0</v>
      </c>
      <c r="I955" s="35">
        <v>0</v>
      </c>
      <c r="J955" s="35">
        <v>0</v>
      </c>
      <c r="K955" s="35">
        <v>0</v>
      </c>
      <c r="L955" s="36">
        <v>270</v>
      </c>
      <c r="M955" s="35">
        <v>1.39</v>
      </c>
      <c r="N955" s="21">
        <v>20.399999999999999</v>
      </c>
      <c r="O955" s="12">
        <v>0</v>
      </c>
      <c r="P955" s="35">
        <v>0.04</v>
      </c>
      <c r="Q955" s="35">
        <v>100</v>
      </c>
      <c r="R955" s="35">
        <v>120</v>
      </c>
      <c r="S955" s="35">
        <v>25</v>
      </c>
      <c r="T955" s="21">
        <f>41.5/44.01</f>
        <v>0.94296750738468538</v>
      </c>
      <c r="U955" s="21">
        <f t="shared" si="65"/>
        <v>0.14453259744668898</v>
      </c>
      <c r="V955" s="37">
        <v>62.87</v>
      </c>
      <c r="W955" s="37">
        <v>111.28</v>
      </c>
      <c r="X955" s="35" t="s">
        <v>1</v>
      </c>
      <c r="Y955" s="23" t="s">
        <v>6</v>
      </c>
      <c r="Z955" s="21" t="s">
        <v>6</v>
      </c>
      <c r="AA955" s="35" t="s">
        <v>1</v>
      </c>
      <c r="AB955" s="37" t="s">
        <v>1</v>
      </c>
      <c r="AC955" s="27" t="s">
        <v>15</v>
      </c>
    </row>
    <row r="956" spans="1:29">
      <c r="A956" s="35" t="s">
        <v>7</v>
      </c>
      <c r="B956" s="35" t="s">
        <v>180</v>
      </c>
      <c r="C956" s="35" t="s">
        <v>177</v>
      </c>
      <c r="D956" s="36">
        <v>1020</v>
      </c>
      <c r="E956" s="12">
        <v>29.060000000000002</v>
      </c>
      <c r="F956" s="21">
        <f t="shared" si="64"/>
        <v>6.5242549019607852</v>
      </c>
      <c r="G956" s="35">
        <v>0</v>
      </c>
      <c r="H956" s="35">
        <v>0</v>
      </c>
      <c r="I956" s="35">
        <v>0</v>
      </c>
      <c r="J956" s="35">
        <v>0</v>
      </c>
      <c r="K956" s="35">
        <v>0</v>
      </c>
      <c r="L956" s="36">
        <v>270</v>
      </c>
      <c r="M956" s="35">
        <v>1.39</v>
      </c>
      <c r="N956" s="21">
        <v>20.399999999999999</v>
      </c>
      <c r="O956" s="12">
        <v>0</v>
      </c>
      <c r="P956" s="35">
        <v>0.04</v>
      </c>
      <c r="Q956" s="35">
        <v>100</v>
      </c>
      <c r="R956" s="35">
        <v>120</v>
      </c>
      <c r="S956" s="35">
        <v>30</v>
      </c>
      <c r="T956" s="21">
        <f>42.5/44.01</f>
        <v>0.96568961599636449</v>
      </c>
      <c r="U956" s="21">
        <f t="shared" si="65"/>
        <v>0.14801531063817544</v>
      </c>
      <c r="V956" s="37" t="s">
        <v>6</v>
      </c>
      <c r="W956" s="37" t="s">
        <v>6</v>
      </c>
      <c r="X956" s="35" t="s">
        <v>1</v>
      </c>
      <c r="Y956" s="23" t="s">
        <v>6</v>
      </c>
      <c r="Z956" s="21" t="s">
        <v>6</v>
      </c>
      <c r="AA956" s="35" t="s">
        <v>1</v>
      </c>
      <c r="AB956" s="37" t="s">
        <v>1</v>
      </c>
      <c r="AC956" s="27" t="s">
        <v>15</v>
      </c>
    </row>
    <row r="957" spans="1:29">
      <c r="A957" s="35" t="s">
        <v>7</v>
      </c>
      <c r="B957" s="35" t="s">
        <v>180</v>
      </c>
      <c r="C957" s="35" t="s">
        <v>177</v>
      </c>
      <c r="D957" s="36">
        <v>1020</v>
      </c>
      <c r="E957" s="12">
        <v>29.060000000000002</v>
      </c>
      <c r="F957" s="21">
        <f t="shared" si="64"/>
        <v>6.5242549019607852</v>
      </c>
      <c r="G957" s="35">
        <v>0</v>
      </c>
      <c r="H957" s="35">
        <v>0</v>
      </c>
      <c r="I957" s="35">
        <v>0</v>
      </c>
      <c r="J957" s="35">
        <v>0</v>
      </c>
      <c r="K957" s="35">
        <v>0</v>
      </c>
      <c r="L957" s="36">
        <v>270</v>
      </c>
      <c r="M957" s="35">
        <v>1.39</v>
      </c>
      <c r="N957" s="21">
        <v>20.399999999999999</v>
      </c>
      <c r="O957" s="12">
        <v>0</v>
      </c>
      <c r="P957" s="35">
        <v>0.04</v>
      </c>
      <c r="Q957" s="35">
        <v>100</v>
      </c>
      <c r="R957" s="35">
        <v>120</v>
      </c>
      <c r="S957" s="35">
        <v>35</v>
      </c>
      <c r="T957" s="21">
        <f>4.21/44.01</f>
        <v>9.5660077255169285E-2</v>
      </c>
      <c r="U957" s="21">
        <f t="shared" si="65"/>
        <v>1.4662222536158086E-2</v>
      </c>
      <c r="V957" s="37" t="s">
        <v>6</v>
      </c>
      <c r="W957" s="37" t="s">
        <v>6</v>
      </c>
      <c r="X957" s="35" t="s">
        <v>1</v>
      </c>
      <c r="Y957" s="23" t="s">
        <v>6</v>
      </c>
      <c r="Z957" s="21" t="s">
        <v>6</v>
      </c>
      <c r="AA957" s="35" t="s">
        <v>1</v>
      </c>
      <c r="AB957" s="37" t="s">
        <v>1</v>
      </c>
      <c r="AC957" s="27" t="s">
        <v>15</v>
      </c>
    </row>
    <row r="958" spans="1:29">
      <c r="A958" s="35" t="s">
        <v>7</v>
      </c>
      <c r="B958" s="35" t="s">
        <v>180</v>
      </c>
      <c r="C958" s="35" t="s">
        <v>177</v>
      </c>
      <c r="D958" s="36">
        <v>1020</v>
      </c>
      <c r="E958" s="12">
        <v>38.43</v>
      </c>
      <c r="F958" s="21">
        <f t="shared" si="64"/>
        <v>8.6279117647058818</v>
      </c>
      <c r="G958" s="35">
        <v>0</v>
      </c>
      <c r="H958" s="35">
        <v>0</v>
      </c>
      <c r="I958" s="35">
        <v>0</v>
      </c>
      <c r="J958" s="35">
        <v>0</v>
      </c>
      <c r="K958" s="35">
        <v>0</v>
      </c>
      <c r="L958" s="36">
        <v>270</v>
      </c>
      <c r="M958" s="35">
        <v>1.39</v>
      </c>
      <c r="N958" s="21">
        <v>20.399999999999999</v>
      </c>
      <c r="O958" s="12">
        <v>0</v>
      </c>
      <c r="P958" s="35">
        <v>0.04</v>
      </c>
      <c r="Q958" s="35">
        <v>100</v>
      </c>
      <c r="R958" s="35">
        <v>120</v>
      </c>
      <c r="S958" s="35">
        <v>25</v>
      </c>
      <c r="T958" s="21">
        <f>55.7/44.01</f>
        <v>1.2656214496705296</v>
      </c>
      <c r="U958" s="21">
        <f t="shared" si="65"/>
        <v>0.14668919712969197</v>
      </c>
      <c r="V958" s="37">
        <v>50.6</v>
      </c>
      <c r="W958" s="37" t="s">
        <v>6</v>
      </c>
      <c r="X958" s="35">
        <v>100</v>
      </c>
      <c r="Y958" s="23">
        <v>0.51</v>
      </c>
      <c r="Z958" s="21">
        <v>-0.32154340836013606</v>
      </c>
      <c r="AA958" s="35">
        <v>50</v>
      </c>
      <c r="AB958" s="37" t="s">
        <v>1</v>
      </c>
      <c r="AC958" s="27" t="s">
        <v>15</v>
      </c>
    </row>
    <row r="959" spans="1:29">
      <c r="A959" s="35" t="s">
        <v>7</v>
      </c>
      <c r="B959" s="35" t="s">
        <v>180</v>
      </c>
      <c r="C959" s="35" t="s">
        <v>177</v>
      </c>
      <c r="D959" s="36">
        <v>1020</v>
      </c>
      <c r="E959" s="12">
        <v>38.43</v>
      </c>
      <c r="F959" s="21">
        <f t="shared" si="64"/>
        <v>8.6279117647058818</v>
      </c>
      <c r="G959" s="35">
        <v>0</v>
      </c>
      <c r="H959" s="35">
        <v>0</v>
      </c>
      <c r="I959" s="35">
        <v>0</v>
      </c>
      <c r="J959" s="35">
        <v>0</v>
      </c>
      <c r="K959" s="35">
        <v>0</v>
      </c>
      <c r="L959" s="36">
        <v>270</v>
      </c>
      <c r="M959" s="35">
        <v>1.39</v>
      </c>
      <c r="N959" s="21">
        <v>20.399999999999999</v>
      </c>
      <c r="O959" s="12">
        <v>0</v>
      </c>
      <c r="P959" s="35">
        <v>0.04</v>
      </c>
      <c r="Q959" s="35">
        <v>100</v>
      </c>
      <c r="R959" s="35">
        <v>120</v>
      </c>
      <c r="S959" s="35">
        <v>30</v>
      </c>
      <c r="T959" s="21">
        <f>61.8/44.01</f>
        <v>1.4042263122017724</v>
      </c>
      <c r="U959" s="21">
        <f t="shared" si="65"/>
        <v>0.16275390273994547</v>
      </c>
      <c r="V959" s="37" t="s">
        <v>6</v>
      </c>
      <c r="W959" s="37" t="s">
        <v>6</v>
      </c>
      <c r="X959" s="35" t="s">
        <v>1</v>
      </c>
      <c r="Y959" s="23" t="s">
        <v>6</v>
      </c>
      <c r="Z959" s="21" t="s">
        <v>6</v>
      </c>
      <c r="AA959" s="35" t="s">
        <v>1</v>
      </c>
      <c r="AB959" s="37" t="s">
        <v>1</v>
      </c>
      <c r="AC959" s="27" t="s">
        <v>15</v>
      </c>
    </row>
    <row r="960" spans="1:29">
      <c r="A960" s="35" t="s">
        <v>7</v>
      </c>
      <c r="B960" s="35" t="s">
        <v>180</v>
      </c>
      <c r="C960" s="35" t="s">
        <v>177</v>
      </c>
      <c r="D960" s="36">
        <v>1020</v>
      </c>
      <c r="E960" s="12">
        <v>38.43</v>
      </c>
      <c r="F960" s="21">
        <f t="shared" si="64"/>
        <v>8.6279117647058818</v>
      </c>
      <c r="G960" s="35">
        <v>0</v>
      </c>
      <c r="H960" s="35">
        <v>0</v>
      </c>
      <c r="I960" s="35">
        <v>0</v>
      </c>
      <c r="J960" s="35">
        <v>0</v>
      </c>
      <c r="K960" s="35">
        <v>0</v>
      </c>
      <c r="L960" s="36">
        <v>270</v>
      </c>
      <c r="M960" s="35">
        <v>1.39</v>
      </c>
      <c r="N960" s="21">
        <v>20.399999999999999</v>
      </c>
      <c r="O960" s="12">
        <v>0</v>
      </c>
      <c r="P960" s="35">
        <v>0.04</v>
      </c>
      <c r="Q960" s="35">
        <v>100</v>
      </c>
      <c r="R960" s="35">
        <v>120</v>
      </c>
      <c r="S960" s="35">
        <v>35</v>
      </c>
      <c r="T960" s="21">
        <f>62.2/44.01</f>
        <v>1.4133151556464441</v>
      </c>
      <c r="U960" s="21">
        <f t="shared" si="65"/>
        <v>0.16380732605865062</v>
      </c>
      <c r="V960" s="37" t="s">
        <v>6</v>
      </c>
      <c r="W960" s="37" t="s">
        <v>6</v>
      </c>
      <c r="X960" s="35" t="s">
        <v>1</v>
      </c>
      <c r="Y960" s="23" t="s">
        <v>6</v>
      </c>
      <c r="Z960" s="21" t="s">
        <v>6</v>
      </c>
      <c r="AA960" s="35" t="s">
        <v>1</v>
      </c>
      <c r="AB960" s="37" t="s">
        <v>1</v>
      </c>
      <c r="AC960" s="1" t="s">
        <v>172</v>
      </c>
    </row>
    <row r="961" spans="1:29">
      <c r="A961" s="35" t="s">
        <v>7</v>
      </c>
      <c r="B961" s="35" t="s">
        <v>180</v>
      </c>
      <c r="C961" s="35" t="s">
        <v>177</v>
      </c>
      <c r="D961" s="36">
        <v>1020</v>
      </c>
      <c r="E961" s="12">
        <v>47.13</v>
      </c>
      <c r="F961" s="21">
        <f t="shared" si="64"/>
        <v>10.581147058823531</v>
      </c>
      <c r="G961" s="35">
        <v>0</v>
      </c>
      <c r="H961" s="35">
        <v>0</v>
      </c>
      <c r="I961" s="35">
        <v>0</v>
      </c>
      <c r="J961" s="35">
        <v>0</v>
      </c>
      <c r="K961" s="35">
        <v>0</v>
      </c>
      <c r="L961" s="36">
        <v>270</v>
      </c>
      <c r="M961" s="35">
        <v>1.39</v>
      </c>
      <c r="N961" s="21">
        <v>20.399999999999999</v>
      </c>
      <c r="O961" s="12">
        <v>0</v>
      </c>
      <c r="P961" s="35">
        <v>0.04</v>
      </c>
      <c r="Q961" s="35">
        <v>100</v>
      </c>
      <c r="R961" s="35">
        <v>120</v>
      </c>
      <c r="S961" s="35">
        <v>25</v>
      </c>
      <c r="T961" s="21">
        <f>61/44.01</f>
        <v>1.3860486253124291</v>
      </c>
      <c r="U961" s="21">
        <f t="shared" si="65"/>
        <v>0.13099228444770689</v>
      </c>
      <c r="V961" s="37">
        <v>91.9</v>
      </c>
      <c r="W961" s="37" t="s">
        <v>6</v>
      </c>
      <c r="X961" s="35" t="s">
        <v>1</v>
      </c>
      <c r="Y961" s="23" t="s">
        <v>6</v>
      </c>
      <c r="Z961" s="21" t="s">
        <v>6</v>
      </c>
      <c r="AA961" s="35" t="s">
        <v>1</v>
      </c>
      <c r="AB961" s="37" t="s">
        <v>1</v>
      </c>
      <c r="AC961" s="27" t="s">
        <v>15</v>
      </c>
    </row>
    <row r="962" spans="1:29" ht="13.8" customHeight="1">
      <c r="A962" s="35" t="s">
        <v>7</v>
      </c>
      <c r="B962" s="35" t="s">
        <v>180</v>
      </c>
      <c r="C962" s="35" t="s">
        <v>177</v>
      </c>
      <c r="D962" s="36">
        <v>1020</v>
      </c>
      <c r="E962" s="12">
        <v>47.13</v>
      </c>
      <c r="F962" s="21">
        <f t="shared" si="64"/>
        <v>10.581147058823531</v>
      </c>
      <c r="G962" s="35">
        <v>0</v>
      </c>
      <c r="H962" s="35">
        <v>0</v>
      </c>
      <c r="I962" s="35">
        <v>0</v>
      </c>
      <c r="J962" s="35">
        <v>0</v>
      </c>
      <c r="K962" s="35">
        <v>0</v>
      </c>
      <c r="L962" s="36">
        <v>270</v>
      </c>
      <c r="M962" s="35">
        <v>1.39</v>
      </c>
      <c r="N962" s="21">
        <v>20.399999999999999</v>
      </c>
      <c r="O962" s="12">
        <v>0</v>
      </c>
      <c r="P962" s="35">
        <v>0.04</v>
      </c>
      <c r="Q962" s="35">
        <v>100</v>
      </c>
      <c r="R962" s="35">
        <v>120</v>
      </c>
      <c r="S962" s="35">
        <v>30</v>
      </c>
      <c r="T962" s="21">
        <f>66.9/44.01</f>
        <v>1.5201090661213363</v>
      </c>
      <c r="U962" s="21">
        <f t="shared" si="65"/>
        <v>0.14366202999264904</v>
      </c>
      <c r="V962" s="37" t="s">
        <v>6</v>
      </c>
      <c r="W962" s="37" t="s">
        <v>6</v>
      </c>
      <c r="X962" s="35" t="s">
        <v>1</v>
      </c>
      <c r="Y962" s="23" t="s">
        <v>6</v>
      </c>
      <c r="Z962" s="21" t="s">
        <v>6</v>
      </c>
      <c r="AA962" s="35" t="s">
        <v>1</v>
      </c>
      <c r="AB962" s="37" t="s">
        <v>1</v>
      </c>
      <c r="AC962" s="27" t="s">
        <v>15</v>
      </c>
    </row>
    <row r="963" spans="1:29" ht="14.55" customHeight="1">
      <c r="A963" s="35" t="s">
        <v>7</v>
      </c>
      <c r="B963" s="35" t="s">
        <v>180</v>
      </c>
      <c r="C963" s="35" t="s">
        <v>177</v>
      </c>
      <c r="D963" s="36">
        <v>1020</v>
      </c>
      <c r="E963" s="12">
        <v>47.13</v>
      </c>
      <c r="F963" s="21">
        <f t="shared" si="64"/>
        <v>10.581147058823531</v>
      </c>
      <c r="G963" s="35">
        <v>0</v>
      </c>
      <c r="H963" s="35">
        <v>0</v>
      </c>
      <c r="I963" s="35">
        <v>0</v>
      </c>
      <c r="J963" s="35">
        <v>0</v>
      </c>
      <c r="K963" s="35">
        <v>0</v>
      </c>
      <c r="L963" s="36">
        <v>270</v>
      </c>
      <c r="M963" s="35">
        <v>1.39</v>
      </c>
      <c r="N963" s="21">
        <v>20.399999999999999</v>
      </c>
      <c r="O963" s="12">
        <v>0</v>
      </c>
      <c r="P963" s="35">
        <v>0.04</v>
      </c>
      <c r="Q963" s="35">
        <v>100</v>
      </c>
      <c r="R963" s="35">
        <v>120</v>
      </c>
      <c r="S963" s="35">
        <v>35</v>
      </c>
      <c r="T963" s="21">
        <f>70.9/44.01</f>
        <v>1.610997500568053</v>
      </c>
      <c r="U963" s="21">
        <f t="shared" si="65"/>
        <v>0.15225168798922001</v>
      </c>
      <c r="V963" s="37" t="s">
        <v>6</v>
      </c>
      <c r="W963" s="37" t="s">
        <v>6</v>
      </c>
      <c r="X963" s="35" t="s">
        <v>1</v>
      </c>
      <c r="Y963" s="23" t="s">
        <v>6</v>
      </c>
      <c r="Z963" s="21" t="s">
        <v>6</v>
      </c>
      <c r="AA963" s="35" t="s">
        <v>1</v>
      </c>
      <c r="AB963" s="37" t="s">
        <v>1</v>
      </c>
      <c r="AC963" s="27" t="s">
        <v>15</v>
      </c>
    </row>
    <row r="964" spans="1:29">
      <c r="A964" s="35" t="s">
        <v>261</v>
      </c>
      <c r="B964" s="35" t="s">
        <v>29</v>
      </c>
      <c r="C964" s="35" t="s">
        <v>65</v>
      </c>
      <c r="D964" s="36">
        <v>189.3</v>
      </c>
      <c r="E964" s="12">
        <v>33</v>
      </c>
      <c r="F964" s="21">
        <f>E964*5*10/D964</f>
        <v>8.7163232963549913</v>
      </c>
      <c r="G964" s="35">
        <v>0</v>
      </c>
      <c r="H964" s="35">
        <v>0</v>
      </c>
      <c r="I964" s="35">
        <v>0</v>
      </c>
      <c r="J964" s="35">
        <v>0</v>
      </c>
      <c r="K964" s="35">
        <v>0</v>
      </c>
      <c r="L964" s="36">
        <v>1300</v>
      </c>
      <c r="M964" s="35">
        <v>5.19</v>
      </c>
      <c r="N964" s="21">
        <v>24.6</v>
      </c>
      <c r="O964" s="12">
        <v>0</v>
      </c>
      <c r="P964" s="35">
        <v>4.2000000000000003E-2</v>
      </c>
      <c r="Q964" s="35">
        <v>200</v>
      </c>
      <c r="R964" s="35">
        <v>300</v>
      </c>
      <c r="S964" s="35">
        <v>30</v>
      </c>
      <c r="T964" s="35">
        <v>2.0699999999999998</v>
      </c>
      <c r="U964" s="21">
        <f t="shared" si="65"/>
        <v>0.23748545454545456</v>
      </c>
      <c r="V964" s="37" t="s">
        <v>6</v>
      </c>
      <c r="W964" s="37" t="s">
        <v>6</v>
      </c>
      <c r="X964" s="35">
        <v>110</v>
      </c>
      <c r="Y964" s="23" t="s">
        <v>6</v>
      </c>
      <c r="Z964" s="21">
        <v>7.28</v>
      </c>
      <c r="AA964" s="35">
        <v>10</v>
      </c>
      <c r="AB964" s="37" t="s">
        <v>1</v>
      </c>
      <c r="AC964" s="6" t="s">
        <v>250</v>
      </c>
    </row>
    <row r="965" spans="1:29">
      <c r="A965" s="35" t="s">
        <v>261</v>
      </c>
      <c r="B965" s="35" t="s">
        <v>29</v>
      </c>
      <c r="C965" s="35" t="s">
        <v>65</v>
      </c>
      <c r="D965" s="36">
        <v>189.3</v>
      </c>
      <c r="E965" s="12">
        <v>33</v>
      </c>
      <c r="F965" s="21">
        <f>E965*5*10/D965</f>
        <v>8.7163232963549913</v>
      </c>
      <c r="G965" s="35">
        <v>0</v>
      </c>
      <c r="H965" s="35">
        <v>0</v>
      </c>
      <c r="I965" s="35">
        <v>0</v>
      </c>
      <c r="J965" s="35">
        <v>0</v>
      </c>
      <c r="K965" s="35">
        <v>0</v>
      </c>
      <c r="L965" s="36">
        <v>1300</v>
      </c>
      <c r="M965" s="35">
        <v>5.19</v>
      </c>
      <c r="N965" s="21">
        <v>24.6</v>
      </c>
      <c r="O965" s="12">
        <v>0</v>
      </c>
      <c r="P965" s="35">
        <v>4.2000000000000003E-2</v>
      </c>
      <c r="Q965" s="35">
        <v>200</v>
      </c>
      <c r="R965" s="35">
        <v>300</v>
      </c>
      <c r="S965" s="35">
        <v>40</v>
      </c>
      <c r="T965" s="35">
        <v>1.95</v>
      </c>
      <c r="U965" s="21">
        <f t="shared" si="65"/>
        <v>0.22371818181818184</v>
      </c>
      <c r="V965" s="37" t="s">
        <v>6</v>
      </c>
      <c r="W965" s="37" t="s">
        <v>6</v>
      </c>
      <c r="X965" s="36" t="s">
        <v>6</v>
      </c>
      <c r="Y965" s="23" t="s">
        <v>6</v>
      </c>
      <c r="Z965" s="21" t="s">
        <v>6</v>
      </c>
      <c r="AA965" s="36" t="s">
        <v>6</v>
      </c>
      <c r="AB965" s="37" t="s">
        <v>1</v>
      </c>
      <c r="AC965" s="63" t="s">
        <v>178</v>
      </c>
    </row>
    <row r="966" spans="1:29">
      <c r="A966" s="35" t="s">
        <v>261</v>
      </c>
      <c r="B966" s="35" t="s">
        <v>29</v>
      </c>
      <c r="C966" s="35" t="s">
        <v>65</v>
      </c>
      <c r="D966" s="36">
        <v>189.3</v>
      </c>
      <c r="E966" s="12">
        <v>33</v>
      </c>
      <c r="F966" s="21">
        <f>E966*5*10/D966</f>
        <v>8.7163232963549913</v>
      </c>
      <c r="G966" s="35">
        <v>0</v>
      </c>
      <c r="H966" s="35">
        <v>0</v>
      </c>
      <c r="I966" s="35">
        <v>0</v>
      </c>
      <c r="J966" s="35">
        <v>0</v>
      </c>
      <c r="K966" s="35">
        <v>0</v>
      </c>
      <c r="L966" s="36">
        <v>1300</v>
      </c>
      <c r="M966" s="35">
        <v>5.19</v>
      </c>
      <c r="N966" s="21">
        <v>24.6</v>
      </c>
      <c r="O966" s="12">
        <v>0</v>
      </c>
      <c r="P966" s="35">
        <v>4.2000000000000003E-2</v>
      </c>
      <c r="Q966" s="35">
        <v>200</v>
      </c>
      <c r="R966" s="35">
        <v>300</v>
      </c>
      <c r="S966" s="35">
        <v>50</v>
      </c>
      <c r="T966" s="35">
        <v>1.54</v>
      </c>
      <c r="U966" s="21">
        <f t="shared" si="65"/>
        <v>0.17668000000000003</v>
      </c>
      <c r="V966" s="37" t="s">
        <v>6</v>
      </c>
      <c r="W966" s="37" t="s">
        <v>6</v>
      </c>
      <c r="X966" s="36" t="s">
        <v>6</v>
      </c>
      <c r="Y966" s="23" t="s">
        <v>6</v>
      </c>
      <c r="Z966" s="21" t="s">
        <v>6</v>
      </c>
      <c r="AA966" s="36" t="s">
        <v>6</v>
      </c>
      <c r="AB966" s="37" t="s">
        <v>1</v>
      </c>
      <c r="AC966" s="63" t="s">
        <v>178</v>
      </c>
    </row>
    <row r="967" spans="1:29">
      <c r="A967" s="35" t="s">
        <v>261</v>
      </c>
      <c r="B967" s="35" t="s">
        <v>29</v>
      </c>
      <c r="C967" s="35" t="s">
        <v>65</v>
      </c>
      <c r="D967" s="36">
        <v>189.3</v>
      </c>
      <c r="E967" s="12">
        <v>33</v>
      </c>
      <c r="F967" s="21">
        <f>E967*5*10/D967</f>
        <v>8.7163232963549913</v>
      </c>
      <c r="G967" s="35">
        <v>0</v>
      </c>
      <c r="H967" s="35">
        <v>0</v>
      </c>
      <c r="I967" s="35">
        <v>0</v>
      </c>
      <c r="J967" s="35">
        <v>0</v>
      </c>
      <c r="K967" s="35">
        <v>0</v>
      </c>
      <c r="L967" s="36">
        <v>1300</v>
      </c>
      <c r="M967" s="35">
        <v>5.19</v>
      </c>
      <c r="N967" s="21">
        <v>24.6</v>
      </c>
      <c r="O967" s="12">
        <v>0</v>
      </c>
      <c r="P967" s="35">
        <v>4.2000000000000003E-2</v>
      </c>
      <c r="Q967" s="35">
        <v>200</v>
      </c>
      <c r="R967" s="35">
        <v>785</v>
      </c>
      <c r="S967" s="35">
        <v>30</v>
      </c>
      <c r="T967" s="35">
        <v>2.46</v>
      </c>
      <c r="U967" s="21">
        <f t="shared" si="65"/>
        <v>0.28222909090909093</v>
      </c>
      <c r="V967" s="37">
        <v>122.600399926481</v>
      </c>
      <c r="W967" s="37">
        <v>323.33086164103605</v>
      </c>
      <c r="X967" s="36" t="s">
        <v>6</v>
      </c>
      <c r="Y967" s="23" t="s">
        <v>6</v>
      </c>
      <c r="Z967" s="21" t="s">
        <v>6</v>
      </c>
      <c r="AA967" s="36" t="s">
        <v>6</v>
      </c>
      <c r="AB967" s="37" t="s">
        <v>1</v>
      </c>
      <c r="AC967" s="63" t="s">
        <v>178</v>
      </c>
    </row>
    <row r="968" spans="1:29">
      <c r="A968" s="35" t="s">
        <v>261</v>
      </c>
      <c r="B968" s="35" t="s">
        <v>29</v>
      </c>
      <c r="C968" s="35" t="s">
        <v>65</v>
      </c>
      <c r="D968" s="36">
        <v>189.3</v>
      </c>
      <c r="E968" s="12">
        <v>33</v>
      </c>
      <c r="F968" s="21">
        <v>8.716323296354993</v>
      </c>
      <c r="G968" s="35">
        <v>0</v>
      </c>
      <c r="H968" s="35">
        <v>0</v>
      </c>
      <c r="I968" s="35">
        <v>0</v>
      </c>
      <c r="J968" s="35">
        <v>0</v>
      </c>
      <c r="K968" s="35">
        <v>0</v>
      </c>
      <c r="L968" s="36">
        <v>1300</v>
      </c>
      <c r="M968" s="35">
        <v>5.19</v>
      </c>
      <c r="N968" s="21">
        <v>24.6</v>
      </c>
      <c r="O968" s="12">
        <v>0</v>
      </c>
      <c r="P968" s="35">
        <v>0.02</v>
      </c>
      <c r="Q968" s="35">
        <v>200</v>
      </c>
      <c r="R968" s="35">
        <v>300</v>
      </c>
      <c r="S968" s="35">
        <v>30</v>
      </c>
      <c r="T968" s="35">
        <v>1.71</v>
      </c>
      <c r="U968" s="21">
        <f t="shared" si="65"/>
        <v>0.19618363636363634</v>
      </c>
      <c r="V968" s="37" t="s">
        <v>6</v>
      </c>
      <c r="W968" s="37" t="s">
        <v>6</v>
      </c>
      <c r="X968" s="36" t="s">
        <v>6</v>
      </c>
      <c r="Y968" s="23" t="s">
        <v>6</v>
      </c>
      <c r="Z968" s="21" t="s">
        <v>6</v>
      </c>
      <c r="AA968" s="36" t="s">
        <v>6</v>
      </c>
      <c r="AB968" s="37" t="s">
        <v>1</v>
      </c>
      <c r="AC968" s="63" t="s">
        <v>178</v>
      </c>
    </row>
    <row r="969" spans="1:29">
      <c r="A969" s="35" t="s">
        <v>261</v>
      </c>
      <c r="B969" s="35" t="s">
        <v>29</v>
      </c>
      <c r="C969" s="35" t="s">
        <v>65</v>
      </c>
      <c r="D969" s="36">
        <v>189.3</v>
      </c>
      <c r="E969" s="12">
        <v>33</v>
      </c>
      <c r="F969" s="21">
        <v>8.716323296354993</v>
      </c>
      <c r="G969" s="35">
        <v>0</v>
      </c>
      <c r="H969" s="35">
        <v>0</v>
      </c>
      <c r="I969" s="35">
        <v>0</v>
      </c>
      <c r="J969" s="35">
        <v>0</v>
      </c>
      <c r="K969" s="35">
        <v>0</v>
      </c>
      <c r="L969" s="36">
        <v>1300</v>
      </c>
      <c r="M969" s="35">
        <v>5.19</v>
      </c>
      <c r="N969" s="21">
        <v>24.6</v>
      </c>
      <c r="O969" s="12">
        <v>0</v>
      </c>
      <c r="P969" s="35">
        <v>0.02</v>
      </c>
      <c r="Q969" s="35">
        <v>200</v>
      </c>
      <c r="R969" s="35">
        <v>1057</v>
      </c>
      <c r="S969" s="35">
        <v>30</v>
      </c>
      <c r="T969" s="35">
        <v>2.17</v>
      </c>
      <c r="U969" s="21">
        <f t="shared" si="65"/>
        <v>0.24895818181818177</v>
      </c>
      <c r="V969" s="37">
        <v>163.44751985973016</v>
      </c>
      <c r="W969" s="37">
        <v>433.09651452746976</v>
      </c>
      <c r="X969" s="36" t="s">
        <v>6</v>
      </c>
      <c r="Y969" s="23" t="s">
        <v>6</v>
      </c>
      <c r="Z969" s="21" t="s">
        <v>6</v>
      </c>
      <c r="AA969" s="36" t="s">
        <v>6</v>
      </c>
      <c r="AB969" s="37" t="s">
        <v>1</v>
      </c>
      <c r="AC969" s="63" t="s">
        <v>178</v>
      </c>
    </row>
    <row r="970" spans="1:29">
      <c r="A970" s="35" t="s">
        <v>261</v>
      </c>
      <c r="B970" s="35" t="s">
        <v>29</v>
      </c>
      <c r="C970" s="35" t="s">
        <v>65</v>
      </c>
      <c r="D970" s="36">
        <v>189.3</v>
      </c>
      <c r="E970" s="12">
        <v>33</v>
      </c>
      <c r="F970" s="21">
        <f t="shared" ref="F970:F978" si="66">E970*5*10/D970</f>
        <v>8.7163232963549913</v>
      </c>
      <c r="G970" s="35">
        <v>0</v>
      </c>
      <c r="H970" s="35">
        <v>0</v>
      </c>
      <c r="I970" s="35">
        <v>0</v>
      </c>
      <c r="J970" s="35">
        <v>0</v>
      </c>
      <c r="K970" s="35">
        <v>0</v>
      </c>
      <c r="L970" s="36">
        <v>1300</v>
      </c>
      <c r="M970" s="35">
        <v>5.19</v>
      </c>
      <c r="N970" s="21">
        <v>24.6</v>
      </c>
      <c r="O970" s="12">
        <v>0</v>
      </c>
      <c r="P970" s="35">
        <v>0.06</v>
      </c>
      <c r="Q970" s="35">
        <v>200</v>
      </c>
      <c r="R970" s="35">
        <v>300</v>
      </c>
      <c r="S970" s="35">
        <v>30</v>
      </c>
      <c r="T970" s="35">
        <v>2.41</v>
      </c>
      <c r="U970" s="21">
        <f t="shared" si="65"/>
        <v>0.27649272727272733</v>
      </c>
      <c r="V970" s="37" t="s">
        <v>6</v>
      </c>
      <c r="W970" s="37" t="s">
        <v>6</v>
      </c>
      <c r="X970" s="36" t="s">
        <v>6</v>
      </c>
      <c r="Y970" s="23" t="s">
        <v>6</v>
      </c>
      <c r="Z970" s="21" t="s">
        <v>6</v>
      </c>
      <c r="AA970" s="36" t="s">
        <v>6</v>
      </c>
      <c r="AB970" s="37" t="s">
        <v>1</v>
      </c>
      <c r="AC970" s="63" t="s">
        <v>178</v>
      </c>
    </row>
    <row r="971" spans="1:29">
      <c r="A971" s="35" t="s">
        <v>261</v>
      </c>
      <c r="B971" s="35" t="s">
        <v>29</v>
      </c>
      <c r="C971" s="35" t="s">
        <v>65</v>
      </c>
      <c r="D971" s="36">
        <v>190.3</v>
      </c>
      <c r="E971" s="12">
        <v>133</v>
      </c>
      <c r="F971" s="21">
        <f t="shared" si="66"/>
        <v>34.944823962165003</v>
      </c>
      <c r="G971" s="35">
        <v>0</v>
      </c>
      <c r="H971" s="35">
        <v>0</v>
      </c>
      <c r="I971" s="35">
        <v>0</v>
      </c>
      <c r="J971" s="35">
        <v>0</v>
      </c>
      <c r="K971" s="35">
        <v>0</v>
      </c>
      <c r="L971" s="36">
        <v>1300</v>
      </c>
      <c r="M971" s="35">
        <v>5.19</v>
      </c>
      <c r="N971" s="21">
        <v>24.6</v>
      </c>
      <c r="O971" s="12">
        <v>0</v>
      </c>
      <c r="P971" s="35">
        <v>0.06</v>
      </c>
      <c r="Q971" s="35">
        <v>200</v>
      </c>
      <c r="R971" s="35">
        <v>459</v>
      </c>
      <c r="S971" s="35">
        <v>30</v>
      </c>
      <c r="T971" s="35">
        <v>2.46</v>
      </c>
      <c r="U971" s="21">
        <f t="shared" si="65"/>
        <v>7.0396691729323307E-2</v>
      </c>
      <c r="V971" s="37">
        <v>72.863860329327508</v>
      </c>
      <c r="W971" s="37">
        <v>190.52778365316621</v>
      </c>
      <c r="X971" s="36" t="s">
        <v>6</v>
      </c>
      <c r="Y971" s="23" t="s">
        <v>6</v>
      </c>
      <c r="Z971" s="21" t="s">
        <v>6</v>
      </c>
      <c r="AA971" s="36" t="s">
        <v>6</v>
      </c>
      <c r="AB971" s="37" t="s">
        <v>1</v>
      </c>
      <c r="AC971" s="63" t="s">
        <v>178</v>
      </c>
    </row>
    <row r="972" spans="1:29">
      <c r="A972" s="35" t="s">
        <v>261</v>
      </c>
      <c r="B972" s="35" t="s">
        <v>29</v>
      </c>
      <c r="C972" s="35" t="s">
        <v>65</v>
      </c>
      <c r="D972" s="36">
        <v>189.3</v>
      </c>
      <c r="E972" s="12">
        <v>33</v>
      </c>
      <c r="F972" s="21">
        <f t="shared" si="66"/>
        <v>8.7163232963549913</v>
      </c>
      <c r="G972" s="35">
        <v>0</v>
      </c>
      <c r="H972" s="35">
        <v>0</v>
      </c>
      <c r="I972" s="35">
        <v>0</v>
      </c>
      <c r="J972" s="35">
        <v>0</v>
      </c>
      <c r="K972" s="35">
        <v>0</v>
      </c>
      <c r="L972" s="36">
        <v>1300</v>
      </c>
      <c r="M972" s="35">
        <v>5.19</v>
      </c>
      <c r="N972" s="21">
        <v>24.6</v>
      </c>
      <c r="O972" s="12">
        <v>0</v>
      </c>
      <c r="P972" s="35">
        <v>0.1</v>
      </c>
      <c r="Q972" s="35">
        <v>200</v>
      </c>
      <c r="R972" s="35">
        <v>300</v>
      </c>
      <c r="S972" s="35">
        <v>30</v>
      </c>
      <c r="T972" s="35">
        <v>2.46</v>
      </c>
      <c r="U972" s="21">
        <f t="shared" si="65"/>
        <v>0.28222909090909093</v>
      </c>
      <c r="V972" s="37">
        <v>42.7</v>
      </c>
      <c r="W972" s="37">
        <v>116.8</v>
      </c>
      <c r="X972" s="36" t="s">
        <v>6</v>
      </c>
      <c r="Y972" s="23" t="s">
        <v>6</v>
      </c>
      <c r="Z972" s="21" t="s">
        <v>6</v>
      </c>
      <c r="AA972" s="36" t="s">
        <v>6</v>
      </c>
      <c r="AB972" s="37" t="s">
        <v>1</v>
      </c>
      <c r="AC972" s="63" t="s">
        <v>178</v>
      </c>
    </row>
    <row r="973" spans="1:29">
      <c r="A973" s="35" t="s">
        <v>261</v>
      </c>
      <c r="B973" s="35" t="s">
        <v>29</v>
      </c>
      <c r="C973" s="35" t="s">
        <v>65</v>
      </c>
      <c r="D973" s="36">
        <v>189.3</v>
      </c>
      <c r="E973" s="12">
        <v>50</v>
      </c>
      <c r="F973" s="21">
        <f t="shared" si="66"/>
        <v>13.206550449022714</v>
      </c>
      <c r="G973" s="35">
        <v>0</v>
      </c>
      <c r="H973" s="35">
        <v>0</v>
      </c>
      <c r="I973" s="35">
        <v>0</v>
      </c>
      <c r="J973" s="35">
        <v>0</v>
      </c>
      <c r="K973" s="35">
        <v>0</v>
      </c>
      <c r="L973" s="36">
        <v>1300</v>
      </c>
      <c r="M973" s="35">
        <v>5.19</v>
      </c>
      <c r="N973" s="21">
        <v>24.6</v>
      </c>
      <c r="O973" s="12">
        <v>0</v>
      </c>
      <c r="P973" s="35">
        <v>4.2000000000000003E-2</v>
      </c>
      <c r="Q973" s="35">
        <v>200</v>
      </c>
      <c r="R973" s="35">
        <v>300</v>
      </c>
      <c r="S973" s="35">
        <v>30</v>
      </c>
      <c r="T973" s="35">
        <v>2.2999999999999998</v>
      </c>
      <c r="U973" s="21">
        <f t="shared" si="65"/>
        <v>0.17415600000000001</v>
      </c>
      <c r="V973" s="37" t="s">
        <v>6</v>
      </c>
      <c r="W973" s="37" t="s">
        <v>6</v>
      </c>
      <c r="X973" s="36" t="s">
        <v>6</v>
      </c>
      <c r="Y973" s="23" t="s">
        <v>6</v>
      </c>
      <c r="Z973" s="21" t="s">
        <v>6</v>
      </c>
      <c r="AA973" s="36" t="s">
        <v>6</v>
      </c>
      <c r="AB973" s="37" t="s">
        <v>1</v>
      </c>
      <c r="AC973" s="63" t="s">
        <v>178</v>
      </c>
    </row>
    <row r="974" spans="1:29">
      <c r="A974" s="35" t="s">
        <v>261</v>
      </c>
      <c r="B974" s="35" t="s">
        <v>29</v>
      </c>
      <c r="C974" s="35" t="s">
        <v>65</v>
      </c>
      <c r="D974" s="36">
        <v>189.3</v>
      </c>
      <c r="E974" s="12">
        <v>60</v>
      </c>
      <c r="F974" s="21">
        <f t="shared" si="66"/>
        <v>15.847860538827257</v>
      </c>
      <c r="G974" s="35">
        <v>0</v>
      </c>
      <c r="H974" s="35">
        <v>0</v>
      </c>
      <c r="I974" s="35">
        <v>0</v>
      </c>
      <c r="J974" s="35">
        <v>0</v>
      </c>
      <c r="K974" s="35">
        <v>0</v>
      </c>
      <c r="L974" s="36">
        <v>1300</v>
      </c>
      <c r="M974" s="35">
        <v>5.19</v>
      </c>
      <c r="N974" s="21">
        <v>24.6</v>
      </c>
      <c r="O974" s="12">
        <v>0</v>
      </c>
      <c r="P974" s="35">
        <v>4.2000000000000003E-2</v>
      </c>
      <c r="Q974" s="35">
        <v>200</v>
      </c>
      <c r="R974" s="35">
        <v>300</v>
      </c>
      <c r="S974" s="35">
        <v>30</v>
      </c>
      <c r="T974" s="35">
        <v>2.31</v>
      </c>
      <c r="U974" s="21">
        <f t="shared" si="65"/>
        <v>0.145761</v>
      </c>
      <c r="V974" s="37" t="s">
        <v>6</v>
      </c>
      <c r="W974" s="37" t="s">
        <v>6</v>
      </c>
      <c r="X974" s="36" t="s">
        <v>6</v>
      </c>
      <c r="Y974" s="23" t="s">
        <v>6</v>
      </c>
      <c r="Z974" s="21" t="s">
        <v>6</v>
      </c>
      <c r="AA974" s="36" t="s">
        <v>6</v>
      </c>
      <c r="AB974" s="37" t="s">
        <v>1</v>
      </c>
      <c r="AC974" s="63" t="s">
        <v>178</v>
      </c>
    </row>
    <row r="975" spans="1:29">
      <c r="A975" s="35" t="s">
        <v>261</v>
      </c>
      <c r="B975" s="35" t="s">
        <v>29</v>
      </c>
      <c r="C975" s="35" t="s">
        <v>65</v>
      </c>
      <c r="D975" s="36">
        <v>189.3</v>
      </c>
      <c r="E975" s="12">
        <v>67</v>
      </c>
      <c r="F975" s="21">
        <f t="shared" si="66"/>
        <v>17.696777601690439</v>
      </c>
      <c r="G975" s="35">
        <v>0</v>
      </c>
      <c r="H975" s="35">
        <v>0</v>
      </c>
      <c r="I975" s="35">
        <v>0</v>
      </c>
      <c r="J975" s="35">
        <v>0</v>
      </c>
      <c r="K975" s="35">
        <v>0</v>
      </c>
      <c r="L975" s="36">
        <v>1300</v>
      </c>
      <c r="M975" s="35">
        <v>5.19</v>
      </c>
      <c r="N975" s="21">
        <v>24.6</v>
      </c>
      <c r="O975" s="12">
        <v>0</v>
      </c>
      <c r="P975" s="35">
        <v>4.2000000000000003E-2</v>
      </c>
      <c r="Q975" s="35">
        <v>200</v>
      </c>
      <c r="R975" s="35">
        <v>300</v>
      </c>
      <c r="S975" s="35">
        <v>30</v>
      </c>
      <c r="T975" s="35">
        <v>2.39</v>
      </c>
      <c r="U975" s="21">
        <f t="shared" si="65"/>
        <v>0.13505283582089553</v>
      </c>
      <c r="V975" s="37" t="s">
        <v>6</v>
      </c>
      <c r="W975" s="37" t="s">
        <v>6</v>
      </c>
      <c r="X975" s="36" t="s">
        <v>6</v>
      </c>
      <c r="Y975" s="23" t="s">
        <v>6</v>
      </c>
      <c r="Z975" s="21" t="s">
        <v>6</v>
      </c>
      <c r="AA975" s="36" t="s">
        <v>6</v>
      </c>
      <c r="AB975" s="37" t="s">
        <v>1</v>
      </c>
      <c r="AC975" s="63" t="s">
        <v>178</v>
      </c>
    </row>
    <row r="976" spans="1:29">
      <c r="A976" s="35" t="s">
        <v>261</v>
      </c>
      <c r="B976" s="35" t="s">
        <v>29</v>
      </c>
      <c r="C976" s="35" t="s">
        <v>65</v>
      </c>
      <c r="D976" s="36">
        <v>189.3</v>
      </c>
      <c r="E976" s="12">
        <v>71</v>
      </c>
      <c r="F976" s="21">
        <f t="shared" si="66"/>
        <v>18.753301637612253</v>
      </c>
      <c r="G976" s="35">
        <v>0</v>
      </c>
      <c r="H976" s="35">
        <v>0</v>
      </c>
      <c r="I976" s="35">
        <v>0</v>
      </c>
      <c r="J976" s="35">
        <v>0</v>
      </c>
      <c r="K976" s="35">
        <v>0</v>
      </c>
      <c r="L976" s="36">
        <v>1300</v>
      </c>
      <c r="M976" s="35">
        <v>5.19</v>
      </c>
      <c r="N976" s="21">
        <v>24.6</v>
      </c>
      <c r="O976" s="12">
        <v>0</v>
      </c>
      <c r="P976" s="35">
        <v>4.2000000000000003E-2</v>
      </c>
      <c r="Q976" s="35">
        <v>200</v>
      </c>
      <c r="R976" s="35">
        <v>300</v>
      </c>
      <c r="S976" s="35">
        <v>30</v>
      </c>
      <c r="T976" s="35">
        <v>2.65</v>
      </c>
      <c r="U976" s="21">
        <f t="shared" si="65"/>
        <v>0.14130845070422537</v>
      </c>
      <c r="V976" s="37" t="s">
        <v>6</v>
      </c>
      <c r="W976" s="37" t="s">
        <v>6</v>
      </c>
      <c r="X976" s="36" t="s">
        <v>6</v>
      </c>
      <c r="Y976" s="23" t="s">
        <v>6</v>
      </c>
      <c r="Z976" s="21" t="s">
        <v>6</v>
      </c>
      <c r="AA976" s="36" t="s">
        <v>6</v>
      </c>
      <c r="AB976" s="37" t="s">
        <v>1</v>
      </c>
      <c r="AC976" s="63" t="s">
        <v>178</v>
      </c>
    </row>
    <row r="977" spans="1:29">
      <c r="A977" s="35" t="s">
        <v>261</v>
      </c>
      <c r="B977" s="35" t="s">
        <v>29</v>
      </c>
      <c r="C977" s="35" t="s">
        <v>65</v>
      </c>
      <c r="D977" s="36">
        <v>189.3</v>
      </c>
      <c r="E977" s="12">
        <v>71</v>
      </c>
      <c r="F977" s="21">
        <f t="shared" si="66"/>
        <v>18.753301637612253</v>
      </c>
      <c r="G977" s="35">
        <v>0</v>
      </c>
      <c r="H977" s="35">
        <v>0</v>
      </c>
      <c r="I977" s="35">
        <v>0</v>
      </c>
      <c r="J977" s="35">
        <v>0</v>
      </c>
      <c r="K977" s="35">
        <v>0</v>
      </c>
      <c r="L977" s="36">
        <v>1300</v>
      </c>
      <c r="M977" s="35">
        <v>5.19</v>
      </c>
      <c r="N977" s="21">
        <v>24.6</v>
      </c>
      <c r="O977" s="12">
        <v>0</v>
      </c>
      <c r="P977" s="35">
        <v>0.1</v>
      </c>
      <c r="Q977" s="35">
        <v>200</v>
      </c>
      <c r="R977" s="35">
        <v>300</v>
      </c>
      <c r="S977" s="35">
        <v>30</v>
      </c>
      <c r="T977" s="35">
        <v>2.85</v>
      </c>
      <c r="U977" s="21">
        <f t="shared" si="65"/>
        <v>0.15197323943661975</v>
      </c>
      <c r="V977" s="37" t="s">
        <v>6</v>
      </c>
      <c r="W977" s="37" t="s">
        <v>6</v>
      </c>
      <c r="X977" s="36" t="s">
        <v>6</v>
      </c>
      <c r="Y977" s="23" t="s">
        <v>6</v>
      </c>
      <c r="Z977" s="21" t="s">
        <v>6</v>
      </c>
      <c r="AA977" s="36" t="s">
        <v>6</v>
      </c>
      <c r="AB977" s="37" t="s">
        <v>1</v>
      </c>
      <c r="AC977" s="63" t="s">
        <v>178</v>
      </c>
    </row>
    <row r="978" spans="1:29">
      <c r="A978" s="35" t="s">
        <v>261</v>
      </c>
      <c r="B978" s="35" t="s">
        <v>29</v>
      </c>
      <c r="C978" s="35" t="s">
        <v>65</v>
      </c>
      <c r="D978" s="36">
        <v>189.3</v>
      </c>
      <c r="E978" s="12">
        <v>75</v>
      </c>
      <c r="F978" s="21">
        <f t="shared" si="66"/>
        <v>19.809825673534071</v>
      </c>
      <c r="G978" s="35">
        <v>0</v>
      </c>
      <c r="H978" s="35">
        <v>0</v>
      </c>
      <c r="I978" s="35">
        <v>0</v>
      </c>
      <c r="J978" s="35">
        <v>0</v>
      </c>
      <c r="K978" s="35">
        <v>0</v>
      </c>
      <c r="L978" s="36">
        <v>1300</v>
      </c>
      <c r="M978" s="35">
        <v>5.19</v>
      </c>
      <c r="N978" s="21">
        <v>24.6</v>
      </c>
      <c r="O978" s="12">
        <v>0</v>
      </c>
      <c r="P978" s="35">
        <v>4.2000000000000003E-2</v>
      </c>
      <c r="Q978" s="35">
        <v>200</v>
      </c>
      <c r="R978" s="35">
        <v>300</v>
      </c>
      <c r="S978" s="35">
        <v>30</v>
      </c>
      <c r="T978" s="35">
        <v>2.27</v>
      </c>
      <c r="U978" s="21">
        <f t="shared" si="65"/>
        <v>0.11458960000000001</v>
      </c>
      <c r="V978" s="37" t="s">
        <v>6</v>
      </c>
      <c r="W978" s="37" t="s">
        <v>6</v>
      </c>
      <c r="X978" s="36" t="s">
        <v>6</v>
      </c>
      <c r="Y978" s="23" t="s">
        <v>6</v>
      </c>
      <c r="Z978" s="21" t="s">
        <v>6</v>
      </c>
      <c r="AA978" s="36" t="s">
        <v>6</v>
      </c>
      <c r="AB978" s="37" t="s">
        <v>1</v>
      </c>
      <c r="AC978" s="63" t="s">
        <v>178</v>
      </c>
    </row>
    <row r="979" spans="1:29">
      <c r="A979" s="35" t="s">
        <v>237</v>
      </c>
      <c r="B979" s="35" t="s">
        <v>180</v>
      </c>
      <c r="C979" s="35" t="s">
        <v>60</v>
      </c>
      <c r="D979" s="36">
        <v>600</v>
      </c>
      <c r="E979" s="12">
        <v>50</v>
      </c>
      <c r="F979" s="21">
        <f t="shared" ref="F979:F998" si="67">E979*14*10/D979</f>
        <v>11.666666666666666</v>
      </c>
      <c r="G979" s="35">
        <v>0</v>
      </c>
      <c r="H979" s="35">
        <v>0</v>
      </c>
      <c r="I979" s="35">
        <v>0</v>
      </c>
      <c r="J979" s="35">
        <v>0</v>
      </c>
      <c r="K979" s="35">
        <v>0</v>
      </c>
      <c r="L979" s="36">
        <v>750</v>
      </c>
      <c r="M979" s="35">
        <v>0.98</v>
      </c>
      <c r="N979" s="21">
        <v>10</v>
      </c>
      <c r="O979" s="12">
        <v>0</v>
      </c>
      <c r="P979" s="35">
        <v>100</v>
      </c>
      <c r="Q979" s="35">
        <v>60</v>
      </c>
      <c r="R979" s="35">
        <v>60</v>
      </c>
      <c r="S979" s="35">
        <v>75</v>
      </c>
      <c r="T979" s="21">
        <v>0.33878292461398729</v>
      </c>
      <c r="U979" s="21">
        <f t="shared" si="65"/>
        <v>2.9038536395484628E-2</v>
      </c>
      <c r="V979" s="37" t="s">
        <v>6</v>
      </c>
      <c r="W979" s="37" t="s">
        <v>6</v>
      </c>
      <c r="X979" s="35" t="s">
        <v>1</v>
      </c>
      <c r="Y979" s="23" t="s">
        <v>6</v>
      </c>
      <c r="Z979" s="21" t="s">
        <v>6</v>
      </c>
      <c r="AA979" s="35" t="s">
        <v>1</v>
      </c>
      <c r="AB979" s="37" t="s">
        <v>1</v>
      </c>
      <c r="AC979" s="27" t="s">
        <v>179</v>
      </c>
    </row>
    <row r="980" spans="1:29">
      <c r="A980" s="35" t="s">
        <v>239</v>
      </c>
      <c r="B980" s="35" t="s">
        <v>180</v>
      </c>
      <c r="C980" s="35" t="s">
        <v>60</v>
      </c>
      <c r="D980" s="36">
        <v>600</v>
      </c>
      <c r="E980" s="12">
        <v>50</v>
      </c>
      <c r="F980" s="21">
        <f t="shared" si="67"/>
        <v>11.666666666666666</v>
      </c>
      <c r="G980" s="35">
        <v>0</v>
      </c>
      <c r="H980" s="35">
        <v>0</v>
      </c>
      <c r="I980" s="35">
        <v>0</v>
      </c>
      <c r="J980" s="35">
        <v>0</v>
      </c>
      <c r="K980" s="35">
        <v>0</v>
      </c>
      <c r="L980" s="36">
        <v>560</v>
      </c>
      <c r="M980" s="35">
        <v>2.9</v>
      </c>
      <c r="N980" s="21">
        <v>11</v>
      </c>
      <c r="O980" s="12">
        <v>0</v>
      </c>
      <c r="P980" s="35">
        <v>100</v>
      </c>
      <c r="Q980" s="35">
        <v>60</v>
      </c>
      <c r="R980" s="35">
        <v>60</v>
      </c>
      <c r="S980" s="35">
        <v>75</v>
      </c>
      <c r="T980" s="21">
        <v>0.62193460490463215</v>
      </c>
      <c r="U980" s="21">
        <f t="shared" si="65"/>
        <v>5.3308680420397041E-2</v>
      </c>
      <c r="V980" s="37" t="s">
        <v>6</v>
      </c>
      <c r="W980" s="37" t="s">
        <v>6</v>
      </c>
      <c r="X980" s="35" t="s">
        <v>1</v>
      </c>
      <c r="Y980" s="23" t="s">
        <v>6</v>
      </c>
      <c r="Z980" s="21" t="s">
        <v>6</v>
      </c>
      <c r="AA980" s="35" t="s">
        <v>1</v>
      </c>
      <c r="AB980" s="37" t="s">
        <v>1</v>
      </c>
      <c r="AC980" s="1" t="s">
        <v>251</v>
      </c>
    </row>
    <row r="981" spans="1:29">
      <c r="A981" s="35" t="s">
        <v>240</v>
      </c>
      <c r="B981" s="35" t="s">
        <v>180</v>
      </c>
      <c r="C981" s="35" t="s">
        <v>60</v>
      </c>
      <c r="D981" s="36">
        <v>600</v>
      </c>
      <c r="E981" s="12">
        <v>50</v>
      </c>
      <c r="F981" s="21">
        <f t="shared" si="67"/>
        <v>11.666666666666666</v>
      </c>
      <c r="G981" s="35">
        <v>0</v>
      </c>
      <c r="H981" s="35">
        <v>0</v>
      </c>
      <c r="I981" s="35">
        <v>0</v>
      </c>
      <c r="J981" s="35">
        <v>0</v>
      </c>
      <c r="K981" s="35">
        <v>0</v>
      </c>
      <c r="L981" s="36">
        <v>380</v>
      </c>
      <c r="M981" s="35">
        <v>0.5</v>
      </c>
      <c r="N981" s="21">
        <v>35</v>
      </c>
      <c r="O981" s="12">
        <v>0</v>
      </c>
      <c r="P981" s="35">
        <v>100</v>
      </c>
      <c r="Q981" s="35">
        <v>60</v>
      </c>
      <c r="R981" s="35">
        <v>60</v>
      </c>
      <c r="S981" s="35">
        <v>75</v>
      </c>
      <c r="T981" s="21">
        <v>1.7545413260672116</v>
      </c>
      <c r="U981" s="21">
        <f t="shared" si="65"/>
        <v>0.15038925652004673</v>
      </c>
      <c r="V981" s="37" t="s">
        <v>6</v>
      </c>
      <c r="W981" s="37" t="s">
        <v>6</v>
      </c>
      <c r="X981" s="35" t="s">
        <v>1</v>
      </c>
      <c r="Y981" s="23" t="s">
        <v>6</v>
      </c>
      <c r="Z981" s="21" t="s">
        <v>6</v>
      </c>
      <c r="AA981" s="35" t="s">
        <v>1</v>
      </c>
      <c r="AB981" s="37" t="s">
        <v>1</v>
      </c>
      <c r="AC981" s="27" t="s">
        <v>179</v>
      </c>
    </row>
    <row r="982" spans="1:29">
      <c r="A982" s="35" t="s">
        <v>241</v>
      </c>
      <c r="B982" s="35" t="s">
        <v>180</v>
      </c>
      <c r="C982" s="35" t="s">
        <v>60</v>
      </c>
      <c r="D982" s="36">
        <v>600</v>
      </c>
      <c r="E982" s="12">
        <v>50</v>
      </c>
      <c r="F982" s="21">
        <f t="shared" si="67"/>
        <v>11.666666666666666</v>
      </c>
      <c r="G982" s="35">
        <v>0</v>
      </c>
      <c r="H982" s="35">
        <v>0</v>
      </c>
      <c r="I982" s="35">
        <v>0</v>
      </c>
      <c r="J982" s="35">
        <v>0</v>
      </c>
      <c r="K982" s="35">
        <v>0</v>
      </c>
      <c r="L982" s="36">
        <v>570</v>
      </c>
      <c r="M982" s="35">
        <v>1.3</v>
      </c>
      <c r="N982" s="21">
        <v>48</v>
      </c>
      <c r="O982" s="12">
        <v>0</v>
      </c>
      <c r="P982" s="35">
        <v>100</v>
      </c>
      <c r="Q982" s="35">
        <v>60</v>
      </c>
      <c r="R982" s="35">
        <v>60</v>
      </c>
      <c r="S982" s="35">
        <v>75</v>
      </c>
      <c r="T982" s="21">
        <v>1.9959128065395098</v>
      </c>
      <c r="U982" s="21">
        <f t="shared" si="65"/>
        <v>0.17107824056052942</v>
      </c>
      <c r="V982" s="37" t="s">
        <v>6</v>
      </c>
      <c r="W982" s="37" t="s">
        <v>6</v>
      </c>
      <c r="X982" s="35" t="s">
        <v>1</v>
      </c>
      <c r="Y982" s="23" t="s">
        <v>6</v>
      </c>
      <c r="Z982" s="21" t="s">
        <v>6</v>
      </c>
      <c r="AA982" s="35" t="s">
        <v>1</v>
      </c>
      <c r="AB982" s="37" t="s">
        <v>1</v>
      </c>
      <c r="AC982" s="27" t="s">
        <v>179</v>
      </c>
    </row>
    <row r="983" spans="1:29">
      <c r="A983" s="35" t="s">
        <v>242</v>
      </c>
      <c r="B983" s="35" t="s">
        <v>180</v>
      </c>
      <c r="C983" s="35" t="s">
        <v>60</v>
      </c>
      <c r="D983" s="36">
        <v>600</v>
      </c>
      <c r="E983" s="12">
        <v>50</v>
      </c>
      <c r="F983" s="21">
        <f t="shared" si="67"/>
        <v>11.666666666666666</v>
      </c>
      <c r="G983" s="35">
        <v>0</v>
      </c>
      <c r="H983" s="35">
        <v>0</v>
      </c>
      <c r="I983" s="35">
        <v>0</v>
      </c>
      <c r="J983" s="35">
        <v>0</v>
      </c>
      <c r="K983" s="35">
        <v>0</v>
      </c>
      <c r="L983" s="36">
        <v>275</v>
      </c>
      <c r="M983" s="35">
        <v>0.8</v>
      </c>
      <c r="N983" s="21">
        <v>25</v>
      </c>
      <c r="O983" s="12">
        <v>0</v>
      </c>
      <c r="P983" s="35">
        <v>100</v>
      </c>
      <c r="Q983" s="35">
        <v>60</v>
      </c>
      <c r="R983" s="35">
        <v>60</v>
      </c>
      <c r="S983" s="35">
        <v>75</v>
      </c>
      <c r="T983" s="21">
        <v>2.4153042688465032</v>
      </c>
      <c r="U983" s="21">
        <f t="shared" si="65"/>
        <v>0.20702608018684315</v>
      </c>
      <c r="V983" s="37" t="s">
        <v>6</v>
      </c>
      <c r="W983" s="37" t="s">
        <v>6</v>
      </c>
      <c r="X983" s="35" t="s">
        <v>1</v>
      </c>
      <c r="Y983" s="23" t="s">
        <v>6</v>
      </c>
      <c r="Z983" s="21" t="s">
        <v>6</v>
      </c>
      <c r="AA983" s="35" t="s">
        <v>1</v>
      </c>
      <c r="AB983" s="37" t="s">
        <v>1</v>
      </c>
      <c r="AC983" s="27" t="s">
        <v>179</v>
      </c>
    </row>
    <row r="984" spans="1:29">
      <c r="A984" s="35" t="s">
        <v>235</v>
      </c>
      <c r="B984" s="35" t="s">
        <v>180</v>
      </c>
      <c r="C984" s="35" t="s">
        <v>60</v>
      </c>
      <c r="D984" s="36">
        <v>600</v>
      </c>
      <c r="E984" s="12">
        <v>30</v>
      </c>
      <c r="F984" s="21">
        <f t="shared" si="67"/>
        <v>7</v>
      </c>
      <c r="G984" s="35">
        <v>0</v>
      </c>
      <c r="H984" s="35">
        <v>0</v>
      </c>
      <c r="I984" s="35">
        <v>0</v>
      </c>
      <c r="J984" s="35">
        <v>0</v>
      </c>
      <c r="K984" s="35">
        <v>0</v>
      </c>
      <c r="L984" s="36">
        <v>597</v>
      </c>
      <c r="M984" s="35">
        <v>1.42</v>
      </c>
      <c r="N984" s="21">
        <v>58</v>
      </c>
      <c r="O984" s="12">
        <v>0</v>
      </c>
      <c r="P984" s="35">
        <v>100</v>
      </c>
      <c r="Q984" s="35">
        <v>60</v>
      </c>
      <c r="R984" s="35">
        <v>60</v>
      </c>
      <c r="S984" s="35">
        <v>25</v>
      </c>
      <c r="T984" s="21">
        <v>2.3273839343707086</v>
      </c>
      <c r="U984" s="21">
        <v>0.33015873015872998</v>
      </c>
      <c r="V984" s="37" t="s">
        <v>6</v>
      </c>
      <c r="W984" s="37" t="s">
        <v>6</v>
      </c>
      <c r="X984" s="35" t="s">
        <v>1</v>
      </c>
      <c r="Y984" s="23" t="s">
        <v>6</v>
      </c>
      <c r="Z984" s="21" t="s">
        <v>6</v>
      </c>
      <c r="AA984" s="35" t="s">
        <v>1</v>
      </c>
      <c r="AB984" s="37" t="s">
        <v>1</v>
      </c>
      <c r="AC984" s="27" t="s">
        <v>179</v>
      </c>
    </row>
    <row r="985" spans="1:29">
      <c r="A985" s="35" t="s">
        <v>235</v>
      </c>
      <c r="B985" s="35" t="s">
        <v>180</v>
      </c>
      <c r="C985" s="35" t="s">
        <v>60</v>
      </c>
      <c r="D985" s="36">
        <v>600</v>
      </c>
      <c r="E985" s="12">
        <v>40</v>
      </c>
      <c r="F985" s="21">
        <f t="shared" si="67"/>
        <v>9.3333333333333339</v>
      </c>
      <c r="G985" s="35">
        <v>0</v>
      </c>
      <c r="H985" s="35">
        <v>0</v>
      </c>
      <c r="I985" s="35">
        <v>0</v>
      </c>
      <c r="J985" s="35">
        <v>0</v>
      </c>
      <c r="K985" s="35">
        <v>0</v>
      </c>
      <c r="L985" s="36">
        <v>597</v>
      </c>
      <c r="M985" s="35">
        <v>1.42</v>
      </c>
      <c r="N985" s="21">
        <v>58</v>
      </c>
      <c r="O985" s="12">
        <v>0</v>
      </c>
      <c r="P985" s="35">
        <v>100</v>
      </c>
      <c r="Q985" s="35">
        <v>60</v>
      </c>
      <c r="R985" s="35">
        <v>60</v>
      </c>
      <c r="S985" s="35">
        <v>25</v>
      </c>
      <c r="T985" s="21">
        <v>3.2770031095054728</v>
      </c>
      <c r="U985" s="21">
        <v>0.348730158730158</v>
      </c>
      <c r="V985" s="37" t="s">
        <v>6</v>
      </c>
      <c r="W985" s="37" t="s">
        <v>6</v>
      </c>
      <c r="X985" s="35" t="s">
        <v>1</v>
      </c>
      <c r="Y985" s="23" t="s">
        <v>6</v>
      </c>
      <c r="Z985" s="21" t="s">
        <v>6</v>
      </c>
      <c r="AA985" s="35" t="s">
        <v>1</v>
      </c>
      <c r="AB985" s="37" t="s">
        <v>1</v>
      </c>
      <c r="AC985" s="27" t="s">
        <v>179</v>
      </c>
    </row>
    <row r="986" spans="1:29">
      <c r="A986" s="35" t="s">
        <v>235</v>
      </c>
      <c r="B986" s="35" t="s">
        <v>180</v>
      </c>
      <c r="C986" s="35" t="s">
        <v>60</v>
      </c>
      <c r="D986" s="36">
        <v>600</v>
      </c>
      <c r="E986" s="12">
        <v>45</v>
      </c>
      <c r="F986" s="21">
        <f t="shared" si="67"/>
        <v>10.5</v>
      </c>
      <c r="G986" s="35">
        <v>0</v>
      </c>
      <c r="H986" s="35">
        <v>0</v>
      </c>
      <c r="I986" s="35">
        <v>0</v>
      </c>
      <c r="J986" s="35">
        <v>0</v>
      </c>
      <c r="K986" s="35">
        <v>0</v>
      </c>
      <c r="L986" s="36">
        <v>597</v>
      </c>
      <c r="M986" s="35">
        <v>1.42</v>
      </c>
      <c r="N986" s="21">
        <v>58</v>
      </c>
      <c r="O986" s="12">
        <v>0</v>
      </c>
      <c r="P986" s="35">
        <v>100</v>
      </c>
      <c r="Q986" s="35">
        <v>60</v>
      </c>
      <c r="R986" s="35">
        <v>60</v>
      </c>
      <c r="S986" s="35">
        <v>25</v>
      </c>
      <c r="T986" s="21">
        <v>3.7166437272191417</v>
      </c>
      <c r="U986" s="21">
        <v>0.35111111111111099</v>
      </c>
      <c r="V986" s="37" t="s">
        <v>6</v>
      </c>
      <c r="W986" s="37" t="s">
        <v>6</v>
      </c>
      <c r="X986" s="35" t="s">
        <v>1</v>
      </c>
      <c r="Y986" s="23" t="s">
        <v>6</v>
      </c>
      <c r="Z986" s="21" t="s">
        <v>6</v>
      </c>
      <c r="AA986" s="35" t="s">
        <v>1</v>
      </c>
      <c r="AB986" s="37" t="s">
        <v>1</v>
      </c>
      <c r="AC986" s="27" t="s">
        <v>179</v>
      </c>
    </row>
    <row r="987" spans="1:29">
      <c r="A987" s="35" t="s">
        <v>235</v>
      </c>
      <c r="B987" s="35" t="s">
        <v>180</v>
      </c>
      <c r="C987" s="35" t="s">
        <v>60</v>
      </c>
      <c r="D987" s="36">
        <v>600</v>
      </c>
      <c r="E987" s="12">
        <v>50</v>
      </c>
      <c r="F987" s="21">
        <f t="shared" si="67"/>
        <v>11.666666666666666</v>
      </c>
      <c r="G987" s="35">
        <v>0</v>
      </c>
      <c r="H987" s="35">
        <v>0</v>
      </c>
      <c r="I987" s="35">
        <v>0</v>
      </c>
      <c r="J987" s="35">
        <v>0</v>
      </c>
      <c r="K987" s="35">
        <v>0</v>
      </c>
      <c r="L987" s="36">
        <v>597</v>
      </c>
      <c r="M987" s="35">
        <v>1.42</v>
      </c>
      <c r="N987" s="21">
        <v>58</v>
      </c>
      <c r="O987" s="12">
        <v>0</v>
      </c>
      <c r="P987" s="35">
        <v>100</v>
      </c>
      <c r="Q987" s="35">
        <v>60</v>
      </c>
      <c r="R987" s="35">
        <v>60</v>
      </c>
      <c r="S987" s="35">
        <v>25</v>
      </c>
      <c r="T987" s="21">
        <v>4.0987186647948226</v>
      </c>
      <c r="U987" s="21">
        <v>0.34857142857142798</v>
      </c>
      <c r="V987" s="21">
        <v>0.21</v>
      </c>
      <c r="W987" s="21">
        <v>8.16</v>
      </c>
      <c r="X987" s="35" t="s">
        <v>1</v>
      </c>
      <c r="Y987" s="23" t="s">
        <v>6</v>
      </c>
      <c r="Z987" s="21" t="s">
        <v>6</v>
      </c>
      <c r="AA987" s="35" t="s">
        <v>1</v>
      </c>
      <c r="AB987" s="37" t="s">
        <v>1</v>
      </c>
      <c r="AC987" s="27" t="s">
        <v>179</v>
      </c>
    </row>
    <row r="988" spans="1:29" ht="16.2" customHeight="1">
      <c r="A988" s="35" t="s">
        <v>235</v>
      </c>
      <c r="B988" s="35" t="s">
        <v>180</v>
      </c>
      <c r="C988" s="35" t="s">
        <v>60</v>
      </c>
      <c r="D988" s="36">
        <v>600</v>
      </c>
      <c r="E988" s="12">
        <v>55.000000000000007</v>
      </c>
      <c r="F988" s="21">
        <f t="shared" si="67"/>
        <v>12.833333333333336</v>
      </c>
      <c r="G988" s="35">
        <v>0</v>
      </c>
      <c r="H988" s="35">
        <v>0</v>
      </c>
      <c r="I988" s="35">
        <v>0</v>
      </c>
      <c r="J988" s="35">
        <v>0</v>
      </c>
      <c r="K988" s="35">
        <v>0</v>
      </c>
      <c r="L988" s="36">
        <v>597</v>
      </c>
      <c r="M988" s="35">
        <v>1.42</v>
      </c>
      <c r="N988" s="21">
        <v>58</v>
      </c>
      <c r="O988" s="12">
        <v>0</v>
      </c>
      <c r="P988" s="35">
        <v>100</v>
      </c>
      <c r="Q988" s="35">
        <v>60</v>
      </c>
      <c r="R988" s="35">
        <v>60</v>
      </c>
      <c r="S988" s="35">
        <v>25</v>
      </c>
      <c r="T988" s="21">
        <v>2.7943189713531789</v>
      </c>
      <c r="U988" s="21">
        <v>0.216984126984126</v>
      </c>
      <c r="V988" s="21" t="s">
        <v>6</v>
      </c>
      <c r="W988" s="21" t="s">
        <v>6</v>
      </c>
      <c r="X988" s="35" t="s">
        <v>1</v>
      </c>
      <c r="Y988" s="23" t="s">
        <v>6</v>
      </c>
      <c r="Z988" s="21" t="s">
        <v>6</v>
      </c>
      <c r="AA988" s="35" t="s">
        <v>1</v>
      </c>
      <c r="AB988" s="37" t="s">
        <v>1</v>
      </c>
      <c r="AC988" s="27" t="s">
        <v>179</v>
      </c>
    </row>
    <row r="989" spans="1:29">
      <c r="A989" s="35" t="s">
        <v>234</v>
      </c>
      <c r="B989" s="35" t="s">
        <v>180</v>
      </c>
      <c r="C989" s="35" t="s">
        <v>60</v>
      </c>
      <c r="D989" s="36">
        <v>600</v>
      </c>
      <c r="E989" s="12">
        <v>30</v>
      </c>
      <c r="F989" s="21">
        <f t="shared" si="67"/>
        <v>7</v>
      </c>
      <c r="G989" s="35">
        <v>0</v>
      </c>
      <c r="H989" s="35">
        <v>0</v>
      </c>
      <c r="I989" s="35">
        <v>0</v>
      </c>
      <c r="J989" s="35">
        <v>0</v>
      </c>
      <c r="K989" s="35">
        <v>0</v>
      </c>
      <c r="L989" s="36">
        <v>597</v>
      </c>
      <c r="M989" s="35">
        <v>1.42</v>
      </c>
      <c r="N989" s="21">
        <v>58</v>
      </c>
      <c r="O989" s="12">
        <v>0</v>
      </c>
      <c r="P989" s="35">
        <v>100</v>
      </c>
      <c r="Q989" s="35">
        <v>60</v>
      </c>
      <c r="R989" s="35">
        <v>60</v>
      </c>
      <c r="S989" s="35">
        <v>75</v>
      </c>
      <c r="T989" s="21">
        <v>2.0523412024464873</v>
      </c>
      <c r="U989" s="21">
        <v>0.29142857142857098</v>
      </c>
      <c r="V989" s="21" t="s">
        <v>6</v>
      </c>
      <c r="W989" s="21" t="s">
        <v>6</v>
      </c>
      <c r="X989" s="35" t="s">
        <v>1</v>
      </c>
      <c r="Y989" s="23" t="s">
        <v>6</v>
      </c>
      <c r="Z989" s="21" t="s">
        <v>6</v>
      </c>
      <c r="AA989" s="35" t="s">
        <v>1</v>
      </c>
      <c r="AB989" s="37" t="s">
        <v>1</v>
      </c>
      <c r="AC989" s="27" t="s">
        <v>179</v>
      </c>
    </row>
    <row r="990" spans="1:29">
      <c r="A990" s="35" t="s">
        <v>234</v>
      </c>
      <c r="B990" s="35" t="s">
        <v>180</v>
      </c>
      <c r="C990" s="35" t="s">
        <v>60</v>
      </c>
      <c r="D990" s="36">
        <v>600</v>
      </c>
      <c r="E990" s="12">
        <v>40</v>
      </c>
      <c r="F990" s="21">
        <f t="shared" si="67"/>
        <v>9.3333333333333339</v>
      </c>
      <c r="G990" s="35">
        <v>0</v>
      </c>
      <c r="H990" s="35">
        <v>0</v>
      </c>
      <c r="I990" s="35">
        <v>0</v>
      </c>
      <c r="J990" s="35">
        <v>0</v>
      </c>
      <c r="K990" s="35">
        <v>0</v>
      </c>
      <c r="L990" s="36">
        <v>597</v>
      </c>
      <c r="M990" s="35">
        <v>1.42</v>
      </c>
      <c r="N990" s="21">
        <v>58</v>
      </c>
      <c r="O990" s="12">
        <v>0</v>
      </c>
      <c r="P990" s="35">
        <v>100</v>
      </c>
      <c r="Q990" s="35">
        <v>60</v>
      </c>
      <c r="R990" s="35">
        <v>60</v>
      </c>
      <c r="S990" s="35">
        <v>75</v>
      </c>
      <c r="T990" s="21">
        <v>2.8868357219034286</v>
      </c>
      <c r="U990" s="21">
        <v>0.307142857142857</v>
      </c>
      <c r="V990" s="21" t="s">
        <v>6</v>
      </c>
      <c r="W990" s="21" t="s">
        <v>6</v>
      </c>
      <c r="X990" s="35" t="s">
        <v>1</v>
      </c>
      <c r="Y990" s="23" t="s">
        <v>6</v>
      </c>
      <c r="Z990" s="21" t="s">
        <v>6</v>
      </c>
      <c r="AA990" s="35" t="s">
        <v>1</v>
      </c>
      <c r="AB990" s="37" t="s">
        <v>1</v>
      </c>
      <c r="AC990" s="27" t="s">
        <v>179</v>
      </c>
    </row>
    <row r="991" spans="1:29">
      <c r="A991" s="35" t="s">
        <v>234</v>
      </c>
      <c r="B991" s="35" t="s">
        <v>180</v>
      </c>
      <c r="C991" s="35" t="s">
        <v>60</v>
      </c>
      <c r="D991" s="36">
        <v>600</v>
      </c>
      <c r="E991" s="12">
        <v>45</v>
      </c>
      <c r="F991" s="21">
        <f t="shared" si="67"/>
        <v>10.5</v>
      </c>
      <c r="G991" s="35">
        <v>0</v>
      </c>
      <c r="H991" s="35">
        <v>0</v>
      </c>
      <c r="I991" s="35">
        <v>0</v>
      </c>
      <c r="J991" s="35">
        <v>0</v>
      </c>
      <c r="K991" s="35">
        <v>0</v>
      </c>
      <c r="L991" s="36">
        <v>597</v>
      </c>
      <c r="M991" s="35">
        <v>1.42</v>
      </c>
      <c r="N991" s="21">
        <v>58</v>
      </c>
      <c r="O991" s="12">
        <v>0</v>
      </c>
      <c r="P991" s="35">
        <v>100</v>
      </c>
      <c r="Q991" s="35">
        <v>60</v>
      </c>
      <c r="R991" s="35">
        <v>60</v>
      </c>
      <c r="S991" s="35">
        <v>75</v>
      </c>
      <c r="T991" s="21">
        <v>3.2539862238877384</v>
      </c>
      <c r="U991" s="21">
        <v>0.30793650793650701</v>
      </c>
      <c r="V991" s="21" t="s">
        <v>6</v>
      </c>
      <c r="W991" s="21" t="s">
        <v>6</v>
      </c>
      <c r="X991" s="35" t="s">
        <v>1</v>
      </c>
      <c r="Y991" s="23" t="s">
        <v>6</v>
      </c>
      <c r="Z991" s="21" t="s">
        <v>6</v>
      </c>
      <c r="AA991" s="35" t="s">
        <v>1</v>
      </c>
      <c r="AB991" s="37" t="s">
        <v>1</v>
      </c>
      <c r="AC991" s="27" t="s">
        <v>179</v>
      </c>
    </row>
    <row r="992" spans="1:29" ht="14.55" customHeight="1">
      <c r="A992" s="35" t="s">
        <v>234</v>
      </c>
      <c r="B992" s="35" t="s">
        <v>180</v>
      </c>
      <c r="C992" s="35" t="s">
        <v>60</v>
      </c>
      <c r="D992" s="36">
        <v>600</v>
      </c>
      <c r="E992" s="12">
        <v>50</v>
      </c>
      <c r="F992" s="21">
        <f t="shared" si="67"/>
        <v>11.666666666666666</v>
      </c>
      <c r="G992" s="35">
        <v>0</v>
      </c>
      <c r="H992" s="35">
        <v>0</v>
      </c>
      <c r="I992" s="35">
        <v>0</v>
      </c>
      <c r="J992" s="35">
        <v>0</v>
      </c>
      <c r="K992" s="35">
        <v>0</v>
      </c>
      <c r="L992" s="36">
        <v>597</v>
      </c>
      <c r="M992" s="35">
        <v>1.42</v>
      </c>
      <c r="N992" s="21">
        <v>58</v>
      </c>
      <c r="O992" s="12">
        <v>0</v>
      </c>
      <c r="P992" s="35">
        <v>100</v>
      </c>
      <c r="Q992" s="35">
        <v>60</v>
      </c>
      <c r="R992" s="35">
        <v>60</v>
      </c>
      <c r="S992" s="35">
        <v>75</v>
      </c>
      <c r="T992" s="21">
        <v>3.582746196583674</v>
      </c>
      <c r="U992" s="21">
        <v>0.30507936507936501</v>
      </c>
      <c r="V992" s="21">
        <v>0.17</v>
      </c>
      <c r="W992" s="21">
        <v>0.47</v>
      </c>
      <c r="X992" s="35" t="s">
        <v>1</v>
      </c>
      <c r="Y992" s="23" t="s">
        <v>6</v>
      </c>
      <c r="Z992" s="21" t="s">
        <v>6</v>
      </c>
      <c r="AA992" s="35" t="s">
        <v>1</v>
      </c>
      <c r="AB992" s="37" t="s">
        <v>1</v>
      </c>
      <c r="AC992" s="27" t="s">
        <v>179</v>
      </c>
    </row>
    <row r="993" spans="1:29">
      <c r="A993" s="35" t="s">
        <v>234</v>
      </c>
      <c r="B993" s="35" t="s">
        <v>180</v>
      </c>
      <c r="C993" s="35" t="s">
        <v>60</v>
      </c>
      <c r="D993" s="36">
        <v>600</v>
      </c>
      <c r="E993" s="12">
        <v>55.000000000000007</v>
      </c>
      <c r="F993" s="21">
        <f t="shared" si="67"/>
        <v>12.833333333333336</v>
      </c>
      <c r="G993" s="35">
        <v>0</v>
      </c>
      <c r="H993" s="35">
        <v>0</v>
      </c>
      <c r="I993" s="35">
        <v>0</v>
      </c>
      <c r="J993" s="35">
        <v>0</v>
      </c>
      <c r="K993" s="35">
        <v>0</v>
      </c>
      <c r="L993" s="36">
        <v>597</v>
      </c>
      <c r="M993" s="35">
        <v>1.42</v>
      </c>
      <c r="N993" s="21">
        <v>58</v>
      </c>
      <c r="O993" s="12">
        <v>0</v>
      </c>
      <c r="P993" s="35">
        <v>100</v>
      </c>
      <c r="Q993" s="35">
        <v>60</v>
      </c>
      <c r="R993" s="35">
        <v>60</v>
      </c>
      <c r="S993" s="35">
        <v>75</v>
      </c>
      <c r="T993" s="21">
        <v>2.6216219309391464</v>
      </c>
      <c r="U993" s="21">
        <v>0.203492063492063</v>
      </c>
      <c r="V993" s="21" t="s">
        <v>6</v>
      </c>
      <c r="W993" s="21" t="s">
        <v>6</v>
      </c>
      <c r="X993" s="35" t="s">
        <v>1</v>
      </c>
      <c r="Y993" s="23" t="s">
        <v>6</v>
      </c>
      <c r="Z993" s="21" t="s">
        <v>6</v>
      </c>
      <c r="AA993" s="35" t="s">
        <v>1</v>
      </c>
      <c r="AB993" s="37" t="s">
        <v>1</v>
      </c>
      <c r="AC993" s="27" t="s">
        <v>179</v>
      </c>
    </row>
    <row r="994" spans="1:29">
      <c r="A994" s="35" t="s">
        <v>234</v>
      </c>
      <c r="B994" s="35" t="s">
        <v>180</v>
      </c>
      <c r="C994" s="35" t="s">
        <v>60</v>
      </c>
      <c r="D994" s="36">
        <v>600</v>
      </c>
      <c r="E994" s="12">
        <v>50</v>
      </c>
      <c r="F994" s="21">
        <f t="shared" si="67"/>
        <v>11.666666666666666</v>
      </c>
      <c r="G994" s="35">
        <v>0</v>
      </c>
      <c r="H994" s="35">
        <v>0</v>
      </c>
      <c r="I994" s="35">
        <v>0</v>
      </c>
      <c r="J994" s="35">
        <v>0</v>
      </c>
      <c r="K994" s="35">
        <v>0</v>
      </c>
      <c r="L994" s="36">
        <v>597</v>
      </c>
      <c r="M994" s="35">
        <v>1.42</v>
      </c>
      <c r="N994" s="21">
        <v>58</v>
      </c>
      <c r="O994" s="12">
        <v>0</v>
      </c>
      <c r="P994" s="35">
        <v>100</v>
      </c>
      <c r="Q994" s="35">
        <v>60</v>
      </c>
      <c r="R994" s="35">
        <v>60</v>
      </c>
      <c r="S994" s="35">
        <v>40</v>
      </c>
      <c r="T994" s="21">
        <v>4.0581289736603088</v>
      </c>
      <c r="U994" s="21">
        <v>0.244021164021163</v>
      </c>
      <c r="V994" s="21">
        <v>0.17</v>
      </c>
      <c r="W994" s="21">
        <v>1.35</v>
      </c>
      <c r="X994" s="35" t="s">
        <v>1</v>
      </c>
      <c r="Y994" s="23" t="s">
        <v>6</v>
      </c>
      <c r="Z994" s="21" t="s">
        <v>6</v>
      </c>
      <c r="AA994" s="35" t="s">
        <v>1</v>
      </c>
      <c r="AB994" s="37" t="s">
        <v>1</v>
      </c>
      <c r="AC994" s="27" t="s">
        <v>179</v>
      </c>
    </row>
    <row r="995" spans="1:29">
      <c r="A995" s="35" t="s">
        <v>234</v>
      </c>
      <c r="B995" s="35" t="s">
        <v>180</v>
      </c>
      <c r="C995" s="35" t="s">
        <v>60</v>
      </c>
      <c r="D995" s="36">
        <v>600</v>
      </c>
      <c r="E995" s="12">
        <v>50</v>
      </c>
      <c r="F995" s="21">
        <f t="shared" si="67"/>
        <v>11.666666666666666</v>
      </c>
      <c r="G995" s="35">
        <v>0</v>
      </c>
      <c r="H995" s="35">
        <v>0</v>
      </c>
      <c r="I995" s="35">
        <v>0</v>
      </c>
      <c r="J995" s="35">
        <v>0</v>
      </c>
      <c r="K995" s="35">
        <v>0</v>
      </c>
      <c r="L995" s="36">
        <v>597</v>
      </c>
      <c r="M995" s="35">
        <v>1.42</v>
      </c>
      <c r="N995" s="21">
        <v>58</v>
      </c>
      <c r="O995" s="12">
        <v>0</v>
      </c>
      <c r="P995" s="35">
        <v>100</v>
      </c>
      <c r="Q995" s="35">
        <v>60</v>
      </c>
      <c r="R995" s="35">
        <v>60</v>
      </c>
      <c r="S995" s="35">
        <v>60</v>
      </c>
      <c r="T995" s="21">
        <v>3.8594459582198004</v>
      </c>
      <c r="U995" s="21">
        <v>0.233649831649831</v>
      </c>
      <c r="V995" s="21">
        <v>0.17</v>
      </c>
      <c r="W995" s="21">
        <v>0.57999999999999996</v>
      </c>
      <c r="X995" s="35" t="s">
        <v>1</v>
      </c>
      <c r="Y995" s="23" t="s">
        <v>6</v>
      </c>
      <c r="Z995" s="21" t="s">
        <v>6</v>
      </c>
      <c r="AA995" s="35" t="s">
        <v>1</v>
      </c>
      <c r="AB995" s="37" t="s">
        <v>1</v>
      </c>
      <c r="AC995" s="27" t="s">
        <v>179</v>
      </c>
    </row>
    <row r="996" spans="1:29">
      <c r="A996" s="35" t="s">
        <v>234</v>
      </c>
      <c r="B996" s="35" t="s">
        <v>180</v>
      </c>
      <c r="C996" s="35" t="s">
        <v>60</v>
      </c>
      <c r="D996" s="36">
        <v>600</v>
      </c>
      <c r="E996" s="12">
        <v>50</v>
      </c>
      <c r="F996" s="21">
        <f t="shared" si="67"/>
        <v>11.666666666666666</v>
      </c>
      <c r="G996" s="35">
        <v>0</v>
      </c>
      <c r="H996" s="35">
        <v>0</v>
      </c>
      <c r="I996" s="35">
        <v>0</v>
      </c>
      <c r="J996" s="35">
        <v>0</v>
      </c>
      <c r="K996" s="35">
        <v>0</v>
      </c>
      <c r="L996" s="36">
        <v>597</v>
      </c>
      <c r="M996" s="35">
        <v>1.42</v>
      </c>
      <c r="N996" s="21">
        <v>58</v>
      </c>
      <c r="O996" s="12">
        <v>0</v>
      </c>
      <c r="P996" s="35">
        <v>100</v>
      </c>
      <c r="Q996" s="35">
        <v>60</v>
      </c>
      <c r="R996" s="35">
        <v>60</v>
      </c>
      <c r="S996" s="35">
        <v>90</v>
      </c>
      <c r="T996" s="21">
        <v>3.1830154405086288</v>
      </c>
      <c r="U996" s="21">
        <v>0.22327849927849799</v>
      </c>
      <c r="V996" s="21">
        <v>0.16</v>
      </c>
      <c r="W996" s="21">
        <v>0.47</v>
      </c>
      <c r="X996" s="35" t="s">
        <v>1</v>
      </c>
      <c r="Y996" s="23" t="s">
        <v>6</v>
      </c>
      <c r="Z996" s="21" t="s">
        <v>6</v>
      </c>
      <c r="AA996" s="35" t="s">
        <v>1</v>
      </c>
      <c r="AB996" s="37" t="s">
        <v>1</v>
      </c>
      <c r="AC996" s="27" t="s">
        <v>179</v>
      </c>
    </row>
    <row r="997" spans="1:29">
      <c r="A997" s="35" t="s">
        <v>234</v>
      </c>
      <c r="B997" s="35" t="s">
        <v>180</v>
      </c>
      <c r="C997" s="35" t="s">
        <v>60</v>
      </c>
      <c r="D997" s="36">
        <v>600</v>
      </c>
      <c r="E997" s="12">
        <v>50</v>
      </c>
      <c r="F997" s="21">
        <f t="shared" si="67"/>
        <v>11.666666666666666</v>
      </c>
      <c r="G997" s="35">
        <v>0</v>
      </c>
      <c r="H997" s="35">
        <v>0</v>
      </c>
      <c r="I997" s="35">
        <v>0</v>
      </c>
      <c r="J997" s="35">
        <v>0</v>
      </c>
      <c r="K997" s="35">
        <v>0</v>
      </c>
      <c r="L997" s="36">
        <v>597</v>
      </c>
      <c r="M997" s="35">
        <v>1.42</v>
      </c>
      <c r="N997" s="21">
        <v>58</v>
      </c>
      <c r="O997" s="12">
        <v>0</v>
      </c>
      <c r="P997" s="41">
        <v>15</v>
      </c>
      <c r="Q997" s="35">
        <v>60</v>
      </c>
      <c r="R997" s="35">
        <v>60</v>
      </c>
      <c r="S997" s="35">
        <v>75</v>
      </c>
      <c r="T997" s="21">
        <f>129.7/44.04</f>
        <v>2.945049954586739</v>
      </c>
      <c r="U997" s="21">
        <v>0.21290716690716599</v>
      </c>
      <c r="V997" s="37" t="s">
        <v>6</v>
      </c>
      <c r="W997" s="37" t="s">
        <v>6</v>
      </c>
      <c r="X997" s="35">
        <v>110</v>
      </c>
      <c r="Y997" s="23" t="s">
        <v>6</v>
      </c>
      <c r="Z997" s="21">
        <v>0.78125</v>
      </c>
      <c r="AA997" s="35">
        <v>5</v>
      </c>
      <c r="AB997" s="37" t="s">
        <v>1</v>
      </c>
      <c r="AC997" s="27" t="s">
        <v>179</v>
      </c>
    </row>
    <row r="998" spans="1:29">
      <c r="A998" s="35" t="s">
        <v>234</v>
      </c>
      <c r="B998" s="35" t="s">
        <v>180</v>
      </c>
      <c r="C998" s="35" t="s">
        <v>60</v>
      </c>
      <c r="D998" s="36">
        <v>600</v>
      </c>
      <c r="E998" s="12">
        <v>50</v>
      </c>
      <c r="F998" s="21">
        <f t="shared" si="67"/>
        <v>11.666666666666666</v>
      </c>
      <c r="G998" s="35">
        <v>0</v>
      </c>
      <c r="H998" s="35">
        <v>0</v>
      </c>
      <c r="I998" s="35">
        <v>0</v>
      </c>
      <c r="J998" s="35">
        <v>0</v>
      </c>
      <c r="K998" s="35">
        <v>0</v>
      </c>
      <c r="L998" s="36">
        <v>597</v>
      </c>
      <c r="M998" s="35">
        <v>1.42</v>
      </c>
      <c r="N998" s="21">
        <v>58</v>
      </c>
      <c r="O998" s="14">
        <v>100</v>
      </c>
      <c r="P998" s="41">
        <v>15</v>
      </c>
      <c r="Q998" s="35">
        <v>60</v>
      </c>
      <c r="R998" s="35">
        <v>60</v>
      </c>
      <c r="S998" s="35">
        <v>75</v>
      </c>
      <c r="T998" s="21">
        <f>138.46/44.04</f>
        <v>3.1439600363306086</v>
      </c>
      <c r="U998" s="21">
        <v>0.20253583453583399</v>
      </c>
      <c r="V998" s="37" t="s">
        <v>6</v>
      </c>
      <c r="W998" s="37" t="s">
        <v>6</v>
      </c>
      <c r="X998" s="35" t="s">
        <v>6</v>
      </c>
      <c r="Y998" s="23" t="s">
        <v>6</v>
      </c>
      <c r="Z998" s="21" t="s">
        <v>6</v>
      </c>
      <c r="AA998" s="35" t="s">
        <v>6</v>
      </c>
      <c r="AB998" s="37" t="s">
        <v>1</v>
      </c>
      <c r="AC998" s="27" t="s">
        <v>179</v>
      </c>
    </row>
    <row r="999" spans="1:29">
      <c r="A999" s="35" t="s">
        <v>200</v>
      </c>
      <c r="B999" s="35" t="s">
        <v>161</v>
      </c>
      <c r="C999" s="35" t="s">
        <v>60</v>
      </c>
      <c r="D999" s="36">
        <v>600</v>
      </c>
      <c r="E999" s="13">
        <v>30</v>
      </c>
      <c r="F999" s="21">
        <f t="shared" ref="F999:F1004" si="68">14*E999*10/D999</f>
        <v>7</v>
      </c>
      <c r="G999" s="35">
        <v>0</v>
      </c>
      <c r="H999" s="35">
        <v>0</v>
      </c>
      <c r="I999" s="35">
        <v>0</v>
      </c>
      <c r="J999" s="35">
        <v>0</v>
      </c>
      <c r="K999" s="35">
        <v>0</v>
      </c>
      <c r="L999" s="36">
        <v>728.9</v>
      </c>
      <c r="M999" s="35">
        <v>0.94</v>
      </c>
      <c r="N999" s="21">
        <v>8.1</v>
      </c>
      <c r="O999" s="12">
        <v>0</v>
      </c>
      <c r="P999" s="35">
        <v>0.04</v>
      </c>
      <c r="Q999" s="35">
        <v>60</v>
      </c>
      <c r="R999" s="35">
        <v>300</v>
      </c>
      <c r="S999" s="35">
        <v>35</v>
      </c>
      <c r="T999" s="21">
        <v>0.69842233009708699</v>
      </c>
      <c r="U999" s="21">
        <v>0.100704264870931</v>
      </c>
      <c r="V999" s="37" t="s">
        <v>6</v>
      </c>
      <c r="W999" s="37" t="s">
        <v>6</v>
      </c>
      <c r="X999" s="36" t="s">
        <v>6</v>
      </c>
      <c r="Y999" s="23" t="s">
        <v>6</v>
      </c>
      <c r="Z999" s="21" t="s">
        <v>6</v>
      </c>
      <c r="AA999" s="35" t="s">
        <v>6</v>
      </c>
      <c r="AB999" s="37" t="s">
        <v>1</v>
      </c>
      <c r="AC999" s="63" t="s">
        <v>199</v>
      </c>
    </row>
    <row r="1000" spans="1:29">
      <c r="A1000" s="35" t="s">
        <v>200</v>
      </c>
      <c r="B1000" s="35" t="s">
        <v>180</v>
      </c>
      <c r="C1000" s="35" t="s">
        <v>60</v>
      </c>
      <c r="D1000" s="36">
        <v>600</v>
      </c>
      <c r="E1000" s="13">
        <v>40</v>
      </c>
      <c r="F1000" s="21">
        <f t="shared" si="68"/>
        <v>9.3333333333333339</v>
      </c>
      <c r="G1000" s="35">
        <v>0</v>
      </c>
      <c r="H1000" s="35">
        <v>0</v>
      </c>
      <c r="I1000" s="35">
        <v>0</v>
      </c>
      <c r="J1000" s="35">
        <v>0</v>
      </c>
      <c r="K1000" s="35">
        <v>0</v>
      </c>
      <c r="L1000" s="36">
        <v>728.9</v>
      </c>
      <c r="M1000" s="35">
        <v>0.94</v>
      </c>
      <c r="N1000" s="21">
        <v>8.1</v>
      </c>
      <c r="O1000" s="12">
        <v>0</v>
      </c>
      <c r="P1000" s="35">
        <v>0.04</v>
      </c>
      <c r="Q1000" s="35">
        <v>60</v>
      </c>
      <c r="R1000" s="35">
        <v>300</v>
      </c>
      <c r="S1000" s="35">
        <v>35</v>
      </c>
      <c r="T1000" s="21">
        <v>0.845873786407767</v>
      </c>
      <c r="U1000" s="21">
        <v>9.1385147774036696E-2</v>
      </c>
      <c r="V1000" s="37" t="s">
        <v>6</v>
      </c>
      <c r="W1000" s="37" t="s">
        <v>6</v>
      </c>
      <c r="X1000" s="36" t="s">
        <v>6</v>
      </c>
      <c r="Y1000" s="23" t="s">
        <v>6</v>
      </c>
      <c r="Z1000" s="21" t="s">
        <v>6</v>
      </c>
      <c r="AA1000" s="35" t="s">
        <v>6</v>
      </c>
      <c r="AB1000" s="37" t="s">
        <v>1</v>
      </c>
      <c r="AC1000" s="63" t="s">
        <v>199</v>
      </c>
    </row>
    <row r="1001" spans="1:29">
      <c r="A1001" s="35" t="s">
        <v>200</v>
      </c>
      <c r="B1001" s="35" t="s">
        <v>180</v>
      </c>
      <c r="C1001" s="35" t="s">
        <v>60</v>
      </c>
      <c r="D1001" s="36">
        <v>600</v>
      </c>
      <c r="E1001" s="13">
        <v>50</v>
      </c>
      <c r="F1001" s="21">
        <f t="shared" si="68"/>
        <v>11.666666666666666</v>
      </c>
      <c r="G1001" s="35">
        <v>0</v>
      </c>
      <c r="H1001" s="35">
        <v>0</v>
      </c>
      <c r="I1001" s="35">
        <v>0</v>
      </c>
      <c r="J1001" s="35">
        <v>0</v>
      </c>
      <c r="K1001" s="35">
        <v>0</v>
      </c>
      <c r="L1001" s="36">
        <v>728.9</v>
      </c>
      <c r="M1001" s="35">
        <v>0.94</v>
      </c>
      <c r="N1001" s="21">
        <v>8.1</v>
      </c>
      <c r="O1001" s="12">
        <v>0</v>
      </c>
      <c r="P1001" s="35">
        <v>0.04</v>
      </c>
      <c r="Q1001" s="35">
        <v>60</v>
      </c>
      <c r="R1001" s="35">
        <v>300</v>
      </c>
      <c r="S1001" s="35">
        <v>35</v>
      </c>
      <c r="T1001" s="21">
        <v>1.1953883495145601</v>
      </c>
      <c r="U1001" s="21">
        <v>0.103885147774036</v>
      </c>
      <c r="V1001" s="37" t="s">
        <v>6</v>
      </c>
      <c r="W1001" s="37" t="s">
        <v>6</v>
      </c>
      <c r="X1001" s="36" t="s">
        <v>6</v>
      </c>
      <c r="Y1001" s="23" t="s">
        <v>6</v>
      </c>
      <c r="Z1001" s="21" t="s">
        <v>6</v>
      </c>
      <c r="AA1001" s="35" t="s">
        <v>6</v>
      </c>
      <c r="AB1001" s="37" t="s">
        <v>1</v>
      </c>
      <c r="AC1001" s="6" t="s">
        <v>252</v>
      </c>
    </row>
    <row r="1002" spans="1:29">
      <c r="A1002" s="35" t="s">
        <v>200</v>
      </c>
      <c r="B1002" s="35" t="s">
        <v>180</v>
      </c>
      <c r="C1002" s="35" t="s">
        <v>60</v>
      </c>
      <c r="D1002" s="36">
        <v>600</v>
      </c>
      <c r="E1002" s="13">
        <v>60</v>
      </c>
      <c r="F1002" s="21">
        <f t="shared" si="68"/>
        <v>14</v>
      </c>
      <c r="G1002" s="35">
        <v>0</v>
      </c>
      <c r="H1002" s="35">
        <v>0</v>
      </c>
      <c r="I1002" s="35">
        <v>0</v>
      </c>
      <c r="J1002" s="35">
        <v>0</v>
      </c>
      <c r="K1002" s="35">
        <v>0</v>
      </c>
      <c r="L1002" s="36">
        <v>728.9</v>
      </c>
      <c r="M1002" s="35">
        <v>0.94</v>
      </c>
      <c r="N1002" s="21">
        <v>8.1</v>
      </c>
      <c r="O1002" s="12">
        <v>0</v>
      </c>
      <c r="P1002" s="35">
        <v>0.04</v>
      </c>
      <c r="Q1002" s="35">
        <v>60</v>
      </c>
      <c r="R1002" s="35">
        <v>300</v>
      </c>
      <c r="S1002" s="35">
        <v>35</v>
      </c>
      <c r="T1002" s="21">
        <v>1.34466019417475</v>
      </c>
      <c r="U1002" s="21">
        <v>9.6839693228582102E-2</v>
      </c>
      <c r="V1002" s="37" t="s">
        <v>6</v>
      </c>
      <c r="W1002" s="37" t="s">
        <v>6</v>
      </c>
      <c r="X1002" s="36" t="s">
        <v>6</v>
      </c>
      <c r="Y1002" s="23" t="s">
        <v>6</v>
      </c>
      <c r="Z1002" s="21" t="s">
        <v>6</v>
      </c>
      <c r="AA1002" s="35" t="s">
        <v>6</v>
      </c>
      <c r="AB1002" s="37" t="s">
        <v>1</v>
      </c>
      <c r="AC1002" s="63" t="s">
        <v>199</v>
      </c>
    </row>
    <row r="1003" spans="1:29">
      <c r="A1003" s="35" t="s">
        <v>200</v>
      </c>
      <c r="B1003" s="35" t="s">
        <v>180</v>
      </c>
      <c r="C1003" s="35" t="s">
        <v>60</v>
      </c>
      <c r="D1003" s="36">
        <v>600</v>
      </c>
      <c r="E1003" s="13">
        <v>70</v>
      </c>
      <c r="F1003" s="21">
        <f t="shared" si="68"/>
        <v>16.333333333333332</v>
      </c>
      <c r="G1003" s="35">
        <v>0</v>
      </c>
      <c r="H1003" s="35">
        <v>0</v>
      </c>
      <c r="I1003" s="35">
        <v>0</v>
      </c>
      <c r="J1003" s="35">
        <v>0</v>
      </c>
      <c r="K1003" s="35">
        <v>0</v>
      </c>
      <c r="L1003" s="36">
        <v>728.9</v>
      </c>
      <c r="M1003" s="35">
        <v>0.94</v>
      </c>
      <c r="N1003" s="21">
        <v>8.1</v>
      </c>
      <c r="O1003" s="12">
        <v>0</v>
      </c>
      <c r="P1003" s="35">
        <v>0.04</v>
      </c>
      <c r="Q1003" s="35">
        <v>60</v>
      </c>
      <c r="R1003" s="35">
        <v>300</v>
      </c>
      <c r="S1003" s="35">
        <v>35</v>
      </c>
      <c r="T1003" s="21">
        <v>1.6432038834951399</v>
      </c>
      <c r="U1003" s="21">
        <v>0.10115693976805</v>
      </c>
      <c r="V1003" s="37" t="s">
        <v>6</v>
      </c>
      <c r="W1003" s="37" t="s">
        <v>6</v>
      </c>
      <c r="X1003" s="36" t="s">
        <v>6</v>
      </c>
      <c r="Y1003" s="23" t="s">
        <v>6</v>
      </c>
      <c r="Z1003" s="21" t="s">
        <v>6</v>
      </c>
      <c r="AA1003" s="35" t="s">
        <v>6</v>
      </c>
      <c r="AB1003" s="37" t="s">
        <v>1</v>
      </c>
      <c r="AC1003" s="63" t="s">
        <v>199</v>
      </c>
    </row>
    <row r="1004" spans="1:29">
      <c r="A1004" s="35" t="s">
        <v>200</v>
      </c>
      <c r="B1004" s="35" t="s">
        <v>180</v>
      </c>
      <c r="C1004" s="35" t="s">
        <v>60</v>
      </c>
      <c r="D1004" s="36">
        <v>600</v>
      </c>
      <c r="E1004" s="13">
        <v>80</v>
      </c>
      <c r="F1004" s="21">
        <f t="shared" si="68"/>
        <v>18.666666666666668</v>
      </c>
      <c r="G1004" s="35">
        <v>0</v>
      </c>
      <c r="H1004" s="35">
        <v>0</v>
      </c>
      <c r="I1004" s="35">
        <v>0</v>
      </c>
      <c r="J1004" s="35">
        <v>0</v>
      </c>
      <c r="K1004" s="35">
        <v>0</v>
      </c>
      <c r="L1004" s="36">
        <v>728.9</v>
      </c>
      <c r="M1004" s="35">
        <v>0.94</v>
      </c>
      <c r="N1004" s="21">
        <v>8.1</v>
      </c>
      <c r="O1004" s="12">
        <v>0</v>
      </c>
      <c r="P1004" s="35">
        <v>0.04</v>
      </c>
      <c r="Q1004" s="35">
        <v>60</v>
      </c>
      <c r="R1004" s="35">
        <v>300</v>
      </c>
      <c r="S1004" s="35">
        <v>35</v>
      </c>
      <c r="T1004" s="21">
        <v>0.146844660194174</v>
      </c>
      <c r="U1004" s="21">
        <v>8.2014590347925208E-3</v>
      </c>
      <c r="V1004" s="37" t="s">
        <v>6</v>
      </c>
      <c r="W1004" s="37" t="s">
        <v>6</v>
      </c>
      <c r="X1004" s="36" t="s">
        <v>6</v>
      </c>
      <c r="Y1004" s="23" t="s">
        <v>6</v>
      </c>
      <c r="Z1004" s="21" t="s">
        <v>6</v>
      </c>
      <c r="AA1004" s="35" t="s">
        <v>6</v>
      </c>
      <c r="AB1004" s="37" t="s">
        <v>1</v>
      </c>
      <c r="AC1004" s="63" t="s">
        <v>199</v>
      </c>
    </row>
    <row r="1005" spans="1:29">
      <c r="A1005" s="35" t="s">
        <v>200</v>
      </c>
      <c r="B1005" s="35" t="s">
        <v>180</v>
      </c>
      <c r="C1005" s="35" t="s">
        <v>60</v>
      </c>
      <c r="D1005" s="36">
        <v>600</v>
      </c>
      <c r="E1005" s="13">
        <v>30</v>
      </c>
      <c r="F1005" s="21">
        <v>7</v>
      </c>
      <c r="G1005" s="35">
        <v>0</v>
      </c>
      <c r="H1005" s="35">
        <v>0</v>
      </c>
      <c r="I1005" s="35">
        <v>0</v>
      </c>
      <c r="J1005" s="35">
        <v>0</v>
      </c>
      <c r="K1005" s="35">
        <v>0</v>
      </c>
      <c r="L1005" s="36">
        <v>728.9</v>
      </c>
      <c r="M1005" s="35">
        <v>0.94</v>
      </c>
      <c r="N1005" s="21">
        <v>8.1</v>
      </c>
      <c r="O1005" s="12">
        <v>0</v>
      </c>
      <c r="P1005" s="35">
        <v>0.04</v>
      </c>
      <c r="Q1005" s="35">
        <v>60</v>
      </c>
      <c r="R1005" s="35">
        <v>300</v>
      </c>
      <c r="S1005" s="35">
        <v>-30</v>
      </c>
      <c r="T1005" s="21">
        <v>0.82899999999999996</v>
      </c>
      <c r="U1005" s="21">
        <v>0.25</v>
      </c>
      <c r="V1005" s="37" t="s">
        <v>6</v>
      </c>
      <c r="W1005" s="37" t="s">
        <v>6</v>
      </c>
      <c r="X1005" s="36" t="s">
        <v>6</v>
      </c>
      <c r="Y1005" s="23" t="s">
        <v>6</v>
      </c>
      <c r="Z1005" s="21" t="s">
        <v>6</v>
      </c>
      <c r="AA1005" s="35" t="s">
        <v>6</v>
      </c>
      <c r="AB1005" s="37" t="s">
        <v>1</v>
      </c>
      <c r="AC1005" s="63" t="s">
        <v>199</v>
      </c>
    </row>
    <row r="1006" spans="1:29">
      <c r="A1006" s="35" t="s">
        <v>200</v>
      </c>
      <c r="B1006" s="35" t="s">
        <v>180</v>
      </c>
      <c r="C1006" s="35" t="s">
        <v>60</v>
      </c>
      <c r="D1006" s="36">
        <v>600</v>
      </c>
      <c r="E1006" s="13">
        <v>30</v>
      </c>
      <c r="F1006" s="21">
        <v>7</v>
      </c>
      <c r="G1006" s="35">
        <v>0</v>
      </c>
      <c r="H1006" s="35">
        <v>0</v>
      </c>
      <c r="I1006" s="35">
        <v>0</v>
      </c>
      <c r="J1006" s="35">
        <v>0</v>
      </c>
      <c r="K1006" s="35">
        <v>0</v>
      </c>
      <c r="L1006" s="36">
        <v>728.9</v>
      </c>
      <c r="M1006" s="35">
        <v>0.94</v>
      </c>
      <c r="N1006" s="21">
        <v>8.1</v>
      </c>
      <c r="O1006" s="12">
        <v>78</v>
      </c>
      <c r="P1006" s="35">
        <v>0.04</v>
      </c>
      <c r="Q1006" s="35">
        <v>200</v>
      </c>
      <c r="R1006" s="35">
        <v>300</v>
      </c>
      <c r="S1006" s="35">
        <v>-20</v>
      </c>
      <c r="T1006" s="21">
        <v>1.81</v>
      </c>
      <c r="U1006" s="21">
        <v>0.25857142857142856</v>
      </c>
      <c r="V1006" s="37" t="s">
        <v>6</v>
      </c>
      <c r="W1006" s="37" t="s">
        <v>6</v>
      </c>
      <c r="X1006" s="36" t="s">
        <v>6</v>
      </c>
      <c r="Y1006" s="23" t="s">
        <v>6</v>
      </c>
      <c r="Z1006" s="21" t="s">
        <v>6</v>
      </c>
      <c r="AA1006" s="35" t="s">
        <v>6</v>
      </c>
      <c r="AB1006" s="37" t="s">
        <v>1</v>
      </c>
      <c r="AC1006" s="6" t="s">
        <v>252</v>
      </c>
    </row>
    <row r="1007" spans="1:29">
      <c r="A1007" s="35" t="s">
        <v>200</v>
      </c>
      <c r="B1007" s="35" t="s">
        <v>180</v>
      </c>
      <c r="C1007" s="35" t="s">
        <v>60</v>
      </c>
      <c r="D1007" s="36">
        <v>600</v>
      </c>
      <c r="E1007" s="13">
        <v>40</v>
      </c>
      <c r="F1007" s="21">
        <v>9.3333333333333357</v>
      </c>
      <c r="G1007" s="35">
        <v>0</v>
      </c>
      <c r="H1007" s="35">
        <v>0</v>
      </c>
      <c r="I1007" s="35">
        <v>0</v>
      </c>
      <c r="J1007" s="35">
        <v>0</v>
      </c>
      <c r="K1007" s="35">
        <v>0</v>
      </c>
      <c r="L1007" s="36">
        <v>728.9</v>
      </c>
      <c r="M1007" s="35">
        <v>0.94</v>
      </c>
      <c r="N1007" s="21">
        <v>8.1</v>
      </c>
      <c r="O1007" s="12">
        <v>0</v>
      </c>
      <c r="P1007" s="35">
        <v>0.04</v>
      </c>
      <c r="Q1007" s="35">
        <v>60</v>
      </c>
      <c r="R1007" s="35">
        <v>300</v>
      </c>
      <c r="S1007" s="35">
        <v>-30</v>
      </c>
      <c r="T1007" s="21">
        <v>0.56599999999999995</v>
      </c>
      <c r="U1007" s="21">
        <v>0.11700000000000001</v>
      </c>
      <c r="V1007" s="37" t="s">
        <v>6</v>
      </c>
      <c r="W1007" s="37" t="s">
        <v>6</v>
      </c>
      <c r="X1007" s="36" t="s">
        <v>6</v>
      </c>
      <c r="Y1007" s="23" t="s">
        <v>6</v>
      </c>
      <c r="Z1007" s="21" t="s">
        <v>6</v>
      </c>
      <c r="AA1007" s="35" t="s">
        <v>6</v>
      </c>
      <c r="AB1007" s="37" t="s">
        <v>1</v>
      </c>
      <c r="AC1007" s="63" t="s">
        <v>199</v>
      </c>
    </row>
    <row r="1008" spans="1:29" ht="14.55" customHeight="1">
      <c r="A1008" s="35" t="s">
        <v>200</v>
      </c>
      <c r="B1008" s="35" t="s">
        <v>180</v>
      </c>
      <c r="C1008" s="35" t="s">
        <v>60</v>
      </c>
      <c r="D1008" s="36">
        <v>600</v>
      </c>
      <c r="E1008" s="13">
        <v>50</v>
      </c>
      <c r="F1008" s="21">
        <v>11.666666666666666</v>
      </c>
      <c r="G1008" s="35">
        <v>0</v>
      </c>
      <c r="H1008" s="35">
        <v>0</v>
      </c>
      <c r="I1008" s="35">
        <v>0</v>
      </c>
      <c r="J1008" s="35">
        <v>0</v>
      </c>
      <c r="K1008" s="35">
        <v>0</v>
      </c>
      <c r="L1008" s="36">
        <v>728.9</v>
      </c>
      <c r="M1008" s="35">
        <v>0.94</v>
      </c>
      <c r="N1008" s="21">
        <v>8.1</v>
      </c>
      <c r="O1008" s="12">
        <v>0</v>
      </c>
      <c r="P1008" s="35">
        <v>0.04</v>
      </c>
      <c r="Q1008" s="35">
        <v>60</v>
      </c>
      <c r="R1008" s="35">
        <v>300</v>
      </c>
      <c r="S1008" s="35">
        <v>-30</v>
      </c>
      <c r="T1008" s="21">
        <v>0.20499999999999999</v>
      </c>
      <c r="U1008" s="21">
        <v>3.3000000000000002E-2</v>
      </c>
      <c r="V1008" s="37" t="s">
        <v>6</v>
      </c>
      <c r="W1008" s="37" t="s">
        <v>6</v>
      </c>
      <c r="X1008" s="36" t="s">
        <v>6</v>
      </c>
      <c r="Y1008" s="23" t="s">
        <v>6</v>
      </c>
      <c r="Z1008" s="21" t="s">
        <v>6</v>
      </c>
      <c r="AA1008" s="35" t="s">
        <v>6</v>
      </c>
      <c r="AB1008" s="37" t="s">
        <v>1</v>
      </c>
      <c r="AC1008" s="63" t="s">
        <v>199</v>
      </c>
    </row>
    <row r="1009" spans="1:29">
      <c r="A1009" s="35" t="s">
        <v>200</v>
      </c>
      <c r="B1009" s="35" t="s">
        <v>180</v>
      </c>
      <c r="C1009" s="35" t="s">
        <v>60</v>
      </c>
      <c r="D1009" s="36">
        <v>600</v>
      </c>
      <c r="E1009" s="13">
        <v>30</v>
      </c>
      <c r="F1009" s="21">
        <v>7</v>
      </c>
      <c r="G1009" s="35">
        <v>0</v>
      </c>
      <c r="H1009" s="35">
        <v>0</v>
      </c>
      <c r="I1009" s="35">
        <v>0</v>
      </c>
      <c r="J1009" s="35">
        <v>0</v>
      </c>
      <c r="K1009" s="35">
        <v>0</v>
      </c>
      <c r="L1009" s="36">
        <v>728.9</v>
      </c>
      <c r="M1009" s="35">
        <v>0.94</v>
      </c>
      <c r="N1009" s="21">
        <v>8.1</v>
      </c>
      <c r="O1009" s="12">
        <v>0</v>
      </c>
      <c r="P1009" s="35">
        <v>0.04</v>
      </c>
      <c r="Q1009" s="35">
        <v>60</v>
      </c>
      <c r="R1009" s="35">
        <v>300</v>
      </c>
      <c r="S1009" s="35">
        <v>-20</v>
      </c>
      <c r="T1009" s="21">
        <v>0.82580537061396297</v>
      </c>
      <c r="U1009" s="21">
        <v>0.116648822269807</v>
      </c>
      <c r="V1009" s="37" t="s">
        <v>6</v>
      </c>
      <c r="W1009" s="37" t="s">
        <v>6</v>
      </c>
      <c r="X1009" s="36">
        <v>110</v>
      </c>
      <c r="Y1009" s="23" t="s">
        <v>6</v>
      </c>
      <c r="Z1009" s="21">
        <v>-0.3927318426978092</v>
      </c>
      <c r="AA1009" s="35">
        <v>5</v>
      </c>
      <c r="AB1009" s="37" t="s">
        <v>1</v>
      </c>
      <c r="AC1009" s="63" t="s">
        <v>199</v>
      </c>
    </row>
    <row r="1010" spans="1:29">
      <c r="A1010" s="35" t="s">
        <v>200</v>
      </c>
      <c r="B1010" s="35" t="s">
        <v>180</v>
      </c>
      <c r="C1010" s="35" t="s">
        <v>60</v>
      </c>
      <c r="D1010" s="36">
        <v>600</v>
      </c>
      <c r="E1010" s="13">
        <v>40</v>
      </c>
      <c r="F1010" s="21">
        <v>9.3333333333333357</v>
      </c>
      <c r="G1010" s="35">
        <v>0</v>
      </c>
      <c r="H1010" s="35">
        <v>0</v>
      </c>
      <c r="I1010" s="35">
        <v>0</v>
      </c>
      <c r="J1010" s="35">
        <v>0</v>
      </c>
      <c r="K1010" s="35">
        <v>0</v>
      </c>
      <c r="L1010" s="36">
        <v>728.9</v>
      </c>
      <c r="M1010" s="35">
        <v>0.94</v>
      </c>
      <c r="N1010" s="21">
        <v>8.1</v>
      </c>
      <c r="O1010" s="12">
        <v>0</v>
      </c>
      <c r="P1010" s="35">
        <v>0.04</v>
      </c>
      <c r="Q1010" s="35">
        <v>60</v>
      </c>
      <c r="R1010" s="35">
        <v>300</v>
      </c>
      <c r="S1010" s="35">
        <v>-10</v>
      </c>
      <c r="T1010" s="21">
        <v>0.79616241648739505</v>
      </c>
      <c r="U1010" s="21">
        <v>0.112633832976445</v>
      </c>
      <c r="V1010" s="37" t="s">
        <v>6</v>
      </c>
      <c r="W1010" s="37" t="s">
        <v>6</v>
      </c>
      <c r="X1010" s="36" t="s">
        <v>6</v>
      </c>
      <c r="Y1010" s="23" t="s">
        <v>6</v>
      </c>
      <c r="Z1010" s="21" t="s">
        <v>6</v>
      </c>
      <c r="AA1010" s="35" t="s">
        <v>6</v>
      </c>
      <c r="AB1010" s="37" t="s">
        <v>1</v>
      </c>
      <c r="AC1010" s="63" t="s">
        <v>199</v>
      </c>
    </row>
    <row r="1011" spans="1:29">
      <c r="A1011" s="35" t="s">
        <v>200</v>
      </c>
      <c r="B1011" s="35" t="s">
        <v>180</v>
      </c>
      <c r="C1011" s="35" t="s">
        <v>60</v>
      </c>
      <c r="D1011" s="36">
        <v>600</v>
      </c>
      <c r="E1011" s="13">
        <v>50</v>
      </c>
      <c r="F1011" s="21">
        <v>11.666666666666666</v>
      </c>
      <c r="G1011" s="35">
        <v>0</v>
      </c>
      <c r="H1011" s="35">
        <v>0</v>
      </c>
      <c r="I1011" s="35">
        <v>0</v>
      </c>
      <c r="J1011" s="35">
        <v>0</v>
      </c>
      <c r="K1011" s="35">
        <v>0</v>
      </c>
      <c r="L1011" s="36">
        <v>728.9</v>
      </c>
      <c r="M1011" s="35">
        <v>0.94</v>
      </c>
      <c r="N1011" s="21">
        <v>8.1</v>
      </c>
      <c r="O1011" s="12">
        <v>0</v>
      </c>
      <c r="P1011" s="35">
        <v>0.04</v>
      </c>
      <c r="Q1011" s="35">
        <v>60</v>
      </c>
      <c r="R1011" s="35">
        <v>300</v>
      </c>
      <c r="S1011" s="35">
        <v>0</v>
      </c>
      <c r="T1011" s="21">
        <v>0.48526923365810698</v>
      </c>
      <c r="U1011" s="21">
        <v>6.8468950749464505E-2</v>
      </c>
      <c r="V1011" s="37" t="s">
        <v>6</v>
      </c>
      <c r="W1011" s="37" t="s">
        <v>6</v>
      </c>
      <c r="X1011" s="36" t="s">
        <v>6</v>
      </c>
      <c r="Y1011" s="23" t="s">
        <v>6</v>
      </c>
      <c r="Z1011" s="21" t="s">
        <v>6</v>
      </c>
      <c r="AA1011" s="35" t="s">
        <v>6</v>
      </c>
      <c r="AB1011" s="37" t="s">
        <v>1</v>
      </c>
      <c r="AC1011" s="63" t="s">
        <v>199</v>
      </c>
    </row>
    <row r="1012" spans="1:29">
      <c r="A1012" s="35" t="s">
        <v>200</v>
      </c>
      <c r="B1012" s="35" t="s">
        <v>180</v>
      </c>
      <c r="C1012" s="35" t="s">
        <v>60</v>
      </c>
      <c r="D1012" s="36">
        <v>600</v>
      </c>
      <c r="E1012" s="13">
        <v>60</v>
      </c>
      <c r="F1012" s="21">
        <v>14</v>
      </c>
      <c r="G1012" s="35">
        <v>0</v>
      </c>
      <c r="H1012" s="35">
        <v>0</v>
      </c>
      <c r="I1012" s="35">
        <v>0</v>
      </c>
      <c r="J1012" s="35">
        <v>0</v>
      </c>
      <c r="K1012" s="35">
        <v>0</v>
      </c>
      <c r="L1012" s="36">
        <v>728.9</v>
      </c>
      <c r="M1012" s="35">
        <v>0.94</v>
      </c>
      <c r="N1012" s="21">
        <v>8.1</v>
      </c>
      <c r="O1012" s="12">
        <v>0</v>
      </c>
      <c r="P1012" s="35">
        <v>0.04</v>
      </c>
      <c r="Q1012" s="35">
        <v>60</v>
      </c>
      <c r="R1012" s="35">
        <v>300</v>
      </c>
      <c r="S1012" s="35">
        <v>10</v>
      </c>
      <c r="T1012" s="21">
        <v>0.50562541286859597</v>
      </c>
      <c r="U1012" s="21">
        <v>7.1680942184154106E-2</v>
      </c>
      <c r="V1012" s="37" t="s">
        <v>6</v>
      </c>
      <c r="W1012" s="37" t="s">
        <v>6</v>
      </c>
      <c r="X1012" s="36" t="s">
        <v>6</v>
      </c>
      <c r="Y1012" s="23" t="s">
        <v>6</v>
      </c>
      <c r="Z1012" s="21" t="s">
        <v>6</v>
      </c>
      <c r="AA1012" s="35" t="s">
        <v>6</v>
      </c>
      <c r="AB1012" s="37" t="s">
        <v>1</v>
      </c>
      <c r="AC1012" s="63" t="s">
        <v>199</v>
      </c>
    </row>
    <row r="1013" spans="1:29">
      <c r="A1013" s="35" t="s">
        <v>200</v>
      </c>
      <c r="B1013" s="35" t="s">
        <v>180</v>
      </c>
      <c r="C1013" s="35" t="s">
        <v>60</v>
      </c>
      <c r="D1013" s="36">
        <v>600</v>
      </c>
      <c r="E1013" s="13">
        <v>70</v>
      </c>
      <c r="F1013" s="21">
        <v>16.333333333333329</v>
      </c>
      <c r="G1013" s="35">
        <v>0</v>
      </c>
      <c r="H1013" s="35">
        <v>0</v>
      </c>
      <c r="I1013" s="35">
        <v>0</v>
      </c>
      <c r="J1013" s="35">
        <v>0</v>
      </c>
      <c r="K1013" s="35">
        <v>0</v>
      </c>
      <c r="L1013" s="36">
        <v>728.9</v>
      </c>
      <c r="M1013" s="35">
        <v>0.94</v>
      </c>
      <c r="N1013" s="21">
        <v>8.1</v>
      </c>
      <c r="O1013" s="12">
        <v>0</v>
      </c>
      <c r="P1013" s="35">
        <v>0.04</v>
      </c>
      <c r="Q1013" s="35">
        <v>60</v>
      </c>
      <c r="R1013" s="35">
        <v>300</v>
      </c>
      <c r="S1013" s="35">
        <v>20</v>
      </c>
      <c r="T1013" s="21">
        <v>0.73580415728584203</v>
      </c>
      <c r="U1013" s="21">
        <v>0.10433618843683</v>
      </c>
      <c r="V1013" s="37" t="s">
        <v>6</v>
      </c>
      <c r="W1013" s="37" t="s">
        <v>6</v>
      </c>
      <c r="X1013" s="36" t="s">
        <v>6</v>
      </c>
      <c r="Y1013" s="23" t="s">
        <v>6</v>
      </c>
      <c r="Z1013" s="21" t="s">
        <v>6</v>
      </c>
      <c r="AA1013" s="35" t="s">
        <v>6</v>
      </c>
      <c r="AB1013" s="37" t="s">
        <v>1</v>
      </c>
      <c r="AC1013" s="63" t="s">
        <v>199</v>
      </c>
    </row>
    <row r="1014" spans="1:29">
      <c r="A1014" s="35" t="s">
        <v>200</v>
      </c>
      <c r="B1014" s="35" t="s">
        <v>180</v>
      </c>
      <c r="C1014" s="35" t="s">
        <v>60</v>
      </c>
      <c r="D1014" s="36">
        <v>600</v>
      </c>
      <c r="E1014" s="13">
        <v>80</v>
      </c>
      <c r="F1014" s="21">
        <v>18.666666666666671</v>
      </c>
      <c r="G1014" s="35">
        <v>0</v>
      </c>
      <c r="H1014" s="35">
        <v>0</v>
      </c>
      <c r="I1014" s="35">
        <v>0</v>
      </c>
      <c r="J1014" s="35">
        <v>0</v>
      </c>
      <c r="K1014" s="35">
        <v>0</v>
      </c>
      <c r="L1014" s="36">
        <v>728.9</v>
      </c>
      <c r="M1014" s="35">
        <v>0.94</v>
      </c>
      <c r="N1014" s="21">
        <v>8.1</v>
      </c>
      <c r="O1014" s="12">
        <v>0</v>
      </c>
      <c r="P1014" s="35">
        <v>0.04</v>
      </c>
      <c r="Q1014" s="35">
        <v>60</v>
      </c>
      <c r="R1014" s="35">
        <v>300</v>
      </c>
      <c r="S1014" s="35">
        <v>30</v>
      </c>
      <c r="T1014" s="21">
        <v>0.865090238871566</v>
      </c>
      <c r="U1014" s="21">
        <v>0.122537473233404</v>
      </c>
      <c r="V1014" s="37" t="s">
        <v>6</v>
      </c>
      <c r="W1014" s="37" t="s">
        <v>6</v>
      </c>
      <c r="X1014" s="36" t="s">
        <v>6</v>
      </c>
      <c r="Y1014" s="23" t="s">
        <v>6</v>
      </c>
      <c r="Z1014" s="21" t="s">
        <v>6</v>
      </c>
      <c r="AA1014" s="35" t="s">
        <v>6</v>
      </c>
      <c r="AB1014" s="37" t="s">
        <v>1</v>
      </c>
      <c r="AC1014" s="63" t="s">
        <v>199</v>
      </c>
    </row>
    <row r="1015" spans="1:29">
      <c r="A1015" s="35" t="s">
        <v>201</v>
      </c>
      <c r="B1015" s="35" t="s">
        <v>180</v>
      </c>
      <c r="C1015" s="35" t="s">
        <v>60</v>
      </c>
      <c r="D1015" s="36">
        <v>600</v>
      </c>
      <c r="E1015" s="13">
        <v>30</v>
      </c>
      <c r="F1015" s="21">
        <v>7</v>
      </c>
      <c r="G1015" s="35">
        <v>0</v>
      </c>
      <c r="H1015" s="35">
        <v>0</v>
      </c>
      <c r="I1015" s="35">
        <v>0</v>
      </c>
      <c r="J1015" s="35">
        <v>0</v>
      </c>
      <c r="K1015" s="35">
        <v>0</v>
      </c>
      <c r="L1015" s="36">
        <v>662.3</v>
      </c>
      <c r="M1015" s="35">
        <v>0.96</v>
      </c>
      <c r="N1015" s="21">
        <v>8.4</v>
      </c>
      <c r="O1015" s="12">
        <v>0</v>
      </c>
      <c r="P1015" s="35">
        <v>0.04</v>
      </c>
      <c r="Q1015" s="35">
        <v>60</v>
      </c>
      <c r="R1015" s="35">
        <v>300</v>
      </c>
      <c r="S1015" s="35">
        <v>35</v>
      </c>
      <c r="T1015" s="21">
        <v>0.53640776699029102</v>
      </c>
      <c r="U1015" s="21">
        <v>7.79760568649457E-2</v>
      </c>
      <c r="V1015" s="37" t="s">
        <v>6</v>
      </c>
      <c r="W1015" s="37" t="s">
        <v>6</v>
      </c>
      <c r="X1015" s="36" t="s">
        <v>6</v>
      </c>
      <c r="Y1015" s="23" t="s">
        <v>6</v>
      </c>
      <c r="Z1015" s="21" t="s">
        <v>6</v>
      </c>
      <c r="AA1015" s="35" t="s">
        <v>6</v>
      </c>
      <c r="AB1015" s="37" t="s">
        <v>1</v>
      </c>
      <c r="AC1015" s="63" t="s">
        <v>199</v>
      </c>
    </row>
    <row r="1016" spans="1:29">
      <c r="A1016" s="35" t="s">
        <v>201</v>
      </c>
      <c r="B1016" s="35" t="s">
        <v>180</v>
      </c>
      <c r="C1016" s="35" t="s">
        <v>60</v>
      </c>
      <c r="D1016" s="36">
        <v>600</v>
      </c>
      <c r="E1016" s="13">
        <v>40</v>
      </c>
      <c r="F1016" s="21">
        <v>9.3333333333333357</v>
      </c>
      <c r="G1016" s="35">
        <v>0</v>
      </c>
      <c r="H1016" s="35">
        <v>0</v>
      </c>
      <c r="I1016" s="35">
        <v>0</v>
      </c>
      <c r="J1016" s="35">
        <v>0</v>
      </c>
      <c r="K1016" s="35">
        <v>0</v>
      </c>
      <c r="L1016" s="36">
        <v>662.3</v>
      </c>
      <c r="M1016" s="35">
        <v>0.96</v>
      </c>
      <c r="N1016" s="21">
        <v>8.4</v>
      </c>
      <c r="O1016" s="12">
        <v>0</v>
      </c>
      <c r="P1016" s="35">
        <v>0.04</v>
      </c>
      <c r="Q1016" s="35">
        <v>60</v>
      </c>
      <c r="R1016" s="35">
        <v>300</v>
      </c>
      <c r="S1016" s="35">
        <v>35</v>
      </c>
      <c r="T1016" s="21">
        <v>1.1953883495145601</v>
      </c>
      <c r="U1016" s="21">
        <v>0.128203329592218</v>
      </c>
      <c r="V1016" s="37" t="s">
        <v>6</v>
      </c>
      <c r="W1016" s="37" t="s">
        <v>6</v>
      </c>
      <c r="X1016" s="36" t="s">
        <v>6</v>
      </c>
      <c r="Y1016" s="23" t="s">
        <v>6</v>
      </c>
      <c r="Z1016" s="21" t="s">
        <v>6</v>
      </c>
      <c r="AA1016" s="35" t="s">
        <v>6</v>
      </c>
      <c r="AB1016" s="37" t="s">
        <v>1</v>
      </c>
      <c r="AC1016" s="63" t="s">
        <v>199</v>
      </c>
    </row>
    <row r="1017" spans="1:29">
      <c r="A1017" s="35" t="s">
        <v>201</v>
      </c>
      <c r="B1017" s="35" t="s">
        <v>180</v>
      </c>
      <c r="C1017" s="35" t="s">
        <v>60</v>
      </c>
      <c r="D1017" s="36">
        <v>600</v>
      </c>
      <c r="E1017" s="13">
        <v>50</v>
      </c>
      <c r="F1017" s="21">
        <v>11.666666666666666</v>
      </c>
      <c r="G1017" s="35">
        <v>0</v>
      </c>
      <c r="H1017" s="35">
        <v>0</v>
      </c>
      <c r="I1017" s="35">
        <v>0</v>
      </c>
      <c r="J1017" s="35">
        <v>0</v>
      </c>
      <c r="K1017" s="35">
        <v>0</v>
      </c>
      <c r="L1017" s="36">
        <v>662.3</v>
      </c>
      <c r="M1017" s="35">
        <v>0.96</v>
      </c>
      <c r="N1017" s="21">
        <v>8.4</v>
      </c>
      <c r="O1017" s="12">
        <v>0</v>
      </c>
      <c r="P1017" s="35">
        <v>0.04</v>
      </c>
      <c r="Q1017" s="35">
        <v>60</v>
      </c>
      <c r="R1017" s="35">
        <v>300</v>
      </c>
      <c r="S1017" s="35">
        <v>35</v>
      </c>
      <c r="T1017" s="21">
        <v>1.49393203883495</v>
      </c>
      <c r="U1017" s="21">
        <v>0.127975121586232</v>
      </c>
      <c r="V1017" s="37" t="s">
        <v>6</v>
      </c>
      <c r="W1017" s="37" t="s">
        <v>6</v>
      </c>
      <c r="X1017" s="36" t="s">
        <v>6</v>
      </c>
      <c r="Y1017" s="23" t="s">
        <v>6</v>
      </c>
      <c r="Z1017" s="21" t="s">
        <v>6</v>
      </c>
      <c r="AA1017" s="35" t="s">
        <v>6</v>
      </c>
      <c r="AB1017" s="37" t="s">
        <v>1</v>
      </c>
      <c r="AC1017" s="63" t="s">
        <v>199</v>
      </c>
    </row>
    <row r="1018" spans="1:29">
      <c r="A1018" s="35" t="s">
        <v>201</v>
      </c>
      <c r="B1018" s="35" t="s">
        <v>180</v>
      </c>
      <c r="C1018" s="35" t="s">
        <v>60</v>
      </c>
      <c r="D1018" s="36">
        <v>600</v>
      </c>
      <c r="E1018" s="13">
        <v>60</v>
      </c>
      <c r="F1018" s="21">
        <v>14</v>
      </c>
      <c r="G1018" s="35">
        <v>0</v>
      </c>
      <c r="H1018" s="35">
        <v>0</v>
      </c>
      <c r="I1018" s="35">
        <v>0</v>
      </c>
      <c r="J1018" s="35">
        <v>0</v>
      </c>
      <c r="K1018" s="35">
        <v>0</v>
      </c>
      <c r="L1018" s="36">
        <v>662.3</v>
      </c>
      <c r="M1018" s="35">
        <v>0.96</v>
      </c>
      <c r="N1018" s="21">
        <v>8.4</v>
      </c>
      <c r="O1018" s="12">
        <v>0</v>
      </c>
      <c r="P1018" s="35">
        <v>0.04</v>
      </c>
      <c r="Q1018" s="35">
        <v>60</v>
      </c>
      <c r="R1018" s="35">
        <v>300</v>
      </c>
      <c r="S1018" s="35">
        <v>35</v>
      </c>
      <c r="T1018" s="21">
        <v>1.61225728155339</v>
      </c>
      <c r="U1018" s="21">
        <v>0.116385147774036</v>
      </c>
      <c r="V1018" s="37" t="s">
        <v>6</v>
      </c>
      <c r="W1018" s="37" t="s">
        <v>6</v>
      </c>
      <c r="X1018" s="36" t="s">
        <v>6</v>
      </c>
      <c r="Y1018" s="23" t="s">
        <v>6</v>
      </c>
      <c r="Z1018" s="21" t="s">
        <v>6</v>
      </c>
      <c r="AA1018" s="35" t="s">
        <v>6</v>
      </c>
      <c r="AB1018" s="37" t="s">
        <v>1</v>
      </c>
      <c r="AC1018" s="63" t="s">
        <v>199</v>
      </c>
    </row>
    <row r="1019" spans="1:29">
      <c r="A1019" s="35" t="s">
        <v>201</v>
      </c>
      <c r="B1019" s="35" t="s">
        <v>180</v>
      </c>
      <c r="C1019" s="35" t="s">
        <v>60</v>
      </c>
      <c r="D1019" s="36">
        <v>600</v>
      </c>
      <c r="E1019" s="13">
        <v>70</v>
      </c>
      <c r="F1019" s="21">
        <v>16.333333333333329</v>
      </c>
      <c r="G1019" s="35">
        <v>0</v>
      </c>
      <c r="H1019" s="35">
        <v>0</v>
      </c>
      <c r="I1019" s="35">
        <v>0</v>
      </c>
      <c r="J1019" s="35">
        <v>0</v>
      </c>
      <c r="K1019" s="35">
        <v>0</v>
      </c>
      <c r="L1019" s="36">
        <v>662.3</v>
      </c>
      <c r="M1019" s="35">
        <v>0.96</v>
      </c>
      <c r="N1019" s="21">
        <v>8.4</v>
      </c>
      <c r="O1019" s="12">
        <v>0</v>
      </c>
      <c r="P1019" s="35">
        <v>0.04</v>
      </c>
      <c r="Q1019" s="35">
        <v>60</v>
      </c>
      <c r="R1019" s="35">
        <v>300</v>
      </c>
      <c r="S1019" s="35">
        <v>35</v>
      </c>
      <c r="T1019" s="21">
        <v>1.9126213592232999</v>
      </c>
      <c r="U1019" s="21">
        <v>0.11706509539842801</v>
      </c>
      <c r="V1019" s="37" t="s">
        <v>6</v>
      </c>
      <c r="W1019" s="37" t="s">
        <v>6</v>
      </c>
      <c r="X1019" s="36">
        <v>110</v>
      </c>
      <c r="Y1019" s="23" t="s">
        <v>6</v>
      </c>
      <c r="Z1019" s="21">
        <v>7.2234762979684035</v>
      </c>
      <c r="AA1019" s="35">
        <v>5</v>
      </c>
      <c r="AB1019" s="37" t="s">
        <v>1</v>
      </c>
      <c r="AC1019" s="63" t="s">
        <v>199</v>
      </c>
    </row>
    <row r="1020" spans="1:29">
      <c r="A1020" s="35" t="s">
        <v>201</v>
      </c>
      <c r="B1020" s="35" t="s">
        <v>180</v>
      </c>
      <c r="C1020" s="35" t="s">
        <v>60</v>
      </c>
      <c r="D1020" s="36">
        <v>600</v>
      </c>
      <c r="E1020" s="13">
        <v>70</v>
      </c>
      <c r="F1020" s="21">
        <v>16.333333333333329</v>
      </c>
      <c r="G1020" s="35">
        <v>0</v>
      </c>
      <c r="H1020" s="35">
        <v>0</v>
      </c>
      <c r="I1020" s="35">
        <v>0</v>
      </c>
      <c r="J1020" s="35">
        <v>0</v>
      </c>
      <c r="K1020" s="35">
        <v>0</v>
      </c>
      <c r="L1020" s="36">
        <v>662.3</v>
      </c>
      <c r="M1020" s="35">
        <v>0.96</v>
      </c>
      <c r="N1020" s="21">
        <v>8.4</v>
      </c>
      <c r="O1020" s="12">
        <v>78</v>
      </c>
      <c r="P1020" s="35">
        <v>0.04</v>
      </c>
      <c r="Q1020" s="35">
        <v>60</v>
      </c>
      <c r="R1020" s="35">
        <v>300</v>
      </c>
      <c r="S1020" s="35">
        <v>35</v>
      </c>
      <c r="T1020" s="21">
        <v>3.48</v>
      </c>
      <c r="U1020" s="21">
        <v>0.21306122448979598</v>
      </c>
      <c r="V1020" s="37" t="s">
        <v>6</v>
      </c>
      <c r="W1020" s="37" t="s">
        <v>6</v>
      </c>
      <c r="X1020" s="36" t="s">
        <v>6</v>
      </c>
      <c r="Y1020" s="23" t="s">
        <v>6</v>
      </c>
      <c r="Z1020" s="21" t="s">
        <v>6</v>
      </c>
      <c r="AA1020" s="35" t="s">
        <v>6</v>
      </c>
      <c r="AB1020" s="37" t="s">
        <v>1</v>
      </c>
      <c r="AC1020" s="63" t="s">
        <v>199</v>
      </c>
    </row>
    <row r="1021" spans="1:29">
      <c r="A1021" s="35" t="s">
        <v>201</v>
      </c>
      <c r="B1021" s="35" t="s">
        <v>180</v>
      </c>
      <c r="C1021" s="35" t="s">
        <v>60</v>
      </c>
      <c r="D1021" s="36">
        <v>600</v>
      </c>
      <c r="E1021" s="13">
        <v>80</v>
      </c>
      <c r="F1021" s="21">
        <v>18.666666666666671</v>
      </c>
      <c r="G1021" s="35">
        <v>0</v>
      </c>
      <c r="H1021" s="35">
        <v>0</v>
      </c>
      <c r="I1021" s="35">
        <v>0</v>
      </c>
      <c r="J1021" s="35">
        <v>0</v>
      </c>
      <c r="K1021" s="35">
        <v>0</v>
      </c>
      <c r="L1021" s="36">
        <v>662.3</v>
      </c>
      <c r="M1021" s="35">
        <v>0.96</v>
      </c>
      <c r="N1021" s="21">
        <v>8.4</v>
      </c>
      <c r="O1021" s="12">
        <v>0</v>
      </c>
      <c r="P1021" s="35">
        <v>0.04</v>
      </c>
      <c r="Q1021" s="35">
        <v>60</v>
      </c>
      <c r="R1021" s="35">
        <v>300</v>
      </c>
      <c r="S1021" s="35">
        <v>35</v>
      </c>
      <c r="T1021" s="21">
        <v>9.5873786407766698E-2</v>
      </c>
      <c r="U1021" s="21">
        <v>8.6569397680509308E-3</v>
      </c>
      <c r="V1021" s="37" t="s">
        <v>6</v>
      </c>
      <c r="W1021" s="37" t="s">
        <v>6</v>
      </c>
      <c r="X1021" s="36" t="s">
        <v>6</v>
      </c>
      <c r="Y1021" s="23" t="s">
        <v>6</v>
      </c>
      <c r="Z1021" s="21" t="s">
        <v>6</v>
      </c>
      <c r="AA1021" s="35" t="s">
        <v>6</v>
      </c>
      <c r="AB1021" s="37" t="s">
        <v>1</v>
      </c>
      <c r="AC1021" s="63" t="s">
        <v>199</v>
      </c>
    </row>
    <row r="1022" spans="1:29">
      <c r="A1022" s="35" t="s">
        <v>204</v>
      </c>
      <c r="B1022" s="35" t="s">
        <v>161</v>
      </c>
      <c r="C1022" s="35" t="s">
        <v>60</v>
      </c>
      <c r="D1022" s="36">
        <v>600</v>
      </c>
      <c r="E1022" s="12">
        <v>20</v>
      </c>
      <c r="F1022" s="21">
        <f t="shared" ref="F1022:F1043" si="69">T1022/U1022</f>
        <v>4.6923076923076916</v>
      </c>
      <c r="G1022" s="35">
        <v>0</v>
      </c>
      <c r="H1022" s="35">
        <v>0</v>
      </c>
      <c r="I1022" s="35">
        <v>0</v>
      </c>
      <c r="J1022" s="35">
        <v>0</v>
      </c>
      <c r="K1022" s="35">
        <v>0</v>
      </c>
      <c r="L1022" s="36">
        <v>967.74193548387098</v>
      </c>
      <c r="M1022" s="35">
        <v>1.5</v>
      </c>
      <c r="N1022" s="21">
        <v>6.2</v>
      </c>
      <c r="O1022" s="12">
        <v>0</v>
      </c>
      <c r="P1022" s="35">
        <v>10</v>
      </c>
      <c r="Q1022" s="35" t="s">
        <v>6</v>
      </c>
      <c r="R1022" s="35">
        <v>180</v>
      </c>
      <c r="S1022" s="35">
        <v>30</v>
      </c>
      <c r="T1022" s="35">
        <v>0.61</v>
      </c>
      <c r="U1022" s="21">
        <v>0.13</v>
      </c>
      <c r="V1022" s="37" t="s">
        <v>6</v>
      </c>
      <c r="W1022" s="37" t="s">
        <v>6</v>
      </c>
      <c r="X1022" s="37" t="s">
        <v>6</v>
      </c>
      <c r="Y1022" s="23" t="s">
        <v>6</v>
      </c>
      <c r="Z1022" s="21" t="s">
        <v>6</v>
      </c>
      <c r="AA1022" s="37" t="s">
        <v>6</v>
      </c>
      <c r="AB1022" s="37" t="s">
        <v>1</v>
      </c>
      <c r="AC1022" s="1" t="s">
        <v>203</v>
      </c>
    </row>
    <row r="1023" spans="1:29">
      <c r="A1023" s="35" t="s">
        <v>204</v>
      </c>
      <c r="B1023" s="35" t="s">
        <v>161</v>
      </c>
      <c r="C1023" s="35" t="s">
        <v>60</v>
      </c>
      <c r="D1023" s="36">
        <v>600</v>
      </c>
      <c r="E1023" s="12">
        <v>30</v>
      </c>
      <c r="F1023" s="21">
        <f t="shared" si="69"/>
        <v>6.7</v>
      </c>
      <c r="G1023" s="35">
        <v>0</v>
      </c>
      <c r="H1023" s="35">
        <v>0</v>
      </c>
      <c r="I1023" s="35">
        <v>0</v>
      </c>
      <c r="J1023" s="35">
        <v>0</v>
      </c>
      <c r="K1023" s="35">
        <v>0</v>
      </c>
      <c r="L1023" s="36">
        <v>967.74193548387098</v>
      </c>
      <c r="M1023" s="35">
        <v>1.5</v>
      </c>
      <c r="N1023" s="21">
        <v>6.2</v>
      </c>
      <c r="O1023" s="12">
        <v>0</v>
      </c>
      <c r="P1023" s="35">
        <v>10</v>
      </c>
      <c r="Q1023" s="35" t="s">
        <v>6</v>
      </c>
      <c r="R1023" s="35">
        <v>180</v>
      </c>
      <c r="S1023" s="35">
        <v>30</v>
      </c>
      <c r="T1023" s="35">
        <v>1.34</v>
      </c>
      <c r="U1023" s="21">
        <v>0.2</v>
      </c>
      <c r="V1023" s="37" t="s">
        <v>6</v>
      </c>
      <c r="W1023" s="37" t="s">
        <v>6</v>
      </c>
      <c r="X1023" s="36" t="s">
        <v>6</v>
      </c>
      <c r="Y1023" s="23" t="s">
        <v>6</v>
      </c>
      <c r="Z1023" s="21" t="s">
        <v>6</v>
      </c>
      <c r="AA1023" s="23" t="s">
        <v>6</v>
      </c>
      <c r="AB1023" s="37" t="s">
        <v>1</v>
      </c>
      <c r="AC1023" s="27" t="s">
        <v>202</v>
      </c>
    </row>
    <row r="1024" spans="1:29">
      <c r="A1024" s="35" t="s">
        <v>204</v>
      </c>
      <c r="B1024" s="35" t="s">
        <v>161</v>
      </c>
      <c r="C1024" s="35" t="s">
        <v>60</v>
      </c>
      <c r="D1024" s="36">
        <v>600</v>
      </c>
      <c r="E1024" s="12">
        <v>40</v>
      </c>
      <c r="F1024" s="21">
        <f t="shared" si="69"/>
        <v>9.1111111111111107</v>
      </c>
      <c r="G1024" s="35">
        <v>0</v>
      </c>
      <c r="H1024" s="35">
        <v>0</v>
      </c>
      <c r="I1024" s="35">
        <v>0</v>
      </c>
      <c r="J1024" s="35">
        <v>0</v>
      </c>
      <c r="K1024" s="35">
        <v>0</v>
      </c>
      <c r="L1024" s="36">
        <v>967.74193548387098</v>
      </c>
      <c r="M1024" s="35">
        <v>1.5</v>
      </c>
      <c r="N1024" s="21">
        <v>6.2</v>
      </c>
      <c r="O1024" s="12">
        <v>0</v>
      </c>
      <c r="P1024" s="35">
        <v>10</v>
      </c>
      <c r="Q1024" s="35" t="s">
        <v>6</v>
      </c>
      <c r="R1024" s="35">
        <v>180</v>
      </c>
      <c r="S1024" s="35">
        <v>30</v>
      </c>
      <c r="T1024" s="35">
        <v>1.64</v>
      </c>
      <c r="U1024" s="21">
        <v>0.18</v>
      </c>
      <c r="V1024" s="37" t="s">
        <v>6</v>
      </c>
      <c r="W1024" s="37" t="s">
        <v>6</v>
      </c>
      <c r="X1024" s="36" t="s">
        <v>6</v>
      </c>
      <c r="Y1024" s="23" t="s">
        <v>6</v>
      </c>
      <c r="Z1024" s="21" t="s">
        <v>6</v>
      </c>
      <c r="AA1024" s="23" t="s">
        <v>6</v>
      </c>
      <c r="AB1024" s="37" t="s">
        <v>1</v>
      </c>
      <c r="AC1024" s="1" t="s">
        <v>203</v>
      </c>
    </row>
    <row r="1025" spans="1:29">
      <c r="A1025" s="35" t="s">
        <v>204</v>
      </c>
      <c r="B1025" s="35" t="s">
        <v>161</v>
      </c>
      <c r="C1025" s="35" t="s">
        <v>60</v>
      </c>
      <c r="D1025" s="36">
        <v>600</v>
      </c>
      <c r="E1025" s="12">
        <v>50</v>
      </c>
      <c r="F1025" s="21">
        <f t="shared" si="69"/>
        <v>11.5</v>
      </c>
      <c r="G1025" s="35">
        <v>0</v>
      </c>
      <c r="H1025" s="35">
        <v>0</v>
      </c>
      <c r="I1025" s="35">
        <v>0</v>
      </c>
      <c r="J1025" s="35">
        <v>0</v>
      </c>
      <c r="K1025" s="35">
        <v>0</v>
      </c>
      <c r="L1025" s="36">
        <v>967.74193548387098</v>
      </c>
      <c r="M1025" s="35">
        <v>1.5</v>
      </c>
      <c r="N1025" s="21">
        <v>6.2</v>
      </c>
      <c r="O1025" s="12">
        <v>0</v>
      </c>
      <c r="P1025" s="35">
        <v>10</v>
      </c>
      <c r="Q1025" s="35" t="s">
        <v>6</v>
      </c>
      <c r="R1025" s="35">
        <v>180</v>
      </c>
      <c r="S1025" s="35">
        <v>30</v>
      </c>
      <c r="T1025" s="35">
        <v>1.84</v>
      </c>
      <c r="U1025" s="21">
        <v>0.16</v>
      </c>
      <c r="V1025" s="37" t="s">
        <v>6</v>
      </c>
      <c r="W1025" s="37" t="s">
        <v>6</v>
      </c>
      <c r="X1025" s="36" t="s">
        <v>6</v>
      </c>
      <c r="Y1025" s="23" t="s">
        <v>6</v>
      </c>
      <c r="Z1025" s="21" t="s">
        <v>6</v>
      </c>
      <c r="AA1025" s="23" t="s">
        <v>6</v>
      </c>
      <c r="AB1025" s="37" t="s">
        <v>1</v>
      </c>
      <c r="AC1025" s="1" t="s">
        <v>203</v>
      </c>
    </row>
    <row r="1026" spans="1:29">
      <c r="A1026" s="35" t="s">
        <v>204</v>
      </c>
      <c r="B1026" s="35" t="s">
        <v>161</v>
      </c>
      <c r="C1026" s="35" t="s">
        <v>60</v>
      </c>
      <c r="D1026" s="36">
        <v>600</v>
      </c>
      <c r="E1026" s="12">
        <v>60</v>
      </c>
      <c r="F1026" s="21">
        <f t="shared" si="69"/>
        <v>13.857142857142856</v>
      </c>
      <c r="G1026" s="35">
        <v>0</v>
      </c>
      <c r="H1026" s="35">
        <v>0</v>
      </c>
      <c r="I1026" s="35">
        <v>0</v>
      </c>
      <c r="J1026" s="35">
        <v>0</v>
      </c>
      <c r="K1026" s="35">
        <v>0</v>
      </c>
      <c r="L1026" s="36">
        <v>967.74193548387098</v>
      </c>
      <c r="M1026" s="35">
        <v>1.5</v>
      </c>
      <c r="N1026" s="21">
        <v>6.2</v>
      </c>
      <c r="O1026" s="12">
        <v>0</v>
      </c>
      <c r="P1026" s="35">
        <v>10</v>
      </c>
      <c r="Q1026" s="35" t="s">
        <v>6</v>
      </c>
      <c r="R1026" s="35">
        <v>180</v>
      </c>
      <c r="S1026" s="35">
        <v>30</v>
      </c>
      <c r="T1026" s="35">
        <v>1.94</v>
      </c>
      <c r="U1026" s="21">
        <v>0.14000000000000001</v>
      </c>
      <c r="V1026" s="37" t="s">
        <v>6</v>
      </c>
      <c r="W1026" s="37" t="s">
        <v>6</v>
      </c>
      <c r="X1026" s="36" t="s">
        <v>6</v>
      </c>
      <c r="Y1026" s="23" t="s">
        <v>6</v>
      </c>
      <c r="Z1026" s="21" t="s">
        <v>6</v>
      </c>
      <c r="AA1026" s="23" t="s">
        <v>6</v>
      </c>
      <c r="AB1026" s="37" t="s">
        <v>1</v>
      </c>
      <c r="AC1026" s="1" t="s">
        <v>203</v>
      </c>
    </row>
    <row r="1027" spans="1:29">
      <c r="A1027" s="35" t="s">
        <v>204</v>
      </c>
      <c r="B1027" s="35" t="s">
        <v>161</v>
      </c>
      <c r="C1027" s="35" t="s">
        <v>60</v>
      </c>
      <c r="D1027" s="36">
        <v>600</v>
      </c>
      <c r="E1027" s="12">
        <v>65</v>
      </c>
      <c r="F1027" s="21">
        <f t="shared" si="69"/>
        <v>14.866666666666667</v>
      </c>
      <c r="G1027" s="35">
        <v>0</v>
      </c>
      <c r="H1027" s="35">
        <v>0</v>
      </c>
      <c r="I1027" s="35">
        <v>0</v>
      </c>
      <c r="J1027" s="35">
        <v>0</v>
      </c>
      <c r="K1027" s="35">
        <v>0</v>
      </c>
      <c r="L1027" s="36">
        <v>967.74193548387098</v>
      </c>
      <c r="M1027" s="35">
        <v>1.5</v>
      </c>
      <c r="N1027" s="21">
        <v>6.2</v>
      </c>
      <c r="O1027" s="12">
        <v>0</v>
      </c>
      <c r="P1027" s="35">
        <v>10</v>
      </c>
      <c r="Q1027" s="35" t="s">
        <v>6</v>
      </c>
      <c r="R1027" s="35">
        <v>180</v>
      </c>
      <c r="S1027" s="35">
        <v>30</v>
      </c>
      <c r="T1027" s="35">
        <v>2.23</v>
      </c>
      <c r="U1027" s="21">
        <v>0.15</v>
      </c>
      <c r="V1027" s="37">
        <v>0.38</v>
      </c>
      <c r="W1027" s="37">
        <v>43.3</v>
      </c>
      <c r="X1027" s="36">
        <v>90</v>
      </c>
      <c r="Y1027" s="23" t="s">
        <v>6</v>
      </c>
      <c r="Z1027" s="21">
        <v>3.1531531531531654</v>
      </c>
      <c r="AA1027" s="35">
        <v>5</v>
      </c>
      <c r="AB1027" s="37" t="s">
        <v>1</v>
      </c>
      <c r="AC1027" s="1" t="s">
        <v>203</v>
      </c>
    </row>
    <row r="1028" spans="1:29">
      <c r="A1028" s="35" t="s">
        <v>204</v>
      </c>
      <c r="B1028" s="35" t="s">
        <v>161</v>
      </c>
      <c r="C1028" s="35" t="s">
        <v>60</v>
      </c>
      <c r="D1028" s="36">
        <v>600</v>
      </c>
      <c r="E1028" s="12">
        <v>65</v>
      </c>
      <c r="F1028" s="21">
        <f t="shared" si="69"/>
        <v>14.870000000000001</v>
      </c>
      <c r="G1028" s="35">
        <v>0</v>
      </c>
      <c r="H1028" s="35">
        <v>0</v>
      </c>
      <c r="I1028" s="35">
        <v>0</v>
      </c>
      <c r="J1028" s="35">
        <v>0</v>
      </c>
      <c r="K1028" s="35">
        <v>0</v>
      </c>
      <c r="L1028" s="36">
        <v>967.74193548387098</v>
      </c>
      <c r="M1028" s="35">
        <v>1.5</v>
      </c>
      <c r="N1028" s="21">
        <v>6.2</v>
      </c>
      <c r="O1028" s="12">
        <v>0</v>
      </c>
      <c r="P1028" s="35">
        <v>0.04</v>
      </c>
      <c r="Q1028" s="35" t="s">
        <v>6</v>
      </c>
      <c r="R1028" s="35">
        <v>180</v>
      </c>
      <c r="S1028" s="35">
        <v>30</v>
      </c>
      <c r="T1028" s="35">
        <v>1.95</v>
      </c>
      <c r="U1028" s="21">
        <v>0.13113651647612642</v>
      </c>
      <c r="V1028" s="37">
        <v>36.5</v>
      </c>
      <c r="W1028" s="37">
        <v>83.2</v>
      </c>
      <c r="X1028" s="36">
        <v>90</v>
      </c>
      <c r="Y1028" s="23" t="s">
        <v>6</v>
      </c>
      <c r="Z1028" s="21">
        <v>3.5874439461883441</v>
      </c>
      <c r="AA1028" s="35">
        <v>5</v>
      </c>
      <c r="AB1028" s="37" t="s">
        <v>1</v>
      </c>
      <c r="AC1028" s="1" t="s">
        <v>203</v>
      </c>
    </row>
    <row r="1029" spans="1:29">
      <c r="A1029" s="35" t="s">
        <v>204</v>
      </c>
      <c r="B1029" s="35" t="s">
        <v>161</v>
      </c>
      <c r="C1029" s="35" t="s">
        <v>60</v>
      </c>
      <c r="D1029" s="36">
        <v>600</v>
      </c>
      <c r="E1029" s="12">
        <v>65</v>
      </c>
      <c r="F1029" s="21">
        <f t="shared" si="69"/>
        <v>14.870000000000001</v>
      </c>
      <c r="G1029" s="35">
        <v>0</v>
      </c>
      <c r="H1029" s="35">
        <v>0</v>
      </c>
      <c r="I1029" s="35">
        <v>0</v>
      </c>
      <c r="J1029" s="35">
        <v>0</v>
      </c>
      <c r="K1029" s="35">
        <v>0</v>
      </c>
      <c r="L1029" s="36">
        <v>967.74193548387098</v>
      </c>
      <c r="M1029" s="35">
        <v>1.5</v>
      </c>
      <c r="N1029" s="21">
        <v>6.2</v>
      </c>
      <c r="O1029" s="12">
        <v>10</v>
      </c>
      <c r="P1029" s="35">
        <v>0.04</v>
      </c>
      <c r="Q1029" s="35" t="s">
        <v>6</v>
      </c>
      <c r="R1029" s="35">
        <v>180</v>
      </c>
      <c r="S1029" s="35">
        <v>30</v>
      </c>
      <c r="T1029" s="35">
        <v>2.81</v>
      </c>
      <c r="U1029" s="21">
        <v>0.18897108271687962</v>
      </c>
      <c r="V1029" s="37">
        <v>49.8</v>
      </c>
      <c r="W1029" s="37">
        <v>110</v>
      </c>
      <c r="X1029" s="36" t="s">
        <v>6</v>
      </c>
      <c r="Y1029" s="23" t="s">
        <v>6</v>
      </c>
      <c r="Z1029" s="21" t="s">
        <v>6</v>
      </c>
      <c r="AA1029" s="23" t="s">
        <v>6</v>
      </c>
      <c r="AB1029" s="37" t="s">
        <v>1</v>
      </c>
      <c r="AC1029" s="27" t="s">
        <v>202</v>
      </c>
    </row>
    <row r="1030" spans="1:29">
      <c r="A1030" s="35" t="s">
        <v>204</v>
      </c>
      <c r="B1030" s="35" t="s">
        <v>161</v>
      </c>
      <c r="C1030" s="35" t="s">
        <v>60</v>
      </c>
      <c r="D1030" s="36">
        <v>600</v>
      </c>
      <c r="E1030" s="12">
        <v>65</v>
      </c>
      <c r="F1030" s="21">
        <f t="shared" si="69"/>
        <v>14.87</v>
      </c>
      <c r="G1030" s="35">
        <v>0</v>
      </c>
      <c r="H1030" s="35">
        <v>0</v>
      </c>
      <c r="I1030" s="35">
        <v>0</v>
      </c>
      <c r="J1030" s="35">
        <v>0</v>
      </c>
      <c r="K1030" s="35">
        <v>0</v>
      </c>
      <c r="L1030" s="36">
        <v>967.74193548387098</v>
      </c>
      <c r="M1030" s="35">
        <v>1.5</v>
      </c>
      <c r="N1030" s="21">
        <v>6.2</v>
      </c>
      <c r="O1030" s="12">
        <v>25</v>
      </c>
      <c r="P1030" s="35">
        <v>0.04</v>
      </c>
      <c r="Q1030" s="35" t="s">
        <v>6</v>
      </c>
      <c r="R1030" s="35">
        <v>180</v>
      </c>
      <c r="S1030" s="35">
        <v>30</v>
      </c>
      <c r="T1030" s="35">
        <v>3.33</v>
      </c>
      <c r="U1030" s="21">
        <v>0.22394082044384669</v>
      </c>
      <c r="V1030" s="37">
        <v>55.2</v>
      </c>
      <c r="W1030" s="37">
        <v>125.6</v>
      </c>
      <c r="X1030" s="36" t="s">
        <v>6</v>
      </c>
      <c r="Y1030" s="23" t="s">
        <v>6</v>
      </c>
      <c r="Z1030" s="21" t="s">
        <v>6</v>
      </c>
      <c r="AA1030" s="23" t="s">
        <v>6</v>
      </c>
      <c r="AB1030" s="37" t="s">
        <v>1</v>
      </c>
      <c r="AC1030" s="27" t="s">
        <v>202</v>
      </c>
    </row>
    <row r="1031" spans="1:29">
      <c r="A1031" s="35" t="s">
        <v>204</v>
      </c>
      <c r="B1031" s="35" t="s">
        <v>161</v>
      </c>
      <c r="C1031" s="35" t="s">
        <v>60</v>
      </c>
      <c r="D1031" s="36">
        <v>600</v>
      </c>
      <c r="E1031" s="12">
        <v>65</v>
      </c>
      <c r="F1031" s="21">
        <f t="shared" si="69"/>
        <v>14.87</v>
      </c>
      <c r="G1031" s="35">
        <v>0</v>
      </c>
      <c r="H1031" s="35">
        <v>0</v>
      </c>
      <c r="I1031" s="35">
        <v>0</v>
      </c>
      <c r="J1031" s="35">
        <v>0</v>
      </c>
      <c r="K1031" s="35">
        <v>0</v>
      </c>
      <c r="L1031" s="36">
        <v>967.74193548387098</v>
      </c>
      <c r="M1031" s="35">
        <v>1.5</v>
      </c>
      <c r="N1031" s="21">
        <v>6.2</v>
      </c>
      <c r="O1031" s="12">
        <v>37.5</v>
      </c>
      <c r="P1031" s="35">
        <v>0.04</v>
      </c>
      <c r="Q1031" s="35" t="s">
        <v>6</v>
      </c>
      <c r="R1031" s="35">
        <v>180</v>
      </c>
      <c r="S1031" s="35">
        <v>30</v>
      </c>
      <c r="T1031" s="35">
        <v>3.11</v>
      </c>
      <c r="U1031" s="21">
        <v>0.20914593140551446</v>
      </c>
      <c r="V1031" s="37">
        <v>56.5</v>
      </c>
      <c r="W1031" s="37">
        <v>126.1</v>
      </c>
      <c r="X1031" s="36" t="s">
        <v>6</v>
      </c>
      <c r="Y1031" s="23" t="s">
        <v>6</v>
      </c>
      <c r="Z1031" s="21" t="s">
        <v>6</v>
      </c>
      <c r="AA1031" s="23" t="s">
        <v>6</v>
      </c>
      <c r="AB1031" s="37" t="s">
        <v>1</v>
      </c>
      <c r="AC1031" s="1" t="s">
        <v>203</v>
      </c>
    </row>
    <row r="1032" spans="1:29">
      <c r="A1032" s="35" t="s">
        <v>204</v>
      </c>
      <c r="B1032" s="35" t="s">
        <v>161</v>
      </c>
      <c r="C1032" s="35" t="s">
        <v>60</v>
      </c>
      <c r="D1032" s="36">
        <v>600</v>
      </c>
      <c r="E1032" s="12">
        <v>70</v>
      </c>
      <c r="F1032" s="21">
        <f t="shared" si="69"/>
        <v>16.076923076923077</v>
      </c>
      <c r="G1032" s="35">
        <v>0</v>
      </c>
      <c r="H1032" s="35">
        <v>0</v>
      </c>
      <c r="I1032" s="35">
        <v>0</v>
      </c>
      <c r="J1032" s="35">
        <v>0</v>
      </c>
      <c r="K1032" s="35">
        <v>0</v>
      </c>
      <c r="L1032" s="36">
        <v>967.74193548387098</v>
      </c>
      <c r="M1032" s="35">
        <v>1.5</v>
      </c>
      <c r="N1032" s="21">
        <v>6.2</v>
      </c>
      <c r="O1032" s="12">
        <v>0</v>
      </c>
      <c r="P1032" s="35">
        <v>10</v>
      </c>
      <c r="Q1032" s="35" t="s">
        <v>6</v>
      </c>
      <c r="R1032" s="35">
        <v>180</v>
      </c>
      <c r="S1032" s="35">
        <v>30</v>
      </c>
      <c r="T1032" s="35">
        <v>2.09</v>
      </c>
      <c r="U1032" s="21">
        <v>0.13</v>
      </c>
      <c r="V1032" s="37" t="s">
        <v>6</v>
      </c>
      <c r="W1032" s="37" t="s">
        <v>6</v>
      </c>
      <c r="X1032" s="36" t="s">
        <v>6</v>
      </c>
      <c r="Y1032" s="23" t="s">
        <v>6</v>
      </c>
      <c r="Z1032" s="21" t="s">
        <v>6</v>
      </c>
      <c r="AA1032" s="23" t="s">
        <v>6</v>
      </c>
      <c r="AB1032" s="37" t="s">
        <v>1</v>
      </c>
      <c r="AC1032" s="1" t="s">
        <v>203</v>
      </c>
    </row>
    <row r="1033" spans="1:29">
      <c r="A1033" s="35" t="s">
        <v>8</v>
      </c>
      <c r="B1033" s="35" t="s">
        <v>161</v>
      </c>
      <c r="C1033" s="35" t="s">
        <v>60</v>
      </c>
      <c r="D1033" s="35">
        <v>600</v>
      </c>
      <c r="E1033" s="12">
        <v>10</v>
      </c>
      <c r="F1033" s="21">
        <f t="shared" si="69"/>
        <v>2.3846153846153846</v>
      </c>
      <c r="G1033" s="35">
        <v>0</v>
      </c>
      <c r="H1033" s="35">
        <v>0</v>
      </c>
      <c r="I1033" s="35">
        <v>0</v>
      </c>
      <c r="J1033" s="35">
        <v>0</v>
      </c>
      <c r="K1033" s="35">
        <v>0</v>
      </c>
      <c r="L1033" s="36">
        <v>587.87878787878788</v>
      </c>
      <c r="M1033" s="35">
        <v>0.97</v>
      </c>
      <c r="N1033" s="35">
        <v>6.6</v>
      </c>
      <c r="O1033" s="12">
        <v>0</v>
      </c>
      <c r="P1033" s="35">
        <v>10</v>
      </c>
      <c r="Q1033" s="35" t="s">
        <v>1</v>
      </c>
      <c r="R1033" s="35">
        <v>180</v>
      </c>
      <c r="S1033" s="35">
        <v>30</v>
      </c>
      <c r="T1033" s="21">
        <v>0.31</v>
      </c>
      <c r="U1033" s="21">
        <v>0.13</v>
      </c>
      <c r="V1033" s="37" t="s">
        <v>6</v>
      </c>
      <c r="W1033" s="37" t="s">
        <v>6</v>
      </c>
      <c r="X1033" s="36" t="s">
        <v>6</v>
      </c>
      <c r="Y1033" s="23" t="s">
        <v>6</v>
      </c>
      <c r="Z1033" s="21" t="s">
        <v>6</v>
      </c>
      <c r="AA1033" s="23" t="s">
        <v>6</v>
      </c>
      <c r="AB1033" s="37" t="s">
        <v>1</v>
      </c>
      <c r="AC1033" s="1" t="s">
        <v>203</v>
      </c>
    </row>
    <row r="1034" spans="1:29">
      <c r="A1034" s="35" t="s">
        <v>8</v>
      </c>
      <c r="B1034" s="35" t="s">
        <v>161</v>
      </c>
      <c r="C1034" s="35" t="s">
        <v>60</v>
      </c>
      <c r="D1034" s="35">
        <v>600</v>
      </c>
      <c r="E1034" s="12">
        <v>30</v>
      </c>
      <c r="F1034" s="21">
        <f t="shared" si="69"/>
        <v>6.9999999999999991</v>
      </c>
      <c r="G1034" s="35">
        <v>0</v>
      </c>
      <c r="H1034" s="35">
        <v>0</v>
      </c>
      <c r="I1034" s="35">
        <v>0</v>
      </c>
      <c r="J1034" s="35">
        <v>0</v>
      </c>
      <c r="K1034" s="35">
        <v>0</v>
      </c>
      <c r="L1034" s="36">
        <v>587.87878787878788</v>
      </c>
      <c r="M1034" s="35">
        <v>0.97</v>
      </c>
      <c r="N1034" s="35">
        <v>6.6</v>
      </c>
      <c r="O1034" s="12">
        <v>0</v>
      </c>
      <c r="P1034" s="35">
        <v>10</v>
      </c>
      <c r="Q1034" s="35" t="s">
        <v>1</v>
      </c>
      <c r="R1034" s="35">
        <v>180</v>
      </c>
      <c r="S1034" s="35">
        <v>30</v>
      </c>
      <c r="T1034" s="21">
        <v>0.49</v>
      </c>
      <c r="U1034" s="21">
        <v>7.0000000000000007E-2</v>
      </c>
      <c r="V1034" s="37" t="s">
        <v>6</v>
      </c>
      <c r="W1034" s="37" t="s">
        <v>6</v>
      </c>
      <c r="X1034" s="36" t="s">
        <v>6</v>
      </c>
      <c r="Y1034" s="23" t="s">
        <v>6</v>
      </c>
      <c r="Z1034" s="21" t="s">
        <v>6</v>
      </c>
      <c r="AA1034" s="23" t="s">
        <v>6</v>
      </c>
      <c r="AB1034" s="37" t="s">
        <v>1</v>
      </c>
      <c r="AC1034" s="2" t="s">
        <v>203</v>
      </c>
    </row>
    <row r="1035" spans="1:29">
      <c r="A1035" s="35" t="s">
        <v>8</v>
      </c>
      <c r="B1035" s="35" t="s">
        <v>161</v>
      </c>
      <c r="C1035" s="35" t="s">
        <v>60</v>
      </c>
      <c r="D1035" s="35">
        <v>600</v>
      </c>
      <c r="E1035" s="12">
        <v>40</v>
      </c>
      <c r="F1035" s="21">
        <f t="shared" si="69"/>
        <v>9.0000000000000018</v>
      </c>
      <c r="G1035" s="35">
        <v>0</v>
      </c>
      <c r="H1035" s="35">
        <v>0</v>
      </c>
      <c r="I1035" s="35">
        <v>0</v>
      </c>
      <c r="J1035" s="35">
        <v>0</v>
      </c>
      <c r="K1035" s="35">
        <v>0</v>
      </c>
      <c r="L1035" s="36">
        <v>587.87878787878788</v>
      </c>
      <c r="M1035" s="35">
        <v>0.97</v>
      </c>
      <c r="N1035" s="35">
        <v>6.6</v>
      </c>
      <c r="O1035" s="12">
        <v>0</v>
      </c>
      <c r="P1035" s="35">
        <v>10</v>
      </c>
      <c r="Q1035" s="35" t="s">
        <v>1</v>
      </c>
      <c r="R1035" s="35">
        <v>180</v>
      </c>
      <c r="S1035" s="35">
        <v>30</v>
      </c>
      <c r="T1035" s="21">
        <v>1.08</v>
      </c>
      <c r="U1035" s="21">
        <v>0.12</v>
      </c>
      <c r="V1035" s="37" t="s">
        <v>6</v>
      </c>
      <c r="W1035" s="37" t="s">
        <v>6</v>
      </c>
      <c r="X1035" s="36" t="s">
        <v>6</v>
      </c>
      <c r="Y1035" s="23" t="s">
        <v>6</v>
      </c>
      <c r="Z1035" s="21" t="s">
        <v>6</v>
      </c>
      <c r="AA1035" s="23" t="s">
        <v>6</v>
      </c>
      <c r="AB1035" s="37" t="s">
        <v>1</v>
      </c>
      <c r="AC1035" s="9" t="s">
        <v>203</v>
      </c>
    </row>
    <row r="1036" spans="1:29">
      <c r="A1036" s="35" t="s">
        <v>8</v>
      </c>
      <c r="B1036" s="35" t="s">
        <v>161</v>
      </c>
      <c r="C1036" s="35" t="s">
        <v>60</v>
      </c>
      <c r="D1036" s="35">
        <v>600</v>
      </c>
      <c r="E1036" s="12">
        <v>50</v>
      </c>
      <c r="F1036" s="21">
        <f t="shared" si="69"/>
        <v>10.833333333333334</v>
      </c>
      <c r="G1036" s="35">
        <v>0</v>
      </c>
      <c r="H1036" s="35">
        <v>0</v>
      </c>
      <c r="I1036" s="35">
        <v>0</v>
      </c>
      <c r="J1036" s="35">
        <v>0</v>
      </c>
      <c r="K1036" s="35">
        <v>0</v>
      </c>
      <c r="L1036" s="36">
        <v>587.87878787878788</v>
      </c>
      <c r="M1036" s="35">
        <v>0.97</v>
      </c>
      <c r="N1036" s="35">
        <v>6.6</v>
      </c>
      <c r="O1036" s="12">
        <v>0</v>
      </c>
      <c r="P1036" s="35">
        <v>10</v>
      </c>
      <c r="Q1036" s="35" t="s">
        <v>1</v>
      </c>
      <c r="R1036" s="35">
        <v>180</v>
      </c>
      <c r="S1036" s="35">
        <v>30</v>
      </c>
      <c r="T1036" s="21">
        <v>1.3</v>
      </c>
      <c r="U1036" s="21">
        <v>0.12</v>
      </c>
      <c r="V1036" s="37" t="s">
        <v>6</v>
      </c>
      <c r="W1036" s="37" t="s">
        <v>6</v>
      </c>
      <c r="X1036" s="36" t="s">
        <v>6</v>
      </c>
      <c r="Y1036" s="23" t="s">
        <v>6</v>
      </c>
      <c r="Z1036" s="21" t="s">
        <v>6</v>
      </c>
      <c r="AA1036" s="23" t="s">
        <v>6</v>
      </c>
      <c r="AB1036" s="37" t="s">
        <v>1</v>
      </c>
      <c r="AC1036" s="8" t="s">
        <v>203</v>
      </c>
    </row>
    <row r="1037" spans="1:29">
      <c r="A1037" s="35" t="s">
        <v>8</v>
      </c>
      <c r="B1037" s="35" t="s">
        <v>161</v>
      </c>
      <c r="C1037" s="35" t="s">
        <v>60</v>
      </c>
      <c r="D1037" s="35">
        <v>600</v>
      </c>
      <c r="E1037" s="12">
        <v>60</v>
      </c>
      <c r="F1037" s="21">
        <f t="shared" si="69"/>
        <v>13.846153846153847</v>
      </c>
      <c r="G1037" s="35">
        <v>0</v>
      </c>
      <c r="H1037" s="35">
        <v>0</v>
      </c>
      <c r="I1037" s="35">
        <v>0</v>
      </c>
      <c r="J1037" s="35">
        <v>0</v>
      </c>
      <c r="K1037" s="35">
        <v>0</v>
      </c>
      <c r="L1037" s="36">
        <v>587.87878787878788</v>
      </c>
      <c r="M1037" s="35">
        <v>0.97</v>
      </c>
      <c r="N1037" s="35">
        <v>6.6</v>
      </c>
      <c r="O1037" s="12">
        <v>0</v>
      </c>
      <c r="P1037" s="35">
        <v>10</v>
      </c>
      <c r="Q1037" s="35" t="s">
        <v>1</v>
      </c>
      <c r="R1037" s="35">
        <v>180</v>
      </c>
      <c r="S1037" s="35">
        <v>30</v>
      </c>
      <c r="T1037" s="35">
        <v>1.8</v>
      </c>
      <c r="U1037" s="21">
        <v>0.13</v>
      </c>
      <c r="V1037" s="37">
        <v>3.72</v>
      </c>
      <c r="W1037" s="37">
        <v>56.5</v>
      </c>
      <c r="X1037" s="36" t="s">
        <v>6</v>
      </c>
      <c r="Y1037" s="23" t="s">
        <v>6</v>
      </c>
      <c r="Z1037" s="21" t="s">
        <v>6</v>
      </c>
      <c r="AA1037" s="23" t="s">
        <v>6</v>
      </c>
      <c r="AB1037" s="37" t="s">
        <v>1</v>
      </c>
      <c r="AC1037" s="10" t="s">
        <v>203</v>
      </c>
    </row>
    <row r="1038" spans="1:29">
      <c r="A1038" s="35" t="s">
        <v>21</v>
      </c>
      <c r="B1038" s="35" t="s">
        <v>161</v>
      </c>
      <c r="C1038" s="35" t="s">
        <v>60</v>
      </c>
      <c r="D1038" s="36">
        <v>600</v>
      </c>
      <c r="E1038" s="12">
        <v>10</v>
      </c>
      <c r="F1038" s="21">
        <f t="shared" si="69"/>
        <v>2.1818181818181817</v>
      </c>
      <c r="G1038" s="35">
        <v>0</v>
      </c>
      <c r="H1038" s="35">
        <v>0</v>
      </c>
      <c r="I1038" s="35">
        <v>0</v>
      </c>
      <c r="J1038" s="35">
        <v>0</v>
      </c>
      <c r="K1038" s="35">
        <v>0</v>
      </c>
      <c r="L1038" s="36">
        <v>1241.3793103448277</v>
      </c>
      <c r="M1038" s="35">
        <v>0.9</v>
      </c>
      <c r="N1038" s="21">
        <v>2.9</v>
      </c>
      <c r="O1038" s="12">
        <v>0</v>
      </c>
      <c r="P1038" s="35">
        <v>10</v>
      </c>
      <c r="Q1038" s="35" t="s">
        <v>6</v>
      </c>
      <c r="R1038" s="35">
        <v>180</v>
      </c>
      <c r="S1038" s="35">
        <v>30</v>
      </c>
      <c r="T1038" s="35">
        <v>0.24</v>
      </c>
      <c r="U1038" s="21">
        <v>0.11</v>
      </c>
      <c r="V1038" s="37" t="s">
        <v>6</v>
      </c>
      <c r="W1038" s="37" t="s">
        <v>6</v>
      </c>
      <c r="X1038" s="35" t="s">
        <v>6</v>
      </c>
      <c r="Y1038" s="23" t="s">
        <v>6</v>
      </c>
      <c r="Z1038" s="21" t="s">
        <v>6</v>
      </c>
      <c r="AA1038" s="35" t="s">
        <v>6</v>
      </c>
      <c r="AB1038" s="37" t="s">
        <v>1</v>
      </c>
      <c r="AC1038" s="10" t="s">
        <v>203</v>
      </c>
    </row>
    <row r="1039" spans="1:29">
      <c r="A1039" s="35" t="s">
        <v>21</v>
      </c>
      <c r="B1039" s="35" t="s">
        <v>161</v>
      </c>
      <c r="C1039" s="35" t="s">
        <v>60</v>
      </c>
      <c r="D1039" s="36">
        <v>600</v>
      </c>
      <c r="E1039" s="12">
        <v>12</v>
      </c>
      <c r="F1039" s="21">
        <f t="shared" si="69"/>
        <v>2.6363636363636362</v>
      </c>
      <c r="G1039" s="35">
        <v>0</v>
      </c>
      <c r="H1039" s="35">
        <v>0</v>
      </c>
      <c r="I1039" s="35">
        <v>0</v>
      </c>
      <c r="J1039" s="35">
        <v>0</v>
      </c>
      <c r="K1039" s="35">
        <v>0</v>
      </c>
      <c r="L1039" s="36">
        <v>1241.3793103448277</v>
      </c>
      <c r="M1039" s="35">
        <v>0.9</v>
      </c>
      <c r="N1039" s="21">
        <v>2.9</v>
      </c>
      <c r="O1039" s="12">
        <v>0</v>
      </c>
      <c r="P1039" s="35">
        <v>10</v>
      </c>
      <c r="Q1039" s="35" t="s">
        <v>6</v>
      </c>
      <c r="R1039" s="35">
        <v>180</v>
      </c>
      <c r="S1039" s="35">
        <v>30</v>
      </c>
      <c r="T1039" s="35">
        <v>0.28999999999999998</v>
      </c>
      <c r="U1039" s="21">
        <v>0.11</v>
      </c>
      <c r="V1039" s="37" t="s">
        <v>6</v>
      </c>
      <c r="W1039" s="37" t="s">
        <v>6</v>
      </c>
      <c r="X1039" s="35" t="s">
        <v>6</v>
      </c>
      <c r="Y1039" s="23" t="s">
        <v>6</v>
      </c>
      <c r="Z1039" s="21" t="s">
        <v>6</v>
      </c>
      <c r="AA1039" s="35" t="s">
        <v>6</v>
      </c>
      <c r="AB1039" s="37" t="s">
        <v>1</v>
      </c>
      <c r="AC1039" s="10" t="s">
        <v>203</v>
      </c>
    </row>
    <row r="1040" spans="1:29">
      <c r="A1040" s="35" t="s">
        <v>21</v>
      </c>
      <c r="B1040" s="35" t="s">
        <v>161</v>
      </c>
      <c r="C1040" s="35" t="s">
        <v>60</v>
      </c>
      <c r="D1040" s="36">
        <v>600</v>
      </c>
      <c r="E1040" s="12">
        <v>15</v>
      </c>
      <c r="F1040" s="21">
        <f t="shared" si="69"/>
        <v>3.3333333333333335</v>
      </c>
      <c r="G1040" s="35">
        <v>0</v>
      </c>
      <c r="H1040" s="35">
        <v>0</v>
      </c>
      <c r="I1040" s="35">
        <v>0</v>
      </c>
      <c r="J1040" s="35">
        <v>0</v>
      </c>
      <c r="K1040" s="35">
        <v>0</v>
      </c>
      <c r="L1040" s="36">
        <v>1241.3793103448277</v>
      </c>
      <c r="M1040" s="35">
        <v>0.9</v>
      </c>
      <c r="N1040" s="21">
        <v>2.9</v>
      </c>
      <c r="O1040" s="12">
        <v>0</v>
      </c>
      <c r="P1040" s="35">
        <v>10</v>
      </c>
      <c r="Q1040" s="35" t="s">
        <v>6</v>
      </c>
      <c r="R1040" s="35">
        <v>180</v>
      </c>
      <c r="S1040" s="35">
        <v>30</v>
      </c>
      <c r="T1040" s="35">
        <v>0.4</v>
      </c>
      <c r="U1040" s="21">
        <v>0.12</v>
      </c>
      <c r="V1040" s="37" t="s">
        <v>6</v>
      </c>
      <c r="W1040" s="37" t="s">
        <v>6</v>
      </c>
      <c r="X1040" s="35" t="s">
        <v>6</v>
      </c>
      <c r="Y1040" s="23" t="s">
        <v>6</v>
      </c>
      <c r="Z1040" s="21" t="s">
        <v>6</v>
      </c>
      <c r="AA1040" s="35" t="s">
        <v>6</v>
      </c>
      <c r="AB1040" s="37" t="s">
        <v>1</v>
      </c>
      <c r="AC1040" s="10" t="s">
        <v>203</v>
      </c>
    </row>
    <row r="1041" spans="1:29">
      <c r="A1041" s="35" t="s">
        <v>21</v>
      </c>
      <c r="B1041" s="35" t="s">
        <v>161</v>
      </c>
      <c r="C1041" s="35" t="s">
        <v>60</v>
      </c>
      <c r="D1041" s="36">
        <v>600</v>
      </c>
      <c r="E1041" s="12">
        <v>18</v>
      </c>
      <c r="F1041" s="21">
        <f t="shared" si="69"/>
        <v>4.0909090909090908</v>
      </c>
      <c r="G1041" s="35">
        <v>0</v>
      </c>
      <c r="H1041" s="35">
        <v>0</v>
      </c>
      <c r="I1041" s="35">
        <v>0</v>
      </c>
      <c r="J1041" s="35">
        <v>0</v>
      </c>
      <c r="K1041" s="35">
        <v>0</v>
      </c>
      <c r="L1041" s="36">
        <v>1241.3793103448277</v>
      </c>
      <c r="M1041" s="35">
        <v>0.9</v>
      </c>
      <c r="N1041" s="21">
        <v>2.9</v>
      </c>
      <c r="O1041" s="12">
        <v>0</v>
      </c>
      <c r="P1041" s="35">
        <v>10</v>
      </c>
      <c r="Q1041" s="35" t="s">
        <v>6</v>
      </c>
      <c r="R1041" s="35">
        <v>180</v>
      </c>
      <c r="S1041" s="35">
        <v>30</v>
      </c>
      <c r="T1041" s="35">
        <v>0.45</v>
      </c>
      <c r="U1041" s="21">
        <v>0.11</v>
      </c>
      <c r="V1041" s="37" t="s">
        <v>6</v>
      </c>
      <c r="W1041" s="37" t="s">
        <v>6</v>
      </c>
      <c r="X1041" s="35" t="s">
        <v>6</v>
      </c>
      <c r="Y1041" s="23" t="s">
        <v>6</v>
      </c>
      <c r="Z1041" s="21" t="s">
        <v>6</v>
      </c>
      <c r="AA1041" s="35" t="s">
        <v>6</v>
      </c>
      <c r="AB1041" s="37" t="s">
        <v>1</v>
      </c>
      <c r="AC1041" s="10" t="s">
        <v>203</v>
      </c>
    </row>
    <row r="1042" spans="1:29">
      <c r="A1042" s="35" t="s">
        <v>21</v>
      </c>
      <c r="B1042" s="35" t="s">
        <v>161</v>
      </c>
      <c r="C1042" s="35" t="s">
        <v>60</v>
      </c>
      <c r="D1042" s="36">
        <v>600</v>
      </c>
      <c r="E1042" s="12">
        <v>20</v>
      </c>
      <c r="F1042" s="21">
        <f t="shared" si="69"/>
        <v>4.5000000000000009</v>
      </c>
      <c r="G1042" s="35">
        <v>0</v>
      </c>
      <c r="H1042" s="35">
        <v>0</v>
      </c>
      <c r="I1042" s="35">
        <v>0</v>
      </c>
      <c r="J1042" s="35">
        <v>0</v>
      </c>
      <c r="K1042" s="35">
        <v>0</v>
      </c>
      <c r="L1042" s="36">
        <v>1241.3793103448277</v>
      </c>
      <c r="M1042" s="35">
        <v>0.9</v>
      </c>
      <c r="N1042" s="21">
        <v>2.9</v>
      </c>
      <c r="O1042" s="12">
        <v>0</v>
      </c>
      <c r="P1042" s="35">
        <v>10</v>
      </c>
      <c r="Q1042" s="35" t="s">
        <v>6</v>
      </c>
      <c r="R1042" s="35">
        <v>180</v>
      </c>
      <c r="S1042" s="35">
        <v>30</v>
      </c>
      <c r="T1042" s="35">
        <v>0.54</v>
      </c>
      <c r="U1042" s="21">
        <v>0.12</v>
      </c>
      <c r="V1042" s="37">
        <v>2.0499999999999998</v>
      </c>
      <c r="W1042" s="37">
        <v>38.9</v>
      </c>
      <c r="X1042" s="35" t="s">
        <v>6</v>
      </c>
      <c r="Y1042" s="23" t="s">
        <v>6</v>
      </c>
      <c r="Z1042" s="21" t="s">
        <v>6</v>
      </c>
      <c r="AA1042" s="35" t="s">
        <v>6</v>
      </c>
      <c r="AB1042" s="37" t="s">
        <v>1</v>
      </c>
      <c r="AC1042" s="10" t="s">
        <v>203</v>
      </c>
    </row>
    <row r="1043" spans="1:29">
      <c r="A1043" s="35" t="s">
        <v>21</v>
      </c>
      <c r="B1043" s="35" t="s">
        <v>161</v>
      </c>
      <c r="C1043" s="35" t="s">
        <v>60</v>
      </c>
      <c r="D1043" s="36">
        <v>600</v>
      </c>
      <c r="E1043" s="12">
        <v>30</v>
      </c>
      <c r="F1043" s="21">
        <f t="shared" si="69"/>
        <v>10</v>
      </c>
      <c r="G1043" s="35">
        <v>0</v>
      </c>
      <c r="H1043" s="35">
        <v>0</v>
      </c>
      <c r="I1043" s="35">
        <v>0</v>
      </c>
      <c r="J1043" s="35">
        <v>0</v>
      </c>
      <c r="K1043" s="35">
        <v>0</v>
      </c>
      <c r="L1043" s="36">
        <v>1241.3793103448277</v>
      </c>
      <c r="M1043" s="35">
        <v>0.9</v>
      </c>
      <c r="N1043" s="21">
        <v>2.9</v>
      </c>
      <c r="O1043" s="12">
        <v>0</v>
      </c>
      <c r="P1043" s="35">
        <v>10</v>
      </c>
      <c r="Q1043" s="35" t="s">
        <v>6</v>
      </c>
      <c r="R1043" s="35">
        <v>180</v>
      </c>
      <c r="S1043" s="35">
        <v>30</v>
      </c>
      <c r="T1043" s="35">
        <v>0.1</v>
      </c>
      <c r="U1043" s="21">
        <v>0.01</v>
      </c>
      <c r="V1043" s="37" t="s">
        <v>6</v>
      </c>
      <c r="W1043" s="37" t="s">
        <v>6</v>
      </c>
      <c r="X1043" s="35" t="s">
        <v>6</v>
      </c>
      <c r="Y1043" s="23" t="s">
        <v>6</v>
      </c>
      <c r="Z1043" s="21" t="s">
        <v>6</v>
      </c>
      <c r="AA1043" s="35" t="s">
        <v>6</v>
      </c>
      <c r="AB1043" s="37" t="s">
        <v>1</v>
      </c>
      <c r="AC1043" s="10" t="s">
        <v>203</v>
      </c>
    </row>
    <row r="1044" spans="1:29">
      <c r="A1044" s="35" t="s">
        <v>21</v>
      </c>
      <c r="B1044" s="35" t="s">
        <v>161</v>
      </c>
      <c r="C1044" s="35" t="s">
        <v>60</v>
      </c>
      <c r="D1044" s="36">
        <v>600</v>
      </c>
      <c r="E1044" s="12">
        <v>40</v>
      </c>
      <c r="F1044" s="21">
        <v>9.16</v>
      </c>
      <c r="G1044" s="35">
        <v>0</v>
      </c>
      <c r="H1044" s="35">
        <v>0</v>
      </c>
      <c r="I1044" s="35">
        <v>0</v>
      </c>
      <c r="J1044" s="35">
        <v>0</v>
      </c>
      <c r="K1044" s="35">
        <v>0</v>
      </c>
      <c r="L1044" s="36">
        <v>1241.3793103448277</v>
      </c>
      <c r="M1044" s="35">
        <v>0.9</v>
      </c>
      <c r="N1044" s="21">
        <v>2.9</v>
      </c>
      <c r="O1044" s="12">
        <v>0</v>
      </c>
      <c r="P1044" s="35">
        <v>10</v>
      </c>
      <c r="Q1044" s="35" t="s">
        <v>6</v>
      </c>
      <c r="R1044" s="35">
        <v>180</v>
      </c>
      <c r="S1044" s="35">
        <v>30</v>
      </c>
      <c r="T1044" s="35">
        <v>0.03</v>
      </c>
      <c r="U1044" s="21">
        <v>0</v>
      </c>
      <c r="V1044" s="37" t="s">
        <v>6</v>
      </c>
      <c r="W1044" s="37" t="s">
        <v>6</v>
      </c>
      <c r="X1044" s="35" t="s">
        <v>6</v>
      </c>
      <c r="Y1044" s="23" t="s">
        <v>6</v>
      </c>
      <c r="Z1044" s="21" t="s">
        <v>6</v>
      </c>
      <c r="AA1044" s="35" t="s">
        <v>6</v>
      </c>
      <c r="AB1044" s="37" t="s">
        <v>1</v>
      </c>
      <c r="AC1044" s="10" t="s">
        <v>203</v>
      </c>
    </row>
    <row r="1045" spans="1:29">
      <c r="A1045" s="35" t="s">
        <v>21</v>
      </c>
      <c r="B1045" s="35" t="s">
        <v>161</v>
      </c>
      <c r="C1045" s="35" t="s">
        <v>60</v>
      </c>
      <c r="D1045" s="36">
        <v>600</v>
      </c>
      <c r="E1045" s="12">
        <v>20</v>
      </c>
      <c r="F1045" s="21">
        <f>T1045/U1045</f>
        <v>4.3888888888888893</v>
      </c>
      <c r="G1045" s="35">
        <v>0</v>
      </c>
      <c r="H1045" s="35">
        <v>0</v>
      </c>
      <c r="I1045" s="35">
        <v>0</v>
      </c>
      <c r="J1045" s="35">
        <v>0</v>
      </c>
      <c r="K1045" s="35">
        <v>0</v>
      </c>
      <c r="L1045" s="36">
        <v>1537.9310344827586</v>
      </c>
      <c r="M1045" s="35">
        <v>2.23</v>
      </c>
      <c r="N1045" s="21">
        <v>5.8</v>
      </c>
      <c r="O1045" s="12">
        <v>0</v>
      </c>
      <c r="P1045" s="35">
        <v>10</v>
      </c>
      <c r="Q1045" s="35" t="s">
        <v>6</v>
      </c>
      <c r="R1045" s="35">
        <v>180</v>
      </c>
      <c r="S1045" s="35">
        <v>30</v>
      </c>
      <c r="T1045" s="35">
        <v>0.79</v>
      </c>
      <c r="U1045" s="21">
        <v>0.18</v>
      </c>
      <c r="V1045" s="37" t="s">
        <v>6</v>
      </c>
      <c r="W1045" s="37" t="s">
        <v>6</v>
      </c>
      <c r="X1045" s="35" t="s">
        <v>6</v>
      </c>
      <c r="Y1045" s="23" t="s">
        <v>6</v>
      </c>
      <c r="Z1045" s="21" t="s">
        <v>6</v>
      </c>
      <c r="AA1045" s="35" t="s">
        <v>6</v>
      </c>
      <c r="AB1045" s="37" t="s">
        <v>1</v>
      </c>
      <c r="AC1045" s="10" t="s">
        <v>203</v>
      </c>
    </row>
    <row r="1046" spans="1:29">
      <c r="A1046" s="35" t="s">
        <v>21</v>
      </c>
      <c r="B1046" s="35" t="s">
        <v>161</v>
      </c>
      <c r="C1046" s="35" t="s">
        <v>60</v>
      </c>
      <c r="D1046" s="36">
        <v>600</v>
      </c>
      <c r="E1046" s="12">
        <v>40</v>
      </c>
      <c r="F1046" s="21">
        <f>T1046/U1046</f>
        <v>9.1578947368421044</v>
      </c>
      <c r="G1046" s="35">
        <v>0</v>
      </c>
      <c r="H1046" s="35">
        <v>0</v>
      </c>
      <c r="I1046" s="35">
        <v>0</v>
      </c>
      <c r="J1046" s="35">
        <v>0</v>
      </c>
      <c r="K1046" s="35">
        <v>0</v>
      </c>
      <c r="L1046" s="36">
        <v>1537.9310344827586</v>
      </c>
      <c r="M1046" s="35">
        <v>2.23</v>
      </c>
      <c r="N1046" s="21">
        <v>5.8</v>
      </c>
      <c r="O1046" s="12">
        <v>0</v>
      </c>
      <c r="P1046" s="35">
        <v>10</v>
      </c>
      <c r="Q1046" s="35" t="s">
        <v>6</v>
      </c>
      <c r="R1046" s="35">
        <v>180</v>
      </c>
      <c r="S1046" s="35">
        <v>30</v>
      </c>
      <c r="T1046" s="35">
        <v>1.74</v>
      </c>
      <c r="U1046" s="21">
        <v>0.19</v>
      </c>
      <c r="V1046" s="37">
        <v>1.28</v>
      </c>
      <c r="W1046" s="37">
        <v>44.3</v>
      </c>
      <c r="X1046" s="35" t="s">
        <v>6</v>
      </c>
      <c r="Y1046" s="23" t="s">
        <v>6</v>
      </c>
      <c r="Z1046" s="21" t="s">
        <v>6</v>
      </c>
      <c r="AA1046" s="35" t="s">
        <v>6</v>
      </c>
      <c r="AB1046" s="37" t="s">
        <v>1</v>
      </c>
      <c r="AC1046" s="10" t="s">
        <v>203</v>
      </c>
    </row>
    <row r="1047" spans="1:29">
      <c r="A1047" s="35" t="s">
        <v>21</v>
      </c>
      <c r="B1047" s="35" t="s">
        <v>161</v>
      </c>
      <c r="C1047" s="35" t="s">
        <v>60</v>
      </c>
      <c r="D1047" s="36">
        <v>600</v>
      </c>
      <c r="E1047" s="12">
        <v>50</v>
      </c>
      <c r="F1047" s="21">
        <f>T1047/U1047</f>
        <v>11.461538461538462</v>
      </c>
      <c r="G1047" s="35">
        <v>0</v>
      </c>
      <c r="H1047" s="35">
        <v>0</v>
      </c>
      <c r="I1047" s="35">
        <v>0</v>
      </c>
      <c r="J1047" s="35">
        <v>0</v>
      </c>
      <c r="K1047" s="35">
        <v>0</v>
      </c>
      <c r="L1047" s="36">
        <v>1537.9310344827586</v>
      </c>
      <c r="M1047" s="35">
        <v>2.23</v>
      </c>
      <c r="N1047" s="21">
        <v>5.8</v>
      </c>
      <c r="O1047" s="12">
        <v>0</v>
      </c>
      <c r="P1047" s="35">
        <v>10</v>
      </c>
      <c r="Q1047" s="35" t="s">
        <v>6</v>
      </c>
      <c r="R1047" s="35">
        <v>180</v>
      </c>
      <c r="S1047" s="35">
        <v>30</v>
      </c>
      <c r="T1047" s="35">
        <v>1.49</v>
      </c>
      <c r="U1047" s="21">
        <v>0.13</v>
      </c>
      <c r="V1047" s="37" t="s">
        <v>6</v>
      </c>
      <c r="W1047" s="37" t="s">
        <v>6</v>
      </c>
      <c r="X1047" s="36" t="s">
        <v>6</v>
      </c>
      <c r="Y1047" s="23" t="s">
        <v>6</v>
      </c>
      <c r="Z1047" s="21" t="s">
        <v>6</v>
      </c>
      <c r="AA1047" s="36" t="s">
        <v>6</v>
      </c>
      <c r="AB1047" s="37" t="s">
        <v>1</v>
      </c>
      <c r="AC1047" s="10" t="s">
        <v>203</v>
      </c>
    </row>
    <row r="1048" spans="1:29">
      <c r="A1048" s="35" t="s">
        <v>21</v>
      </c>
      <c r="B1048" s="35" t="s">
        <v>161</v>
      </c>
      <c r="C1048" s="35" t="s">
        <v>60</v>
      </c>
      <c r="D1048" s="36">
        <v>600</v>
      </c>
      <c r="E1048" s="12">
        <v>60</v>
      </c>
      <c r="F1048" s="21">
        <f>T1048/U1048</f>
        <v>13.818181818181818</v>
      </c>
      <c r="G1048" s="35">
        <v>0</v>
      </c>
      <c r="H1048" s="35">
        <v>0</v>
      </c>
      <c r="I1048" s="35">
        <v>0</v>
      </c>
      <c r="J1048" s="35">
        <v>0</v>
      </c>
      <c r="K1048" s="35">
        <v>0</v>
      </c>
      <c r="L1048" s="36">
        <v>1537.9310344827586</v>
      </c>
      <c r="M1048" s="35">
        <v>2.23</v>
      </c>
      <c r="N1048" s="21">
        <v>5.8</v>
      </c>
      <c r="O1048" s="12">
        <v>0</v>
      </c>
      <c r="P1048" s="35">
        <v>10</v>
      </c>
      <c r="Q1048" s="35" t="s">
        <v>6</v>
      </c>
      <c r="R1048" s="35">
        <v>180</v>
      </c>
      <c r="S1048" s="35">
        <v>30</v>
      </c>
      <c r="T1048" s="35">
        <v>1.52</v>
      </c>
      <c r="U1048" s="21">
        <v>0.11</v>
      </c>
      <c r="V1048" s="37" t="s">
        <v>6</v>
      </c>
      <c r="W1048" s="37" t="s">
        <v>6</v>
      </c>
      <c r="X1048" s="36" t="s">
        <v>6</v>
      </c>
      <c r="Y1048" s="23" t="s">
        <v>6</v>
      </c>
      <c r="Z1048" s="21" t="s">
        <v>6</v>
      </c>
      <c r="AA1048" s="36" t="s">
        <v>6</v>
      </c>
      <c r="AB1048" s="37" t="s">
        <v>1</v>
      </c>
      <c r="AC1048" s="10" t="s">
        <v>203</v>
      </c>
    </row>
    <row r="1049" spans="1:29">
      <c r="A1049" s="35" t="s">
        <v>99</v>
      </c>
      <c r="B1049" s="35" t="s">
        <v>180</v>
      </c>
      <c r="C1049" s="35" t="s">
        <v>60</v>
      </c>
      <c r="D1049" s="35">
        <v>600</v>
      </c>
      <c r="E1049" s="12">
        <v>29.580000000000002</v>
      </c>
      <c r="F1049" s="12">
        <v>7.75</v>
      </c>
      <c r="G1049" s="41">
        <v>0</v>
      </c>
      <c r="H1049" s="41">
        <v>0</v>
      </c>
      <c r="I1049" s="41">
        <v>0</v>
      </c>
      <c r="J1049" s="41">
        <v>0</v>
      </c>
      <c r="K1049" s="41">
        <v>0</v>
      </c>
      <c r="L1049" s="37">
        <v>330</v>
      </c>
      <c r="M1049" s="37">
        <v>1.369</v>
      </c>
      <c r="N1049" s="37">
        <v>16.593939393939394</v>
      </c>
      <c r="O1049" s="12">
        <v>0</v>
      </c>
      <c r="P1049" s="41">
        <v>100</v>
      </c>
      <c r="Q1049" s="41">
        <v>60</v>
      </c>
      <c r="R1049" s="41">
        <v>60</v>
      </c>
      <c r="S1049" s="41">
        <v>30</v>
      </c>
      <c r="T1049" s="12">
        <v>2.00491803703023</v>
      </c>
      <c r="U1049" s="21">
        <v>0.26005221932114803</v>
      </c>
      <c r="V1049" s="37" t="s">
        <v>6</v>
      </c>
      <c r="W1049" s="37" t="s">
        <v>6</v>
      </c>
      <c r="X1049" s="35" t="s">
        <v>6</v>
      </c>
      <c r="Y1049" s="23" t="s">
        <v>6</v>
      </c>
      <c r="Z1049" s="21" t="s">
        <v>6</v>
      </c>
      <c r="AA1049" s="35" t="s">
        <v>6</v>
      </c>
      <c r="AB1049" s="37" t="s">
        <v>1</v>
      </c>
      <c r="AC1049" s="27" t="s">
        <v>210</v>
      </c>
    </row>
    <row r="1050" spans="1:29">
      <c r="A1050" s="35" t="s">
        <v>99</v>
      </c>
      <c r="B1050" s="35" t="s">
        <v>180</v>
      </c>
      <c r="C1050" s="35" t="s">
        <v>60</v>
      </c>
      <c r="D1050" s="35">
        <v>600</v>
      </c>
      <c r="E1050" s="12">
        <v>29.580000000000002</v>
      </c>
      <c r="F1050" s="12">
        <v>7.75</v>
      </c>
      <c r="G1050" s="35">
        <v>0</v>
      </c>
      <c r="H1050" s="35">
        <v>0</v>
      </c>
      <c r="I1050" s="35">
        <v>0</v>
      </c>
      <c r="J1050" s="35">
        <v>0</v>
      </c>
      <c r="K1050" s="35">
        <v>0</v>
      </c>
      <c r="L1050" s="37">
        <v>330</v>
      </c>
      <c r="M1050" s="37">
        <v>1.369</v>
      </c>
      <c r="N1050" s="37">
        <v>16.593939393939394</v>
      </c>
      <c r="O1050" s="12">
        <v>0</v>
      </c>
      <c r="P1050" s="41">
        <v>100</v>
      </c>
      <c r="Q1050" s="41">
        <v>60</v>
      </c>
      <c r="R1050" s="41">
        <v>60</v>
      </c>
      <c r="S1050" s="41">
        <v>60</v>
      </c>
      <c r="T1050" s="12">
        <v>2.2869855797977299</v>
      </c>
      <c r="U1050" s="21">
        <v>0.29608355091383798</v>
      </c>
      <c r="V1050" s="37" t="s">
        <v>6</v>
      </c>
      <c r="W1050" s="37" t="s">
        <v>6</v>
      </c>
      <c r="X1050" s="35" t="s">
        <v>6</v>
      </c>
      <c r="Y1050" s="23" t="s">
        <v>6</v>
      </c>
      <c r="Z1050" s="21" t="s">
        <v>6</v>
      </c>
      <c r="AA1050" s="35" t="s">
        <v>6</v>
      </c>
      <c r="AB1050" s="37" t="s">
        <v>1</v>
      </c>
      <c r="AC1050" s="27" t="s">
        <v>210</v>
      </c>
    </row>
    <row r="1051" spans="1:29">
      <c r="A1051" s="35" t="s">
        <v>99</v>
      </c>
      <c r="B1051" s="35" t="s">
        <v>180</v>
      </c>
      <c r="C1051" s="35" t="s">
        <v>60</v>
      </c>
      <c r="D1051" s="35">
        <v>600</v>
      </c>
      <c r="E1051" s="12">
        <v>29.580000000000002</v>
      </c>
      <c r="F1051" s="12">
        <v>7.75</v>
      </c>
      <c r="G1051" s="35">
        <v>0</v>
      </c>
      <c r="H1051" s="35">
        <v>0</v>
      </c>
      <c r="I1051" s="35">
        <v>0</v>
      </c>
      <c r="J1051" s="35">
        <v>0</v>
      </c>
      <c r="K1051" s="35">
        <v>0</v>
      </c>
      <c r="L1051" s="37">
        <v>330</v>
      </c>
      <c r="M1051" s="37">
        <v>1.369</v>
      </c>
      <c r="N1051" s="37">
        <v>16.593939393939394</v>
      </c>
      <c r="O1051" s="12">
        <v>0</v>
      </c>
      <c r="P1051" s="41">
        <v>100</v>
      </c>
      <c r="Q1051" s="41">
        <v>60</v>
      </c>
      <c r="R1051" s="41">
        <v>60</v>
      </c>
      <c r="S1051" s="41">
        <v>90</v>
      </c>
      <c r="T1051" s="12">
        <v>2.24954896423551</v>
      </c>
      <c r="U1051" s="21">
        <v>0.29216710182767602</v>
      </c>
      <c r="V1051" s="37" t="s">
        <v>6</v>
      </c>
      <c r="W1051" s="37" t="s">
        <v>6</v>
      </c>
      <c r="X1051" s="35" t="s">
        <v>6</v>
      </c>
      <c r="Y1051" s="23" t="s">
        <v>6</v>
      </c>
      <c r="Z1051" s="21" t="s">
        <v>6</v>
      </c>
      <c r="AA1051" s="35" t="s">
        <v>6</v>
      </c>
      <c r="AB1051" s="37" t="s">
        <v>1</v>
      </c>
      <c r="AC1051" s="27" t="s">
        <v>210</v>
      </c>
    </row>
    <row r="1052" spans="1:29">
      <c r="A1052" s="35" t="s">
        <v>99</v>
      </c>
      <c r="B1052" s="35" t="s">
        <v>180</v>
      </c>
      <c r="C1052" s="35" t="s">
        <v>60</v>
      </c>
      <c r="D1052" s="35">
        <v>600</v>
      </c>
      <c r="E1052" s="12">
        <v>29.580000000000002</v>
      </c>
      <c r="F1052" s="12">
        <v>7.75</v>
      </c>
      <c r="G1052" s="35">
        <v>0</v>
      </c>
      <c r="H1052" s="35">
        <v>0</v>
      </c>
      <c r="I1052" s="35">
        <v>0</v>
      </c>
      <c r="J1052" s="35">
        <v>0</v>
      </c>
      <c r="K1052" s="35">
        <v>0</v>
      </c>
      <c r="L1052" s="37">
        <v>330</v>
      </c>
      <c r="M1052" s="37">
        <v>1.369</v>
      </c>
      <c r="N1052" s="37">
        <v>16.593939393939394</v>
      </c>
      <c r="O1052" s="12">
        <v>0</v>
      </c>
      <c r="P1052" s="41">
        <v>100</v>
      </c>
      <c r="Q1052" s="41">
        <v>60</v>
      </c>
      <c r="R1052" s="41">
        <v>60</v>
      </c>
      <c r="S1052" s="41">
        <v>120</v>
      </c>
      <c r="T1052" s="12">
        <v>1.5315906225975999</v>
      </c>
      <c r="U1052" s="21">
        <v>0.20052219321148801</v>
      </c>
      <c r="V1052" s="37" t="s">
        <v>6</v>
      </c>
      <c r="W1052" s="37" t="s">
        <v>6</v>
      </c>
      <c r="X1052" s="35" t="s">
        <v>6</v>
      </c>
      <c r="Y1052" s="23" t="s">
        <v>6</v>
      </c>
      <c r="Z1052" s="21" t="s">
        <v>6</v>
      </c>
      <c r="AA1052" s="35" t="s">
        <v>6</v>
      </c>
      <c r="AB1052" s="37" t="s">
        <v>1</v>
      </c>
      <c r="AC1052" s="27" t="s">
        <v>210</v>
      </c>
    </row>
    <row r="1053" spans="1:29">
      <c r="A1053" s="35" t="s">
        <v>99</v>
      </c>
      <c r="B1053" s="35" t="s">
        <v>180</v>
      </c>
      <c r="C1053" s="35" t="s">
        <v>60</v>
      </c>
      <c r="D1053" s="35">
        <v>600</v>
      </c>
      <c r="E1053" s="12">
        <v>47.010000000000005</v>
      </c>
      <c r="F1053" s="12">
        <v>12.307142857142859</v>
      </c>
      <c r="G1053" s="35">
        <v>0</v>
      </c>
      <c r="H1053" s="35">
        <v>0</v>
      </c>
      <c r="I1053" s="35">
        <v>0</v>
      </c>
      <c r="J1053" s="35">
        <v>0</v>
      </c>
      <c r="K1053" s="35">
        <v>0</v>
      </c>
      <c r="L1053" s="37">
        <v>330</v>
      </c>
      <c r="M1053" s="37">
        <v>1.369</v>
      </c>
      <c r="N1053" s="37">
        <v>16.593939393939394</v>
      </c>
      <c r="O1053" s="12">
        <v>0</v>
      </c>
      <c r="P1053" s="41">
        <v>100</v>
      </c>
      <c r="Q1053" s="41">
        <v>60</v>
      </c>
      <c r="R1053" s="41">
        <v>60</v>
      </c>
      <c r="S1053" s="41">
        <v>30</v>
      </c>
      <c r="T1053" s="12">
        <v>2.2707793535628502</v>
      </c>
      <c r="U1053" s="21">
        <v>0.18563968668407299</v>
      </c>
      <c r="V1053" s="37" t="s">
        <v>6</v>
      </c>
      <c r="W1053" s="37" t="s">
        <v>6</v>
      </c>
      <c r="X1053" s="35">
        <v>90</v>
      </c>
      <c r="Y1053" s="23" t="s">
        <v>6</v>
      </c>
      <c r="Z1053" s="21">
        <v>0.54054054054054101</v>
      </c>
      <c r="AA1053" s="35">
        <v>30</v>
      </c>
      <c r="AB1053" s="37" t="s">
        <v>1</v>
      </c>
      <c r="AC1053" s="27" t="s">
        <v>210</v>
      </c>
    </row>
    <row r="1054" spans="1:29">
      <c r="A1054" s="35" t="s">
        <v>99</v>
      </c>
      <c r="B1054" s="35" t="s">
        <v>180</v>
      </c>
      <c r="C1054" s="35" t="s">
        <v>60</v>
      </c>
      <c r="D1054" s="35">
        <v>600</v>
      </c>
      <c r="E1054" s="12">
        <v>47.010000000000005</v>
      </c>
      <c r="F1054" s="12">
        <v>12.307142857142859</v>
      </c>
      <c r="G1054" s="35">
        <v>0</v>
      </c>
      <c r="H1054" s="35">
        <v>0</v>
      </c>
      <c r="I1054" s="35">
        <v>0</v>
      </c>
      <c r="J1054" s="35">
        <v>0</v>
      </c>
      <c r="K1054" s="35">
        <v>0</v>
      </c>
      <c r="L1054" s="37">
        <v>330</v>
      </c>
      <c r="M1054" s="37">
        <v>1.369</v>
      </c>
      <c r="N1054" s="37">
        <v>16.593939393939394</v>
      </c>
      <c r="O1054" s="12">
        <v>0</v>
      </c>
      <c r="P1054" s="41">
        <v>100</v>
      </c>
      <c r="Q1054" s="41">
        <v>60</v>
      </c>
      <c r="R1054" s="41">
        <v>60</v>
      </c>
      <c r="S1054" s="41">
        <v>30</v>
      </c>
      <c r="T1054" s="12">
        <v>2.2707793535628502</v>
      </c>
      <c r="U1054" s="21">
        <v>0.18563968668407299</v>
      </c>
      <c r="V1054" s="37" t="s">
        <v>6</v>
      </c>
      <c r="W1054" s="37" t="s">
        <v>6</v>
      </c>
      <c r="X1054" s="35">
        <v>150</v>
      </c>
      <c r="Y1054" s="23" t="s">
        <v>6</v>
      </c>
      <c r="Z1054" s="21">
        <v>78.69</v>
      </c>
      <c r="AA1054" s="35">
        <v>30</v>
      </c>
      <c r="AB1054" s="37" t="s">
        <v>1</v>
      </c>
      <c r="AC1054" s="27" t="s">
        <v>210</v>
      </c>
    </row>
    <row r="1055" spans="1:29">
      <c r="A1055" s="35" t="s">
        <v>99</v>
      </c>
      <c r="B1055" s="35" t="s">
        <v>180</v>
      </c>
      <c r="C1055" s="35" t="s">
        <v>60</v>
      </c>
      <c r="D1055" s="35">
        <v>600</v>
      </c>
      <c r="E1055" s="12">
        <v>47.010000000000005</v>
      </c>
      <c r="F1055" s="12">
        <v>12.307142857142859</v>
      </c>
      <c r="G1055" s="35">
        <v>0</v>
      </c>
      <c r="H1055" s="35">
        <v>0</v>
      </c>
      <c r="I1055" s="35">
        <v>0</v>
      </c>
      <c r="J1055" s="35">
        <v>0</v>
      </c>
      <c r="K1055" s="35">
        <v>0</v>
      </c>
      <c r="L1055" s="37">
        <v>330</v>
      </c>
      <c r="M1055" s="37">
        <v>1.369</v>
      </c>
      <c r="N1055" s="37">
        <v>16.593939393939394</v>
      </c>
      <c r="O1055" s="12">
        <v>0</v>
      </c>
      <c r="P1055" s="41">
        <v>100</v>
      </c>
      <c r="Q1055" s="41">
        <v>60</v>
      </c>
      <c r="R1055" s="41">
        <v>60</v>
      </c>
      <c r="S1055" s="41">
        <v>60</v>
      </c>
      <c r="T1055" s="12">
        <v>2.79545883991271</v>
      </c>
      <c r="U1055" s="21">
        <v>0.228720626631853</v>
      </c>
      <c r="V1055" s="37" t="s">
        <v>6</v>
      </c>
      <c r="W1055" s="37" t="s">
        <v>6</v>
      </c>
      <c r="X1055" s="35" t="s">
        <v>6</v>
      </c>
      <c r="Y1055" s="23" t="s">
        <v>6</v>
      </c>
      <c r="Z1055" s="21" t="s">
        <v>6</v>
      </c>
      <c r="AA1055" s="35" t="s">
        <v>6</v>
      </c>
      <c r="AB1055" s="37" t="s">
        <v>1</v>
      </c>
      <c r="AC1055" s="27" t="s">
        <v>210</v>
      </c>
    </row>
    <row r="1056" spans="1:29">
      <c r="A1056" s="35" t="s">
        <v>99</v>
      </c>
      <c r="B1056" s="35" t="s">
        <v>180</v>
      </c>
      <c r="C1056" s="35" t="s">
        <v>60</v>
      </c>
      <c r="D1056" s="35">
        <v>600</v>
      </c>
      <c r="E1056" s="12">
        <v>47.010000000000005</v>
      </c>
      <c r="F1056" s="12">
        <v>12.307142857142859</v>
      </c>
      <c r="G1056" s="35">
        <v>0</v>
      </c>
      <c r="H1056" s="35">
        <v>0</v>
      </c>
      <c r="I1056" s="35">
        <v>0</v>
      </c>
      <c r="J1056" s="35">
        <v>0</v>
      </c>
      <c r="K1056" s="35">
        <v>0</v>
      </c>
      <c r="L1056" s="37">
        <v>330</v>
      </c>
      <c r="M1056" s="37">
        <v>1.369</v>
      </c>
      <c r="N1056" s="37">
        <v>16.593939393939394</v>
      </c>
      <c r="O1056" s="12">
        <v>0</v>
      </c>
      <c r="P1056" s="41">
        <v>100</v>
      </c>
      <c r="Q1056" s="41">
        <v>60</v>
      </c>
      <c r="R1056" s="41">
        <v>60</v>
      </c>
      <c r="S1056" s="41">
        <v>90</v>
      </c>
      <c r="T1056" s="12">
        <v>3.6929203562729498</v>
      </c>
      <c r="U1056" s="21">
        <v>0.30130548302872001</v>
      </c>
      <c r="V1056" s="37" t="s">
        <v>6</v>
      </c>
      <c r="W1056" s="37" t="s">
        <v>6</v>
      </c>
      <c r="X1056" s="35" t="s">
        <v>6</v>
      </c>
      <c r="Y1056" s="23" t="s">
        <v>6</v>
      </c>
      <c r="Z1056" s="21" t="s">
        <v>6</v>
      </c>
      <c r="AA1056" s="35" t="s">
        <v>6</v>
      </c>
      <c r="AB1056" s="37" t="s">
        <v>1</v>
      </c>
      <c r="AC1056" s="27" t="s">
        <v>210</v>
      </c>
    </row>
    <row r="1057" spans="1:29" ht="14.55" customHeight="1">
      <c r="A1057" s="35" t="s">
        <v>99</v>
      </c>
      <c r="B1057" s="35" t="s">
        <v>180</v>
      </c>
      <c r="C1057" s="35" t="s">
        <v>60</v>
      </c>
      <c r="D1057" s="35">
        <v>600</v>
      </c>
      <c r="E1057" s="12">
        <v>47.010000000000005</v>
      </c>
      <c r="F1057" s="12">
        <v>12.307142857142859</v>
      </c>
      <c r="G1057" s="35">
        <v>0</v>
      </c>
      <c r="H1057" s="35">
        <v>0</v>
      </c>
      <c r="I1057" s="35">
        <v>0</v>
      </c>
      <c r="J1057" s="35">
        <v>0</v>
      </c>
      <c r="K1057" s="35">
        <v>0</v>
      </c>
      <c r="L1057" s="37">
        <v>330</v>
      </c>
      <c r="M1057" s="37">
        <v>1.369</v>
      </c>
      <c r="N1057" s="37">
        <v>16.593939393939394</v>
      </c>
      <c r="O1057" s="12">
        <v>0</v>
      </c>
      <c r="P1057" s="41">
        <v>100</v>
      </c>
      <c r="Q1057" s="41">
        <v>60</v>
      </c>
      <c r="R1057" s="41">
        <v>60</v>
      </c>
      <c r="S1057" s="41">
        <v>120</v>
      </c>
      <c r="T1057" s="12">
        <v>2.7796797063673</v>
      </c>
      <c r="U1057" s="21">
        <v>0.22637075718015601</v>
      </c>
      <c r="V1057" s="37" t="s">
        <v>6</v>
      </c>
      <c r="W1057" s="37" t="s">
        <v>6</v>
      </c>
      <c r="X1057" s="35" t="s">
        <v>6</v>
      </c>
      <c r="Y1057" s="23" t="s">
        <v>6</v>
      </c>
      <c r="Z1057" s="21" t="s">
        <v>6</v>
      </c>
      <c r="AA1057" s="35" t="s">
        <v>6</v>
      </c>
      <c r="AB1057" s="37" t="s">
        <v>1</v>
      </c>
      <c r="AC1057" s="27" t="s">
        <v>210</v>
      </c>
    </row>
    <row r="1058" spans="1:29">
      <c r="A1058" s="48" t="s">
        <v>275</v>
      </c>
      <c r="B1058" s="38" t="s">
        <v>180</v>
      </c>
      <c r="C1058" s="35" t="s">
        <v>60</v>
      </c>
      <c r="D1058" s="35">
        <v>600</v>
      </c>
      <c r="E1058" s="12">
        <v>30.29</v>
      </c>
      <c r="F1058" s="21">
        <v>8.0214285714285705</v>
      </c>
      <c r="G1058" s="35">
        <v>0</v>
      </c>
      <c r="H1058" s="35">
        <v>0</v>
      </c>
      <c r="I1058" s="35">
        <v>0</v>
      </c>
      <c r="J1058" s="35">
        <v>0</v>
      </c>
      <c r="K1058" s="35">
        <v>0</v>
      </c>
      <c r="L1058" s="35">
        <v>255.02</v>
      </c>
      <c r="M1058" s="35">
        <v>0.86</v>
      </c>
      <c r="N1058" s="35">
        <v>11.71</v>
      </c>
      <c r="O1058" s="12">
        <v>0</v>
      </c>
      <c r="P1058" s="35">
        <v>100</v>
      </c>
      <c r="Q1058" s="35">
        <v>60</v>
      </c>
      <c r="R1058" s="35">
        <v>60</v>
      </c>
      <c r="S1058" s="35">
        <v>30</v>
      </c>
      <c r="T1058" s="21">
        <v>1.39944188664201</v>
      </c>
      <c r="U1058" s="21">
        <v>0.17685346798832</v>
      </c>
      <c r="V1058" s="37" t="s">
        <v>6</v>
      </c>
      <c r="W1058" s="37" t="s">
        <v>6</v>
      </c>
      <c r="X1058" s="35" t="s">
        <v>6</v>
      </c>
      <c r="Y1058" s="23" t="s">
        <v>6</v>
      </c>
      <c r="Z1058" s="21" t="s">
        <v>6</v>
      </c>
      <c r="AA1058" s="35" t="s">
        <v>6</v>
      </c>
      <c r="AB1058" s="37" t="s">
        <v>1</v>
      </c>
      <c r="AC1058" s="27" t="s">
        <v>210</v>
      </c>
    </row>
    <row r="1059" spans="1:29">
      <c r="A1059" s="48" t="s">
        <v>275</v>
      </c>
      <c r="B1059" s="38" t="s">
        <v>180</v>
      </c>
      <c r="C1059" s="35" t="s">
        <v>60</v>
      </c>
      <c r="D1059" s="35">
        <v>600</v>
      </c>
      <c r="E1059" s="12">
        <v>30.29</v>
      </c>
      <c r="F1059" s="21">
        <v>8.0214285714285722</v>
      </c>
      <c r="G1059" s="35">
        <v>0</v>
      </c>
      <c r="H1059" s="35">
        <v>0</v>
      </c>
      <c r="I1059" s="35">
        <v>0</v>
      </c>
      <c r="J1059" s="35">
        <v>0</v>
      </c>
      <c r="K1059" s="35">
        <v>0</v>
      </c>
      <c r="L1059" s="35">
        <v>255.02</v>
      </c>
      <c r="M1059" s="35">
        <v>0.86</v>
      </c>
      <c r="N1059" s="35">
        <v>11.71</v>
      </c>
      <c r="O1059" s="12">
        <v>0</v>
      </c>
      <c r="P1059" s="35">
        <v>100</v>
      </c>
      <c r="Q1059" s="35">
        <v>60</v>
      </c>
      <c r="R1059" s="35">
        <v>60</v>
      </c>
      <c r="S1059" s="35">
        <v>60</v>
      </c>
      <c r="T1059" s="21">
        <v>1.63024599198005</v>
      </c>
      <c r="U1059" s="21">
        <v>0.20678200017860099</v>
      </c>
      <c r="V1059" s="37" t="s">
        <v>6</v>
      </c>
      <c r="W1059" s="37" t="s">
        <v>6</v>
      </c>
      <c r="X1059" s="35" t="s">
        <v>6</v>
      </c>
      <c r="Y1059" s="23" t="s">
        <v>6</v>
      </c>
      <c r="Z1059" s="21" t="s">
        <v>6</v>
      </c>
      <c r="AA1059" s="35" t="s">
        <v>6</v>
      </c>
      <c r="AB1059" s="37" t="s">
        <v>1</v>
      </c>
      <c r="AC1059" s="27" t="s">
        <v>210</v>
      </c>
    </row>
    <row r="1060" spans="1:29">
      <c r="A1060" s="48" t="s">
        <v>275</v>
      </c>
      <c r="B1060" s="35" t="s">
        <v>180</v>
      </c>
      <c r="C1060" s="35" t="s">
        <v>60</v>
      </c>
      <c r="D1060" s="35">
        <v>600</v>
      </c>
      <c r="E1060" s="12">
        <v>30.29</v>
      </c>
      <c r="F1060" s="21">
        <v>8.0214285714285722</v>
      </c>
      <c r="G1060" s="35">
        <v>0</v>
      </c>
      <c r="H1060" s="35">
        <v>0</v>
      </c>
      <c r="I1060" s="35">
        <v>0</v>
      </c>
      <c r="J1060" s="35">
        <v>0</v>
      </c>
      <c r="K1060" s="35">
        <v>0</v>
      </c>
      <c r="L1060" s="35">
        <v>255.02</v>
      </c>
      <c r="M1060" s="35">
        <v>0.86</v>
      </c>
      <c r="N1060" s="35">
        <v>11.71</v>
      </c>
      <c r="O1060" s="12">
        <v>0</v>
      </c>
      <c r="P1060" s="35">
        <v>100</v>
      </c>
      <c r="Q1060" s="35">
        <v>60</v>
      </c>
      <c r="R1060" s="35">
        <v>60</v>
      </c>
      <c r="S1060" s="35">
        <v>90</v>
      </c>
      <c r="T1060" s="21">
        <v>1.8953029367393299</v>
      </c>
      <c r="U1060" s="21">
        <v>0.26495723026381601</v>
      </c>
      <c r="V1060" s="37" t="s">
        <v>6</v>
      </c>
      <c r="W1060" s="35" t="s">
        <v>6</v>
      </c>
      <c r="X1060" s="35" t="s">
        <v>6</v>
      </c>
      <c r="Y1060" s="23" t="s">
        <v>6</v>
      </c>
      <c r="Z1060" s="21" t="s">
        <v>6</v>
      </c>
      <c r="AA1060" s="35" t="s">
        <v>6</v>
      </c>
      <c r="AB1060" s="37" t="s">
        <v>1</v>
      </c>
      <c r="AC1060" s="27" t="s">
        <v>210</v>
      </c>
    </row>
    <row r="1061" spans="1:29">
      <c r="A1061" s="48" t="s">
        <v>275</v>
      </c>
      <c r="B1061" s="35" t="s">
        <v>180</v>
      </c>
      <c r="C1061" s="35" t="s">
        <v>60</v>
      </c>
      <c r="D1061" s="35">
        <v>600</v>
      </c>
      <c r="E1061" s="12">
        <v>30.29</v>
      </c>
      <c r="F1061" s="21">
        <v>8.0214285714285722</v>
      </c>
      <c r="G1061" s="35">
        <v>0</v>
      </c>
      <c r="H1061" s="35">
        <v>0</v>
      </c>
      <c r="I1061" s="35">
        <v>0</v>
      </c>
      <c r="J1061" s="35">
        <v>0</v>
      </c>
      <c r="K1061" s="35">
        <v>0</v>
      </c>
      <c r="L1061" s="35">
        <v>255.02</v>
      </c>
      <c r="M1061" s="35">
        <v>0.86</v>
      </c>
      <c r="N1061" s="35">
        <v>11.71</v>
      </c>
      <c r="O1061" s="12">
        <v>0</v>
      </c>
      <c r="P1061" s="35">
        <v>100</v>
      </c>
      <c r="Q1061" s="35">
        <v>60</v>
      </c>
      <c r="R1061" s="35">
        <v>60</v>
      </c>
      <c r="S1061" s="35">
        <v>120</v>
      </c>
      <c r="T1061" s="21">
        <v>1.5060227779037101</v>
      </c>
      <c r="U1061" s="21">
        <v>0.194002495014031</v>
      </c>
      <c r="V1061" s="37" t="s">
        <v>6</v>
      </c>
      <c r="W1061" s="37" t="s">
        <v>6</v>
      </c>
      <c r="X1061" s="35" t="s">
        <v>6</v>
      </c>
      <c r="Y1061" s="23" t="s">
        <v>6</v>
      </c>
      <c r="Z1061" s="21" t="s">
        <v>6</v>
      </c>
      <c r="AA1061" s="35" t="s">
        <v>6</v>
      </c>
      <c r="AB1061" s="37" t="s">
        <v>1</v>
      </c>
      <c r="AC1061" s="27" t="s">
        <v>210</v>
      </c>
    </row>
    <row r="1062" spans="1:29">
      <c r="A1062" s="48" t="s">
        <v>275</v>
      </c>
      <c r="B1062" s="35" t="s">
        <v>180</v>
      </c>
      <c r="C1062" s="35" t="s">
        <v>60</v>
      </c>
      <c r="D1062" s="35">
        <v>600</v>
      </c>
      <c r="E1062" s="12">
        <v>46.660000000000004</v>
      </c>
      <c r="F1062" s="21">
        <v>12.3</v>
      </c>
      <c r="G1062" s="35">
        <v>0</v>
      </c>
      <c r="H1062" s="35">
        <v>0</v>
      </c>
      <c r="I1062" s="35">
        <v>0</v>
      </c>
      <c r="J1062" s="35">
        <v>0</v>
      </c>
      <c r="K1062" s="35">
        <v>0</v>
      </c>
      <c r="L1062" s="35">
        <v>255.02</v>
      </c>
      <c r="M1062" s="35">
        <v>0.86</v>
      </c>
      <c r="N1062" s="35">
        <v>11.71</v>
      </c>
      <c r="O1062" s="12">
        <v>0</v>
      </c>
      <c r="P1062" s="35">
        <v>100</v>
      </c>
      <c r="Q1062" s="35">
        <v>60</v>
      </c>
      <c r="R1062" s="35">
        <v>60</v>
      </c>
      <c r="S1062" s="35">
        <v>30</v>
      </c>
      <c r="T1062" s="21">
        <v>1.6053263087132901</v>
      </c>
      <c r="U1062" s="21">
        <v>0.13120310009552399</v>
      </c>
      <c r="V1062" s="37" t="s">
        <v>6</v>
      </c>
      <c r="W1062" s="37" t="s">
        <v>6</v>
      </c>
      <c r="X1062" s="35">
        <v>90</v>
      </c>
      <c r="Y1062" s="23" t="s">
        <v>6</v>
      </c>
      <c r="Z1062" s="21">
        <v>1.06</v>
      </c>
      <c r="AA1062" s="35">
        <v>30</v>
      </c>
      <c r="AB1062" s="37" t="s">
        <v>1</v>
      </c>
      <c r="AC1062" s="27" t="s">
        <v>210</v>
      </c>
    </row>
    <row r="1063" spans="1:29">
      <c r="A1063" s="48" t="s">
        <v>275</v>
      </c>
      <c r="B1063" s="35" t="s">
        <v>180</v>
      </c>
      <c r="C1063" s="35" t="s">
        <v>60</v>
      </c>
      <c r="D1063" s="35">
        <v>600</v>
      </c>
      <c r="E1063" s="12">
        <v>46.660000000000004</v>
      </c>
      <c r="F1063" s="21">
        <v>12.3</v>
      </c>
      <c r="G1063" s="35">
        <v>0</v>
      </c>
      <c r="H1063" s="35">
        <v>0</v>
      </c>
      <c r="I1063" s="35">
        <v>0</v>
      </c>
      <c r="J1063" s="35">
        <v>0</v>
      </c>
      <c r="K1063" s="35">
        <v>0</v>
      </c>
      <c r="L1063" s="35">
        <v>255.02</v>
      </c>
      <c r="M1063" s="35">
        <v>0.86</v>
      </c>
      <c r="N1063" s="35">
        <v>11.71</v>
      </c>
      <c r="O1063" s="12">
        <v>0</v>
      </c>
      <c r="P1063" s="35">
        <v>100</v>
      </c>
      <c r="Q1063" s="35">
        <v>60</v>
      </c>
      <c r="R1063" s="35">
        <v>60</v>
      </c>
      <c r="S1063" s="35">
        <v>30</v>
      </c>
      <c r="T1063" s="21">
        <v>1.6053263087132901</v>
      </c>
      <c r="U1063" s="21">
        <v>0.13120310009552399</v>
      </c>
      <c r="V1063" s="37" t="s">
        <v>6</v>
      </c>
      <c r="W1063" s="37" t="s">
        <v>6</v>
      </c>
      <c r="X1063" s="35">
        <v>150</v>
      </c>
      <c r="Y1063" s="23" t="s">
        <v>6</v>
      </c>
      <c r="Z1063" s="21">
        <v>24.64</v>
      </c>
      <c r="AA1063" s="35">
        <v>30</v>
      </c>
      <c r="AB1063" s="37" t="s">
        <v>1</v>
      </c>
      <c r="AC1063" s="27" t="s">
        <v>210</v>
      </c>
    </row>
    <row r="1064" spans="1:29">
      <c r="A1064" s="48" t="s">
        <v>275</v>
      </c>
      <c r="B1064" s="35" t="s">
        <v>180</v>
      </c>
      <c r="C1064" s="35" t="s">
        <v>60</v>
      </c>
      <c r="D1064" s="35">
        <v>600</v>
      </c>
      <c r="E1064" s="12">
        <v>46.660000000000004</v>
      </c>
      <c r="F1064" s="21">
        <v>12.3</v>
      </c>
      <c r="G1064" s="35">
        <v>0</v>
      </c>
      <c r="H1064" s="35">
        <v>0</v>
      </c>
      <c r="I1064" s="35">
        <v>0</v>
      </c>
      <c r="J1064" s="35">
        <v>0</v>
      </c>
      <c r="K1064" s="35">
        <v>0</v>
      </c>
      <c r="L1064" s="35">
        <v>255.02</v>
      </c>
      <c r="M1064" s="35">
        <v>0.86</v>
      </c>
      <c r="N1064" s="35">
        <v>11.71</v>
      </c>
      <c r="O1064" s="12">
        <v>0</v>
      </c>
      <c r="P1064" s="35">
        <v>100</v>
      </c>
      <c r="Q1064" s="35">
        <v>60</v>
      </c>
      <c r="R1064" s="35">
        <v>60</v>
      </c>
      <c r="S1064" s="35">
        <v>60</v>
      </c>
      <c r="T1064" s="21">
        <v>2.0859291336736199</v>
      </c>
      <c r="U1064" s="21">
        <v>0.156088023662042</v>
      </c>
      <c r="V1064" s="37" t="s">
        <v>6</v>
      </c>
      <c r="W1064" s="37" t="s">
        <v>6</v>
      </c>
      <c r="X1064" s="35" t="s">
        <v>6</v>
      </c>
      <c r="Y1064" s="23" t="s">
        <v>6</v>
      </c>
      <c r="Z1064" s="21" t="s">
        <v>6</v>
      </c>
      <c r="AA1064" s="35" t="s">
        <v>6</v>
      </c>
      <c r="AB1064" s="37" t="s">
        <v>1</v>
      </c>
      <c r="AC1064" s="27" t="s">
        <v>210</v>
      </c>
    </row>
    <row r="1065" spans="1:29">
      <c r="A1065" s="48" t="s">
        <v>275</v>
      </c>
      <c r="B1065" s="35" t="s">
        <v>180</v>
      </c>
      <c r="C1065" s="35" t="s">
        <v>60</v>
      </c>
      <c r="D1065" s="35">
        <v>600</v>
      </c>
      <c r="E1065" s="12">
        <v>46.660000000000004</v>
      </c>
      <c r="F1065" s="21">
        <v>12.3</v>
      </c>
      <c r="G1065" s="35">
        <v>0</v>
      </c>
      <c r="H1065" s="35">
        <v>0</v>
      </c>
      <c r="I1065" s="35">
        <v>0</v>
      </c>
      <c r="J1065" s="35">
        <v>0</v>
      </c>
      <c r="K1065" s="35">
        <v>0</v>
      </c>
      <c r="L1065" s="35">
        <v>255.02</v>
      </c>
      <c r="M1065" s="35">
        <v>0.86</v>
      </c>
      <c r="N1065" s="35">
        <v>11.71</v>
      </c>
      <c r="O1065" s="12">
        <v>0</v>
      </c>
      <c r="P1065" s="35">
        <v>100</v>
      </c>
      <c r="Q1065" s="35">
        <v>60</v>
      </c>
      <c r="R1065" s="35">
        <v>60</v>
      </c>
      <c r="S1065" s="35">
        <v>90</v>
      </c>
      <c r="T1065" s="21">
        <v>2.9071257162063899</v>
      </c>
      <c r="U1065" s="21">
        <v>0.24049283292335999</v>
      </c>
      <c r="V1065" s="37" t="s">
        <v>6</v>
      </c>
      <c r="W1065" s="37" t="s">
        <v>6</v>
      </c>
      <c r="X1065" s="35" t="s">
        <v>6</v>
      </c>
      <c r="Y1065" s="23" t="s">
        <v>6</v>
      </c>
      <c r="Z1065" s="21" t="s">
        <v>6</v>
      </c>
      <c r="AA1065" s="35" t="s">
        <v>6</v>
      </c>
      <c r="AB1065" s="37" t="s">
        <v>1</v>
      </c>
      <c r="AC1065" s="27" t="s">
        <v>210</v>
      </c>
    </row>
    <row r="1066" spans="1:29">
      <c r="A1066" s="48" t="s">
        <v>275</v>
      </c>
      <c r="B1066" s="35" t="s">
        <v>180</v>
      </c>
      <c r="C1066" s="35" t="s">
        <v>60</v>
      </c>
      <c r="D1066" s="35">
        <v>600</v>
      </c>
      <c r="E1066" s="12">
        <v>46.660000000000004</v>
      </c>
      <c r="F1066" s="21">
        <v>12.3</v>
      </c>
      <c r="G1066" s="35">
        <v>0</v>
      </c>
      <c r="H1066" s="35">
        <v>0</v>
      </c>
      <c r="I1066" s="35">
        <v>0</v>
      </c>
      <c r="J1066" s="35">
        <v>0</v>
      </c>
      <c r="K1066" s="35">
        <v>0</v>
      </c>
      <c r="L1066" s="35">
        <v>255.02</v>
      </c>
      <c r="M1066" s="35">
        <v>0.86</v>
      </c>
      <c r="N1066" s="35">
        <v>11.71</v>
      </c>
      <c r="O1066" s="12">
        <v>0</v>
      </c>
      <c r="P1066" s="35">
        <v>100</v>
      </c>
      <c r="Q1066" s="35">
        <v>60</v>
      </c>
      <c r="R1066" s="35">
        <v>60</v>
      </c>
      <c r="S1066" s="35">
        <v>120</v>
      </c>
      <c r="T1066" s="21">
        <v>2.7355214920543101</v>
      </c>
      <c r="U1066" s="21">
        <v>0.22578090962474601</v>
      </c>
      <c r="V1066" s="37" t="s">
        <v>6</v>
      </c>
      <c r="W1066" s="37" t="s">
        <v>6</v>
      </c>
      <c r="X1066" s="35" t="s">
        <v>6</v>
      </c>
      <c r="Y1066" s="23" t="s">
        <v>6</v>
      </c>
      <c r="Z1066" s="21" t="s">
        <v>6</v>
      </c>
      <c r="AA1066" s="35" t="s">
        <v>6</v>
      </c>
      <c r="AB1066" s="37" t="s">
        <v>1</v>
      </c>
      <c r="AC1066" s="27" t="s">
        <v>210</v>
      </c>
    </row>
    <row r="1067" spans="1:29">
      <c r="A1067" s="35" t="s">
        <v>233</v>
      </c>
      <c r="B1067" s="35" t="s">
        <v>180</v>
      </c>
      <c r="C1067" s="35" t="s">
        <v>60</v>
      </c>
      <c r="D1067" s="35">
        <v>600</v>
      </c>
      <c r="E1067" s="12">
        <v>29.13</v>
      </c>
      <c r="F1067" s="48">
        <v>7.64</v>
      </c>
      <c r="G1067" s="35">
        <v>0</v>
      </c>
      <c r="H1067" s="35">
        <v>0</v>
      </c>
      <c r="I1067" s="35">
        <v>0</v>
      </c>
      <c r="J1067" s="35">
        <v>0</v>
      </c>
      <c r="K1067" s="35">
        <v>0</v>
      </c>
      <c r="L1067" s="35">
        <v>1224.8599999999999</v>
      </c>
      <c r="M1067" s="35">
        <v>1.0900000000000001</v>
      </c>
      <c r="N1067" s="35">
        <v>6.46</v>
      </c>
      <c r="O1067" s="12">
        <v>0</v>
      </c>
      <c r="P1067" s="35">
        <v>100</v>
      </c>
      <c r="Q1067" s="35">
        <v>60</v>
      </c>
      <c r="R1067" s="35">
        <v>60</v>
      </c>
      <c r="S1067" s="35">
        <v>30</v>
      </c>
      <c r="T1067" s="21">
        <v>1.8469155241981201</v>
      </c>
      <c r="U1067" s="21">
        <v>0.24413207092442701</v>
      </c>
      <c r="V1067" s="37" t="s">
        <v>6</v>
      </c>
      <c r="W1067" s="37" t="s">
        <v>6</v>
      </c>
      <c r="X1067" s="35" t="s">
        <v>6</v>
      </c>
      <c r="Y1067" s="23" t="s">
        <v>6</v>
      </c>
      <c r="Z1067" s="21" t="s">
        <v>6</v>
      </c>
      <c r="AA1067" s="35" t="s">
        <v>6</v>
      </c>
      <c r="AB1067" s="37" t="s">
        <v>1</v>
      </c>
      <c r="AC1067" s="27" t="s">
        <v>210</v>
      </c>
    </row>
    <row r="1068" spans="1:29">
      <c r="A1068" s="35" t="s">
        <v>233</v>
      </c>
      <c r="B1068" s="35" t="s">
        <v>180</v>
      </c>
      <c r="C1068" s="35" t="s">
        <v>60</v>
      </c>
      <c r="D1068" s="35">
        <v>600</v>
      </c>
      <c r="E1068" s="12">
        <v>29.13</v>
      </c>
      <c r="F1068" s="48">
        <v>7.64</v>
      </c>
      <c r="G1068" s="35">
        <v>0</v>
      </c>
      <c r="H1068" s="35">
        <v>0</v>
      </c>
      <c r="I1068" s="35">
        <v>0</v>
      </c>
      <c r="J1068" s="35">
        <v>0</v>
      </c>
      <c r="K1068" s="35">
        <v>0</v>
      </c>
      <c r="L1068" s="35">
        <v>1224.8599999999999</v>
      </c>
      <c r="M1068" s="35">
        <v>1.0900000000000001</v>
      </c>
      <c r="N1068" s="35">
        <v>6.46</v>
      </c>
      <c r="O1068" s="12">
        <v>0</v>
      </c>
      <c r="P1068" s="35">
        <v>100</v>
      </c>
      <c r="Q1068" s="35">
        <v>60</v>
      </c>
      <c r="R1068" s="35">
        <v>60</v>
      </c>
      <c r="S1068" s="35">
        <v>60</v>
      </c>
      <c r="T1068" s="21">
        <v>1.4961429858361599</v>
      </c>
      <c r="U1068" s="21">
        <v>0.246339955241866</v>
      </c>
      <c r="V1068" s="37" t="s">
        <v>6</v>
      </c>
      <c r="W1068" s="37" t="s">
        <v>6</v>
      </c>
      <c r="X1068" s="35" t="s">
        <v>6</v>
      </c>
      <c r="Y1068" s="23" t="s">
        <v>6</v>
      </c>
      <c r="Z1068" s="21" t="s">
        <v>6</v>
      </c>
      <c r="AA1068" s="35" t="s">
        <v>6</v>
      </c>
      <c r="AB1068" s="37" t="s">
        <v>1</v>
      </c>
      <c r="AC1068" s="27" t="s">
        <v>254</v>
      </c>
    </row>
    <row r="1069" spans="1:29">
      <c r="A1069" s="35" t="s">
        <v>233</v>
      </c>
      <c r="B1069" s="35" t="s">
        <v>180</v>
      </c>
      <c r="C1069" s="35" t="s">
        <v>60</v>
      </c>
      <c r="D1069" s="35">
        <v>600</v>
      </c>
      <c r="E1069" s="12">
        <v>29.13</v>
      </c>
      <c r="F1069" s="48">
        <v>7.64</v>
      </c>
      <c r="G1069" s="35">
        <v>0</v>
      </c>
      <c r="H1069" s="35">
        <v>0</v>
      </c>
      <c r="I1069" s="35">
        <v>0</v>
      </c>
      <c r="J1069" s="35">
        <v>0</v>
      </c>
      <c r="K1069" s="35">
        <v>0</v>
      </c>
      <c r="L1069" s="35">
        <v>1224.8599999999999</v>
      </c>
      <c r="M1069" s="35">
        <v>1.0900000000000001</v>
      </c>
      <c r="N1069" s="35">
        <v>6.46</v>
      </c>
      <c r="O1069" s="12">
        <v>0</v>
      </c>
      <c r="P1069" s="35">
        <v>100</v>
      </c>
      <c r="Q1069" s="35">
        <v>60</v>
      </c>
      <c r="R1069" s="35">
        <v>60</v>
      </c>
      <c r="S1069" s="35">
        <v>90</v>
      </c>
      <c r="T1069" s="21">
        <v>1.84302444415846</v>
      </c>
      <c r="U1069" s="21">
        <v>0.199630366672404</v>
      </c>
      <c r="V1069" s="37" t="s">
        <v>6</v>
      </c>
      <c r="W1069" s="37" t="s">
        <v>6</v>
      </c>
      <c r="X1069" s="35" t="s">
        <v>6</v>
      </c>
      <c r="Y1069" s="23" t="s">
        <v>6</v>
      </c>
      <c r="Z1069" s="21" t="s">
        <v>6</v>
      </c>
      <c r="AA1069" s="35" t="s">
        <v>6</v>
      </c>
      <c r="AB1069" s="37" t="s">
        <v>1</v>
      </c>
      <c r="AC1069" s="27" t="s">
        <v>210</v>
      </c>
    </row>
    <row r="1070" spans="1:29">
      <c r="A1070" s="35" t="s">
        <v>233</v>
      </c>
      <c r="B1070" s="35" t="s">
        <v>180</v>
      </c>
      <c r="C1070" s="35" t="s">
        <v>60</v>
      </c>
      <c r="D1070" s="35">
        <v>600</v>
      </c>
      <c r="E1070" s="12">
        <v>29.13</v>
      </c>
      <c r="F1070" s="48">
        <v>7.64</v>
      </c>
      <c r="G1070" s="35">
        <v>0</v>
      </c>
      <c r="H1070" s="35">
        <v>0</v>
      </c>
      <c r="I1070" s="35">
        <v>0</v>
      </c>
      <c r="J1070" s="35">
        <v>0</v>
      </c>
      <c r="K1070" s="35">
        <v>0</v>
      </c>
      <c r="L1070" s="35">
        <v>1224.8599999999999</v>
      </c>
      <c r="M1070" s="35">
        <v>1.0900000000000001</v>
      </c>
      <c r="N1070" s="35">
        <v>6.46</v>
      </c>
      <c r="O1070" s="12">
        <v>0</v>
      </c>
      <c r="P1070" s="35">
        <v>100</v>
      </c>
      <c r="Q1070" s="35">
        <v>60</v>
      </c>
      <c r="R1070" s="35">
        <v>60</v>
      </c>
      <c r="S1070" s="35">
        <v>120</v>
      </c>
      <c r="T1070" s="21">
        <v>0.55613677827657004</v>
      </c>
      <c r="U1070" s="21">
        <v>7.8016319504217502E-2</v>
      </c>
      <c r="V1070" s="37" t="s">
        <v>6</v>
      </c>
      <c r="W1070" s="37" t="s">
        <v>6</v>
      </c>
      <c r="X1070" s="35" t="s">
        <v>6</v>
      </c>
      <c r="Y1070" s="23" t="s">
        <v>6</v>
      </c>
      <c r="Z1070" s="21" t="s">
        <v>6</v>
      </c>
      <c r="AA1070" s="35" t="s">
        <v>6</v>
      </c>
      <c r="AB1070" s="37" t="s">
        <v>1</v>
      </c>
      <c r="AC1070" s="27" t="s">
        <v>210</v>
      </c>
    </row>
    <row r="1071" spans="1:29">
      <c r="A1071" s="35" t="s">
        <v>233</v>
      </c>
      <c r="B1071" s="35" t="s">
        <v>180</v>
      </c>
      <c r="C1071" s="35" t="s">
        <v>60</v>
      </c>
      <c r="D1071" s="35">
        <v>600</v>
      </c>
      <c r="E1071" s="12">
        <v>46.589999999999996</v>
      </c>
      <c r="F1071" s="48">
        <v>12.2</v>
      </c>
      <c r="G1071" s="35">
        <v>0</v>
      </c>
      <c r="H1071" s="35">
        <v>0</v>
      </c>
      <c r="I1071" s="35">
        <v>0</v>
      </c>
      <c r="J1071" s="35">
        <v>0</v>
      </c>
      <c r="K1071" s="35">
        <v>0</v>
      </c>
      <c r="L1071" s="35">
        <v>1224.8599999999999</v>
      </c>
      <c r="M1071" s="35">
        <v>1.0900000000000001</v>
      </c>
      <c r="N1071" s="35">
        <v>6.46</v>
      </c>
      <c r="O1071" s="12">
        <v>0</v>
      </c>
      <c r="P1071" s="35">
        <v>100</v>
      </c>
      <c r="Q1071" s="35">
        <v>60</v>
      </c>
      <c r="R1071" s="35">
        <v>60</v>
      </c>
      <c r="S1071" s="35">
        <v>30</v>
      </c>
      <c r="T1071" s="21">
        <v>1.92164848558256</v>
      </c>
      <c r="U1071" s="21">
        <v>0.159035978653812</v>
      </c>
      <c r="V1071" s="37" t="s">
        <v>6</v>
      </c>
      <c r="W1071" s="37" t="s">
        <v>6</v>
      </c>
      <c r="X1071" s="35">
        <v>90</v>
      </c>
      <c r="Y1071" s="23" t="s">
        <v>6</v>
      </c>
      <c r="Z1071" s="21">
        <v>15.629999999999999</v>
      </c>
      <c r="AA1071" s="35">
        <v>30</v>
      </c>
      <c r="AB1071" s="37" t="s">
        <v>1</v>
      </c>
      <c r="AC1071" s="27" t="s">
        <v>210</v>
      </c>
    </row>
    <row r="1072" spans="1:29">
      <c r="A1072" s="35" t="s">
        <v>233</v>
      </c>
      <c r="B1072" s="35" t="s">
        <v>180</v>
      </c>
      <c r="C1072" s="35" t="s">
        <v>60</v>
      </c>
      <c r="D1072" s="35">
        <v>600</v>
      </c>
      <c r="E1072" s="12">
        <v>46.589999999999996</v>
      </c>
      <c r="F1072" s="48">
        <v>12.2</v>
      </c>
      <c r="G1072" s="35">
        <v>0</v>
      </c>
      <c r="H1072" s="35">
        <v>0</v>
      </c>
      <c r="I1072" s="35">
        <v>0</v>
      </c>
      <c r="J1072" s="35">
        <v>0</v>
      </c>
      <c r="K1072" s="35">
        <v>0</v>
      </c>
      <c r="L1072" s="35">
        <v>1224.8599999999999</v>
      </c>
      <c r="M1072" s="35">
        <v>1.0900000000000001</v>
      </c>
      <c r="N1072" s="35">
        <v>6.46</v>
      </c>
      <c r="O1072" s="12">
        <v>0</v>
      </c>
      <c r="P1072" s="35">
        <v>100</v>
      </c>
      <c r="Q1072" s="35">
        <v>60</v>
      </c>
      <c r="R1072" s="35">
        <v>60</v>
      </c>
      <c r="S1072" s="35">
        <v>30</v>
      </c>
      <c r="T1072" s="21">
        <v>1.92164848558256</v>
      </c>
      <c r="U1072" s="21">
        <v>0.159035978653812</v>
      </c>
      <c r="V1072" s="37" t="s">
        <v>6</v>
      </c>
      <c r="W1072" s="37" t="s">
        <v>6</v>
      </c>
      <c r="X1072" s="35">
        <v>150</v>
      </c>
      <c r="Y1072" s="23" t="s">
        <v>6</v>
      </c>
      <c r="Z1072" s="21">
        <v>66.039999999999992</v>
      </c>
      <c r="AA1072" s="35">
        <v>30</v>
      </c>
      <c r="AB1072" s="37" t="s">
        <v>1</v>
      </c>
      <c r="AC1072" s="27" t="s">
        <v>210</v>
      </c>
    </row>
    <row r="1073" spans="1:29">
      <c r="A1073" s="35" t="s">
        <v>233</v>
      </c>
      <c r="B1073" s="35" t="s">
        <v>180</v>
      </c>
      <c r="C1073" s="35" t="s">
        <v>60</v>
      </c>
      <c r="D1073" s="35">
        <v>600</v>
      </c>
      <c r="E1073" s="12">
        <v>46.589999999999996</v>
      </c>
      <c r="F1073" s="48">
        <v>12.2</v>
      </c>
      <c r="G1073" s="35">
        <v>0</v>
      </c>
      <c r="H1073" s="35">
        <v>0</v>
      </c>
      <c r="I1073" s="35">
        <v>0</v>
      </c>
      <c r="J1073" s="35">
        <v>0</v>
      </c>
      <c r="K1073" s="35">
        <v>0</v>
      </c>
      <c r="L1073" s="35">
        <v>1224.8599999999999</v>
      </c>
      <c r="M1073" s="35">
        <v>1.0900000000000001</v>
      </c>
      <c r="N1073" s="35">
        <v>6.46</v>
      </c>
      <c r="O1073" s="12">
        <v>0</v>
      </c>
      <c r="P1073" s="35">
        <v>100</v>
      </c>
      <c r="Q1073" s="35">
        <v>60</v>
      </c>
      <c r="R1073" s="35">
        <v>60</v>
      </c>
      <c r="S1073" s="35">
        <v>60</v>
      </c>
      <c r="T1073" s="21">
        <v>2.7491767413340198</v>
      </c>
      <c r="U1073" s="21">
        <v>0.22748700292649299</v>
      </c>
      <c r="V1073" s="37" t="s">
        <v>6</v>
      </c>
      <c r="W1073" s="37" t="s">
        <v>6</v>
      </c>
      <c r="X1073" s="35" t="s">
        <v>6</v>
      </c>
      <c r="Y1073" s="23" t="s">
        <v>6</v>
      </c>
      <c r="Z1073" s="21" t="s">
        <v>6</v>
      </c>
      <c r="AA1073" s="35" t="s">
        <v>6</v>
      </c>
      <c r="AB1073" s="37" t="s">
        <v>1</v>
      </c>
      <c r="AC1073" s="27" t="s">
        <v>210</v>
      </c>
    </row>
    <row r="1074" spans="1:29">
      <c r="A1074" s="35" t="s">
        <v>233</v>
      </c>
      <c r="B1074" s="35" t="s">
        <v>180</v>
      </c>
      <c r="C1074" s="35" t="s">
        <v>60</v>
      </c>
      <c r="D1074" s="35">
        <v>600</v>
      </c>
      <c r="E1074" s="12">
        <v>46.589999999999996</v>
      </c>
      <c r="F1074" s="48">
        <v>12.2</v>
      </c>
      <c r="G1074" s="35">
        <v>0</v>
      </c>
      <c r="H1074" s="35">
        <v>0</v>
      </c>
      <c r="I1074" s="35">
        <v>0</v>
      </c>
      <c r="J1074" s="35">
        <v>0</v>
      </c>
      <c r="K1074" s="35">
        <v>0</v>
      </c>
      <c r="L1074" s="35">
        <v>1224.8599999999999</v>
      </c>
      <c r="M1074" s="35">
        <v>1.0900000000000001</v>
      </c>
      <c r="N1074" s="35">
        <v>6.46</v>
      </c>
      <c r="O1074" s="12">
        <v>0</v>
      </c>
      <c r="P1074" s="35">
        <v>100</v>
      </c>
      <c r="Q1074" s="35">
        <v>60</v>
      </c>
      <c r="R1074" s="35">
        <v>60</v>
      </c>
      <c r="S1074" s="35">
        <v>90</v>
      </c>
      <c r="T1074" s="21">
        <v>3.08247727049062</v>
      </c>
      <c r="U1074" s="21">
        <v>0.25491671544155597</v>
      </c>
      <c r="V1074" s="37" t="s">
        <v>6</v>
      </c>
      <c r="W1074" s="37" t="s">
        <v>6</v>
      </c>
      <c r="X1074" s="35" t="s">
        <v>6</v>
      </c>
      <c r="Y1074" s="23" t="s">
        <v>6</v>
      </c>
      <c r="Z1074" s="21" t="s">
        <v>6</v>
      </c>
      <c r="AA1074" s="35" t="s">
        <v>6</v>
      </c>
      <c r="AB1074" s="37" t="s">
        <v>1</v>
      </c>
      <c r="AC1074" s="27" t="s">
        <v>210</v>
      </c>
    </row>
    <row r="1075" spans="1:29">
      <c r="A1075" s="35" t="s">
        <v>233</v>
      </c>
      <c r="B1075" s="35" t="s">
        <v>180</v>
      </c>
      <c r="C1075" s="35" t="s">
        <v>60</v>
      </c>
      <c r="D1075" s="35">
        <v>600</v>
      </c>
      <c r="E1075" s="12">
        <v>46.589999999999996</v>
      </c>
      <c r="F1075" s="48">
        <v>12.2</v>
      </c>
      <c r="G1075" s="35">
        <v>0</v>
      </c>
      <c r="H1075" s="35">
        <v>0</v>
      </c>
      <c r="I1075" s="35">
        <v>0</v>
      </c>
      <c r="J1075" s="35">
        <v>0</v>
      </c>
      <c r="K1075" s="35">
        <v>0</v>
      </c>
      <c r="L1075" s="35">
        <v>1224.8599999999999</v>
      </c>
      <c r="M1075" s="35">
        <v>1.0900000000000001</v>
      </c>
      <c r="N1075" s="35">
        <v>6.46</v>
      </c>
      <c r="O1075" s="12">
        <v>0</v>
      </c>
      <c r="P1075" s="35">
        <v>100</v>
      </c>
      <c r="Q1075" s="35">
        <v>60</v>
      </c>
      <c r="R1075" s="35">
        <v>60</v>
      </c>
      <c r="S1075" s="35">
        <v>120</v>
      </c>
      <c r="T1075" s="21">
        <v>1.8343641415020699</v>
      </c>
      <c r="U1075" s="21">
        <v>0.153431158547082</v>
      </c>
      <c r="V1075" s="37" t="s">
        <v>6</v>
      </c>
      <c r="W1075" s="37" t="s">
        <v>6</v>
      </c>
      <c r="X1075" s="35" t="s">
        <v>6</v>
      </c>
      <c r="Y1075" s="23" t="s">
        <v>6</v>
      </c>
      <c r="Z1075" s="21" t="s">
        <v>6</v>
      </c>
      <c r="AA1075" s="35" t="s">
        <v>6</v>
      </c>
      <c r="AB1075" s="37" t="s">
        <v>1</v>
      </c>
      <c r="AC1075" s="27" t="s">
        <v>210</v>
      </c>
    </row>
    <row r="1076" spans="1:29">
      <c r="A1076" s="35" t="s">
        <v>235</v>
      </c>
      <c r="B1076" s="35" t="s">
        <v>180</v>
      </c>
      <c r="C1076" s="35" t="s">
        <v>61</v>
      </c>
      <c r="D1076" s="35">
        <v>600</v>
      </c>
      <c r="E1076" s="12">
        <v>30.98</v>
      </c>
      <c r="F1076" s="21">
        <v>8.1499999999999986</v>
      </c>
      <c r="G1076" s="35">
        <v>0</v>
      </c>
      <c r="H1076" s="35">
        <v>0</v>
      </c>
      <c r="I1076" s="35">
        <v>0</v>
      </c>
      <c r="J1076" s="35">
        <v>0</v>
      </c>
      <c r="K1076" s="35">
        <v>0</v>
      </c>
      <c r="L1076" s="35">
        <v>463.59</v>
      </c>
      <c r="M1076" s="35">
        <v>1.46</v>
      </c>
      <c r="N1076" s="35">
        <v>14.86</v>
      </c>
      <c r="O1076" s="12">
        <v>0</v>
      </c>
      <c r="P1076" s="35">
        <v>100</v>
      </c>
      <c r="Q1076" s="35">
        <v>60</v>
      </c>
      <c r="R1076" s="35">
        <v>60</v>
      </c>
      <c r="S1076" s="35">
        <v>30</v>
      </c>
      <c r="T1076" s="21">
        <v>2.9211397134505299</v>
      </c>
      <c r="U1076" s="21">
        <v>0.363771604813941</v>
      </c>
      <c r="V1076" s="37" t="s">
        <v>6</v>
      </c>
      <c r="W1076" s="37" t="s">
        <v>6</v>
      </c>
      <c r="X1076" s="35" t="s">
        <v>6</v>
      </c>
      <c r="Y1076" s="23" t="s">
        <v>6</v>
      </c>
      <c r="Z1076" s="21" t="s">
        <v>6</v>
      </c>
      <c r="AA1076" s="35" t="s">
        <v>6</v>
      </c>
      <c r="AB1076" s="37" t="s">
        <v>1</v>
      </c>
      <c r="AC1076" s="27" t="s">
        <v>210</v>
      </c>
    </row>
    <row r="1077" spans="1:29">
      <c r="A1077" s="35" t="s">
        <v>235</v>
      </c>
      <c r="B1077" s="35" t="s">
        <v>180</v>
      </c>
      <c r="C1077" s="35" t="s">
        <v>60</v>
      </c>
      <c r="D1077" s="35">
        <v>600</v>
      </c>
      <c r="E1077" s="12">
        <v>30.98</v>
      </c>
      <c r="F1077" s="21">
        <v>8.1499999999999986</v>
      </c>
      <c r="G1077" s="35">
        <v>0</v>
      </c>
      <c r="H1077" s="35">
        <v>0</v>
      </c>
      <c r="I1077" s="35">
        <v>0</v>
      </c>
      <c r="J1077" s="35">
        <v>0</v>
      </c>
      <c r="K1077" s="35">
        <v>0</v>
      </c>
      <c r="L1077" s="35">
        <v>463.59</v>
      </c>
      <c r="M1077" s="35">
        <v>1.46</v>
      </c>
      <c r="N1077" s="35">
        <v>14.86</v>
      </c>
      <c r="O1077" s="12">
        <v>0</v>
      </c>
      <c r="P1077" s="35">
        <v>100</v>
      </c>
      <c r="Q1077" s="35">
        <v>60</v>
      </c>
      <c r="R1077" s="35">
        <v>60</v>
      </c>
      <c r="S1077" s="35">
        <v>60</v>
      </c>
      <c r="T1077" s="21">
        <v>2.6652831528675498</v>
      </c>
      <c r="U1077" s="21">
        <v>0.33043900123737102</v>
      </c>
      <c r="V1077" s="37" t="s">
        <v>6</v>
      </c>
      <c r="W1077" s="37" t="s">
        <v>6</v>
      </c>
      <c r="X1077" s="35" t="s">
        <v>6</v>
      </c>
      <c r="Y1077" s="23" t="s">
        <v>6</v>
      </c>
      <c r="Z1077" s="21" t="s">
        <v>6</v>
      </c>
      <c r="AA1077" s="35" t="s">
        <v>6</v>
      </c>
      <c r="AB1077" s="37" t="s">
        <v>1</v>
      </c>
      <c r="AC1077" s="27" t="s">
        <v>210</v>
      </c>
    </row>
    <row r="1078" spans="1:29">
      <c r="A1078" s="35" t="s">
        <v>234</v>
      </c>
      <c r="B1078" s="35" t="s">
        <v>180</v>
      </c>
      <c r="C1078" s="35" t="s">
        <v>60</v>
      </c>
      <c r="D1078" s="35">
        <v>600</v>
      </c>
      <c r="E1078" s="12">
        <v>30.98</v>
      </c>
      <c r="F1078" s="21">
        <v>8.1499999999999986</v>
      </c>
      <c r="G1078" s="35">
        <v>0</v>
      </c>
      <c r="H1078" s="35">
        <v>0</v>
      </c>
      <c r="I1078" s="35">
        <v>0</v>
      </c>
      <c r="J1078" s="35">
        <v>0</v>
      </c>
      <c r="K1078" s="35">
        <v>0</v>
      </c>
      <c r="L1078" s="35">
        <v>463.59</v>
      </c>
      <c r="M1078" s="35">
        <v>1.46</v>
      </c>
      <c r="N1078" s="35">
        <v>14.86</v>
      </c>
      <c r="O1078" s="12">
        <v>0</v>
      </c>
      <c r="P1078" s="35">
        <v>100</v>
      </c>
      <c r="Q1078" s="35">
        <v>60</v>
      </c>
      <c r="R1078" s="35">
        <v>60</v>
      </c>
      <c r="S1078" s="35">
        <v>90</v>
      </c>
      <c r="T1078" s="21">
        <v>2.3207367532627901</v>
      </c>
      <c r="U1078" s="21">
        <v>0.28879522704045801</v>
      </c>
      <c r="V1078" s="37" t="s">
        <v>6</v>
      </c>
      <c r="W1078" s="37" t="s">
        <v>6</v>
      </c>
      <c r="X1078" s="35" t="s">
        <v>6</v>
      </c>
      <c r="Y1078" s="23" t="s">
        <v>6</v>
      </c>
      <c r="Z1078" s="21" t="s">
        <v>6</v>
      </c>
      <c r="AA1078" s="35" t="s">
        <v>6</v>
      </c>
      <c r="AB1078" s="37" t="s">
        <v>1</v>
      </c>
      <c r="AC1078" s="27" t="s">
        <v>210</v>
      </c>
    </row>
    <row r="1079" spans="1:29">
      <c r="A1079" s="35" t="s">
        <v>235</v>
      </c>
      <c r="B1079" s="35" t="s">
        <v>180</v>
      </c>
      <c r="C1079" s="35" t="s">
        <v>60</v>
      </c>
      <c r="D1079" s="35">
        <v>600</v>
      </c>
      <c r="E1079" s="12">
        <v>30.98</v>
      </c>
      <c r="F1079" s="21">
        <v>8.1499999999999986</v>
      </c>
      <c r="G1079" s="35">
        <v>0</v>
      </c>
      <c r="H1079" s="35">
        <v>0</v>
      </c>
      <c r="I1079" s="35">
        <v>0</v>
      </c>
      <c r="J1079" s="35">
        <v>0</v>
      </c>
      <c r="K1079" s="35">
        <v>0</v>
      </c>
      <c r="L1079" s="35">
        <v>463.59</v>
      </c>
      <c r="M1079" s="35">
        <v>1.46</v>
      </c>
      <c r="N1079" s="35">
        <v>14.86</v>
      </c>
      <c r="O1079" s="12">
        <v>0</v>
      </c>
      <c r="P1079" s="35">
        <v>100</v>
      </c>
      <c r="Q1079" s="35">
        <v>60</v>
      </c>
      <c r="R1079" s="35">
        <v>60</v>
      </c>
      <c r="S1079" s="35">
        <v>120</v>
      </c>
      <c r="T1079" s="21">
        <v>1.4211088352752199</v>
      </c>
      <c r="U1079" s="21">
        <v>0.177525126255208</v>
      </c>
      <c r="V1079" s="37" t="s">
        <v>6</v>
      </c>
      <c r="W1079" s="37" t="s">
        <v>6</v>
      </c>
      <c r="X1079" s="35" t="s">
        <v>6</v>
      </c>
      <c r="Y1079" s="23" t="s">
        <v>6</v>
      </c>
      <c r="Z1079" s="21" t="s">
        <v>6</v>
      </c>
      <c r="AA1079" s="35" t="s">
        <v>6</v>
      </c>
      <c r="AB1079" s="37" t="s">
        <v>1</v>
      </c>
      <c r="AC1079" s="27" t="s">
        <v>210</v>
      </c>
    </row>
    <row r="1080" spans="1:29">
      <c r="A1080" s="35" t="s">
        <v>234</v>
      </c>
      <c r="B1080" s="35" t="s">
        <v>180</v>
      </c>
      <c r="C1080" s="35" t="s">
        <v>60</v>
      </c>
      <c r="D1080" s="35">
        <v>600</v>
      </c>
      <c r="E1080" s="12">
        <v>47.79</v>
      </c>
      <c r="F1080" s="21">
        <v>12.542857142857144</v>
      </c>
      <c r="G1080" s="35">
        <v>0</v>
      </c>
      <c r="H1080" s="35">
        <v>0</v>
      </c>
      <c r="I1080" s="35">
        <v>0</v>
      </c>
      <c r="J1080" s="35">
        <v>0</v>
      </c>
      <c r="K1080" s="35">
        <v>0</v>
      </c>
      <c r="L1080" s="35">
        <v>463.59</v>
      </c>
      <c r="M1080" s="35">
        <v>1.46</v>
      </c>
      <c r="N1080" s="35">
        <v>14.86</v>
      </c>
      <c r="O1080" s="12">
        <v>0</v>
      </c>
      <c r="P1080" s="35">
        <v>100</v>
      </c>
      <c r="Q1080" s="35">
        <v>60</v>
      </c>
      <c r="R1080" s="35">
        <v>60</v>
      </c>
      <c r="S1080" s="35">
        <v>30</v>
      </c>
      <c r="T1080" s="21">
        <v>4.1739753592161</v>
      </c>
      <c r="U1080" s="21">
        <v>0.334545371751231</v>
      </c>
      <c r="V1080" s="37" t="s">
        <v>6</v>
      </c>
      <c r="W1080" s="37" t="s">
        <v>6</v>
      </c>
      <c r="X1080" s="35">
        <v>90</v>
      </c>
      <c r="Y1080" s="23" t="s">
        <v>6</v>
      </c>
      <c r="Z1080" s="21">
        <v>1.08</v>
      </c>
      <c r="AA1080" s="35">
        <v>30</v>
      </c>
      <c r="AB1080" s="37" t="s">
        <v>1</v>
      </c>
      <c r="AC1080" s="27" t="s">
        <v>210</v>
      </c>
    </row>
    <row r="1081" spans="1:29">
      <c r="A1081" s="35" t="s">
        <v>234</v>
      </c>
      <c r="B1081" s="35" t="s">
        <v>180</v>
      </c>
      <c r="C1081" s="35" t="s">
        <v>60</v>
      </c>
      <c r="D1081" s="35">
        <v>600</v>
      </c>
      <c r="E1081" s="12">
        <v>47.79</v>
      </c>
      <c r="F1081" s="21">
        <v>12.542857142857144</v>
      </c>
      <c r="G1081" s="35">
        <v>0</v>
      </c>
      <c r="H1081" s="35">
        <v>0</v>
      </c>
      <c r="I1081" s="35">
        <v>0</v>
      </c>
      <c r="J1081" s="35">
        <v>0</v>
      </c>
      <c r="K1081" s="35">
        <v>0</v>
      </c>
      <c r="L1081" s="35">
        <v>463.59</v>
      </c>
      <c r="M1081" s="35">
        <v>1.46</v>
      </c>
      <c r="N1081" s="35">
        <v>14.86</v>
      </c>
      <c r="O1081" s="12">
        <v>0</v>
      </c>
      <c r="P1081" s="35">
        <v>100</v>
      </c>
      <c r="Q1081" s="35">
        <v>60</v>
      </c>
      <c r="R1081" s="35">
        <v>60</v>
      </c>
      <c r="S1081" s="35">
        <v>30</v>
      </c>
      <c r="T1081" s="21">
        <v>4.1739753592161</v>
      </c>
      <c r="U1081" s="21">
        <v>0.334545371751231</v>
      </c>
      <c r="V1081" s="37" t="s">
        <v>6</v>
      </c>
      <c r="W1081" s="37" t="s">
        <v>6</v>
      </c>
      <c r="X1081" s="35">
        <v>150</v>
      </c>
      <c r="Y1081" s="23" t="s">
        <v>6</v>
      </c>
      <c r="Z1081" s="21">
        <v>8.08</v>
      </c>
      <c r="AA1081" s="35">
        <v>30</v>
      </c>
      <c r="AB1081" s="37" t="s">
        <v>1</v>
      </c>
      <c r="AC1081" s="27" t="s">
        <v>210</v>
      </c>
    </row>
    <row r="1082" spans="1:29">
      <c r="A1082" s="35" t="s">
        <v>234</v>
      </c>
      <c r="B1082" s="35" t="s">
        <v>180</v>
      </c>
      <c r="C1082" s="35" t="s">
        <v>60</v>
      </c>
      <c r="D1082" s="35">
        <v>600</v>
      </c>
      <c r="E1082" s="12">
        <v>47.79</v>
      </c>
      <c r="F1082" s="21">
        <v>12.542857142857144</v>
      </c>
      <c r="G1082" s="35">
        <v>0</v>
      </c>
      <c r="H1082" s="35">
        <v>0</v>
      </c>
      <c r="I1082" s="35">
        <v>0</v>
      </c>
      <c r="J1082" s="35">
        <v>0</v>
      </c>
      <c r="K1082" s="35">
        <v>0</v>
      </c>
      <c r="L1082" s="35">
        <v>463.59</v>
      </c>
      <c r="M1082" s="35">
        <v>1.46</v>
      </c>
      <c r="N1082" s="35">
        <v>14.86</v>
      </c>
      <c r="O1082" s="12">
        <v>0</v>
      </c>
      <c r="P1082" s="35">
        <v>100</v>
      </c>
      <c r="Q1082" s="35">
        <v>60</v>
      </c>
      <c r="R1082" s="35">
        <v>60</v>
      </c>
      <c r="S1082" s="35">
        <v>60</v>
      </c>
      <c r="T1082" s="21">
        <v>4.1010797068631799</v>
      </c>
      <c r="U1082" s="21">
        <v>0.330726408642184</v>
      </c>
      <c r="V1082" s="37" t="s">
        <v>6</v>
      </c>
      <c r="W1082" s="37" t="s">
        <v>6</v>
      </c>
      <c r="X1082" s="35" t="s">
        <v>6</v>
      </c>
      <c r="Y1082" s="23" t="s">
        <v>6</v>
      </c>
      <c r="Z1082" s="21" t="s">
        <v>6</v>
      </c>
      <c r="AA1082" s="35" t="s">
        <v>6</v>
      </c>
      <c r="AB1082" s="37" t="s">
        <v>1</v>
      </c>
      <c r="AC1082" s="27" t="s">
        <v>210</v>
      </c>
    </row>
    <row r="1083" spans="1:29">
      <c r="A1083" s="35" t="s">
        <v>234</v>
      </c>
      <c r="B1083" s="35" t="s">
        <v>180</v>
      </c>
      <c r="C1083" s="35" t="s">
        <v>60</v>
      </c>
      <c r="D1083" s="35">
        <v>600</v>
      </c>
      <c r="E1083" s="12">
        <v>47.79</v>
      </c>
      <c r="F1083" s="21">
        <v>12.542857142857144</v>
      </c>
      <c r="G1083" s="35">
        <v>0</v>
      </c>
      <c r="H1083" s="35">
        <v>0</v>
      </c>
      <c r="I1083" s="35">
        <v>0</v>
      </c>
      <c r="J1083" s="35">
        <v>0</v>
      </c>
      <c r="K1083" s="35">
        <v>0</v>
      </c>
      <c r="L1083" s="35">
        <v>463.59</v>
      </c>
      <c r="M1083" s="35">
        <v>1.46</v>
      </c>
      <c r="N1083" s="35">
        <v>14.86</v>
      </c>
      <c r="O1083" s="12">
        <v>0</v>
      </c>
      <c r="P1083" s="35">
        <v>100</v>
      </c>
      <c r="Q1083" s="35">
        <v>60</v>
      </c>
      <c r="R1083" s="35">
        <v>60</v>
      </c>
      <c r="S1083" s="35">
        <v>90</v>
      </c>
      <c r="T1083" s="21">
        <v>3.7979177817118801</v>
      </c>
      <c r="U1083" s="21">
        <v>0.30598975596641098</v>
      </c>
      <c r="V1083" s="37" t="s">
        <v>6</v>
      </c>
      <c r="W1083" s="37" t="s">
        <v>6</v>
      </c>
      <c r="X1083" s="35" t="s">
        <v>6</v>
      </c>
      <c r="Y1083" s="23" t="s">
        <v>6</v>
      </c>
      <c r="Z1083" s="21" t="s">
        <v>6</v>
      </c>
      <c r="AA1083" s="35" t="s">
        <v>6</v>
      </c>
      <c r="AB1083" s="37" t="s">
        <v>1</v>
      </c>
      <c r="AC1083" s="27" t="s">
        <v>210</v>
      </c>
    </row>
    <row r="1084" spans="1:29">
      <c r="A1084" s="35" t="s">
        <v>234</v>
      </c>
      <c r="B1084" s="35" t="s">
        <v>180</v>
      </c>
      <c r="C1084" s="35" t="s">
        <v>60</v>
      </c>
      <c r="D1084" s="35">
        <v>600</v>
      </c>
      <c r="E1084" s="12">
        <v>47.79</v>
      </c>
      <c r="F1084" s="21">
        <v>12.542857142857144</v>
      </c>
      <c r="G1084" s="35">
        <v>0</v>
      </c>
      <c r="H1084" s="35">
        <v>0</v>
      </c>
      <c r="I1084" s="35">
        <v>0</v>
      </c>
      <c r="J1084" s="35">
        <v>0</v>
      </c>
      <c r="K1084" s="35">
        <v>0</v>
      </c>
      <c r="L1084" s="35">
        <v>463.59</v>
      </c>
      <c r="M1084" s="35">
        <v>1.46</v>
      </c>
      <c r="N1084" s="35">
        <v>14.86</v>
      </c>
      <c r="O1084" s="12">
        <v>0</v>
      </c>
      <c r="P1084" s="35">
        <v>100</v>
      </c>
      <c r="Q1084" s="35">
        <v>60</v>
      </c>
      <c r="R1084" s="35">
        <v>60</v>
      </c>
      <c r="S1084" s="35">
        <v>120</v>
      </c>
      <c r="T1084" s="21">
        <v>2.4908137428465502</v>
      </c>
      <c r="U1084" s="21">
        <v>0.201305505664508</v>
      </c>
      <c r="V1084" s="37" t="s">
        <v>6</v>
      </c>
      <c r="W1084" s="37" t="s">
        <v>6</v>
      </c>
      <c r="X1084" s="35" t="s">
        <v>6</v>
      </c>
      <c r="Y1084" s="23" t="s">
        <v>6</v>
      </c>
      <c r="Z1084" s="21" t="s">
        <v>6</v>
      </c>
      <c r="AA1084" s="35" t="s">
        <v>6</v>
      </c>
      <c r="AB1084" s="37" t="s">
        <v>1</v>
      </c>
      <c r="AC1084" s="27" t="s">
        <v>210</v>
      </c>
    </row>
    <row r="1085" spans="1:29" ht="14.55" customHeight="1">
      <c r="A1085" s="35" t="s">
        <v>237</v>
      </c>
      <c r="B1085" s="38" t="s">
        <v>180</v>
      </c>
      <c r="C1085" s="35" t="s">
        <v>60</v>
      </c>
      <c r="D1085" s="35">
        <v>600</v>
      </c>
      <c r="E1085" s="12">
        <v>29.110000000000003</v>
      </c>
      <c r="F1085" s="21">
        <v>20.792857142857141</v>
      </c>
      <c r="G1085" s="35">
        <v>0</v>
      </c>
      <c r="H1085" s="35">
        <v>0</v>
      </c>
      <c r="I1085" s="35">
        <v>0</v>
      </c>
      <c r="J1085" s="35">
        <v>0</v>
      </c>
      <c r="K1085" s="35">
        <v>0</v>
      </c>
      <c r="L1085" s="35">
        <v>907.55</v>
      </c>
      <c r="M1085" s="35">
        <v>1.34</v>
      </c>
      <c r="N1085" s="35">
        <v>6.54</v>
      </c>
      <c r="O1085" s="12">
        <v>0</v>
      </c>
      <c r="P1085" s="35">
        <v>100</v>
      </c>
      <c r="Q1085" s="35">
        <v>60</v>
      </c>
      <c r="R1085" s="35">
        <v>60</v>
      </c>
      <c r="S1085" s="35">
        <v>30</v>
      </c>
      <c r="T1085" s="21">
        <v>2.6919461875422002</v>
      </c>
      <c r="U1085" s="21">
        <v>0.358681875792142</v>
      </c>
      <c r="V1085" s="37" t="s">
        <v>6</v>
      </c>
      <c r="W1085" s="37" t="s">
        <v>6</v>
      </c>
      <c r="X1085" s="35" t="s">
        <v>6</v>
      </c>
      <c r="Y1085" s="23" t="s">
        <v>6</v>
      </c>
      <c r="Z1085" s="21" t="s">
        <v>6</v>
      </c>
      <c r="AA1085" s="35" t="s">
        <v>6</v>
      </c>
      <c r="AB1085" s="37" t="s">
        <v>1</v>
      </c>
      <c r="AC1085" s="27" t="s">
        <v>210</v>
      </c>
    </row>
    <row r="1086" spans="1:29">
      <c r="A1086" s="35" t="s">
        <v>237</v>
      </c>
      <c r="B1086" s="38" t="s">
        <v>180</v>
      </c>
      <c r="C1086" s="35" t="s">
        <v>60</v>
      </c>
      <c r="D1086" s="35">
        <v>600</v>
      </c>
      <c r="E1086" s="12">
        <v>29.110000000000003</v>
      </c>
      <c r="F1086" s="21">
        <v>20.792857142857141</v>
      </c>
      <c r="G1086" s="35">
        <v>0</v>
      </c>
      <c r="H1086" s="35">
        <v>0</v>
      </c>
      <c r="I1086" s="35">
        <v>0</v>
      </c>
      <c r="J1086" s="35">
        <v>0</v>
      </c>
      <c r="K1086" s="35">
        <v>0</v>
      </c>
      <c r="L1086" s="35">
        <v>907.55</v>
      </c>
      <c r="M1086" s="35">
        <v>1.34</v>
      </c>
      <c r="N1086" s="35">
        <v>6.54</v>
      </c>
      <c r="O1086" s="12">
        <v>0</v>
      </c>
      <c r="P1086" s="35">
        <v>100</v>
      </c>
      <c r="Q1086" s="35">
        <v>60</v>
      </c>
      <c r="R1086" s="35">
        <v>60</v>
      </c>
      <c r="S1086" s="35">
        <v>60</v>
      </c>
      <c r="T1086" s="21">
        <v>2.4193889085391</v>
      </c>
      <c r="U1086" s="21">
        <v>0.32217997465145698</v>
      </c>
      <c r="V1086" s="37" t="s">
        <v>6</v>
      </c>
      <c r="W1086" s="37" t="s">
        <v>6</v>
      </c>
      <c r="X1086" s="35" t="s">
        <v>6</v>
      </c>
      <c r="Y1086" s="23" t="s">
        <v>6</v>
      </c>
      <c r="Z1086" s="21" t="s">
        <v>6</v>
      </c>
      <c r="AA1086" s="35" t="s">
        <v>6</v>
      </c>
      <c r="AB1086" s="37" t="s">
        <v>1</v>
      </c>
      <c r="AC1086" s="27" t="s">
        <v>210</v>
      </c>
    </row>
    <row r="1087" spans="1:29">
      <c r="A1087" s="35" t="s">
        <v>237</v>
      </c>
      <c r="B1087" s="38" t="s">
        <v>180</v>
      </c>
      <c r="C1087" s="35" t="s">
        <v>60</v>
      </c>
      <c r="D1087" s="35">
        <v>600</v>
      </c>
      <c r="E1087" s="12">
        <v>29.110000000000003</v>
      </c>
      <c r="F1087" s="21">
        <v>20.792857142857141</v>
      </c>
      <c r="G1087" s="35">
        <v>0</v>
      </c>
      <c r="H1087" s="35">
        <v>0</v>
      </c>
      <c r="I1087" s="35">
        <v>0</v>
      </c>
      <c r="J1087" s="35">
        <v>0</v>
      </c>
      <c r="K1087" s="35">
        <v>0</v>
      </c>
      <c r="L1087" s="35">
        <v>907.55</v>
      </c>
      <c r="M1087" s="35">
        <v>1.34</v>
      </c>
      <c r="N1087" s="35">
        <v>6.54</v>
      </c>
      <c r="O1087" s="12">
        <v>0</v>
      </c>
      <c r="P1087" s="35">
        <v>100</v>
      </c>
      <c r="Q1087" s="35">
        <v>60</v>
      </c>
      <c r="R1087" s="35">
        <v>60</v>
      </c>
      <c r="S1087" s="35">
        <v>90</v>
      </c>
      <c r="T1087" s="21">
        <v>2.12957186990623</v>
      </c>
      <c r="U1087" s="21">
        <v>0.283143219264892</v>
      </c>
      <c r="V1087" s="37" t="s">
        <v>6</v>
      </c>
      <c r="W1087" s="37" t="s">
        <v>6</v>
      </c>
      <c r="X1087" s="35" t="s">
        <v>6</v>
      </c>
      <c r="Y1087" s="23" t="s">
        <v>6</v>
      </c>
      <c r="Z1087" s="21" t="s">
        <v>6</v>
      </c>
      <c r="AA1087" s="35" t="s">
        <v>6</v>
      </c>
      <c r="AB1087" s="37" t="s">
        <v>1</v>
      </c>
      <c r="AC1087" s="27" t="s">
        <v>210</v>
      </c>
    </row>
    <row r="1088" spans="1:29">
      <c r="A1088" s="35" t="s">
        <v>237</v>
      </c>
      <c r="B1088" s="38" t="s">
        <v>180</v>
      </c>
      <c r="C1088" s="35" t="s">
        <v>60</v>
      </c>
      <c r="D1088" s="35">
        <v>600</v>
      </c>
      <c r="E1088" s="12">
        <v>29.110000000000003</v>
      </c>
      <c r="F1088" s="21">
        <v>20.792857142857141</v>
      </c>
      <c r="G1088" s="35">
        <v>0</v>
      </c>
      <c r="H1088" s="35">
        <v>0</v>
      </c>
      <c r="I1088" s="35">
        <v>0</v>
      </c>
      <c r="J1088" s="35">
        <v>0</v>
      </c>
      <c r="K1088" s="35">
        <v>0</v>
      </c>
      <c r="L1088" s="35">
        <v>907.55</v>
      </c>
      <c r="M1088" s="35">
        <v>1.34</v>
      </c>
      <c r="N1088" s="35">
        <v>6.54</v>
      </c>
      <c r="O1088" s="12">
        <v>0</v>
      </c>
      <c r="P1088" s="35">
        <v>100</v>
      </c>
      <c r="Q1088" s="35">
        <v>60</v>
      </c>
      <c r="R1088" s="35">
        <v>60</v>
      </c>
      <c r="S1088" s="35">
        <v>120</v>
      </c>
      <c r="T1088" s="21">
        <v>1.3272453393949399</v>
      </c>
      <c r="U1088" s="21">
        <v>0.17972116603295299</v>
      </c>
      <c r="V1088" s="37" t="s">
        <v>6</v>
      </c>
      <c r="W1088" s="37" t="s">
        <v>6</v>
      </c>
      <c r="X1088" s="35" t="s">
        <v>6</v>
      </c>
      <c r="Y1088" s="23" t="s">
        <v>6</v>
      </c>
      <c r="Z1088" s="21" t="s">
        <v>6</v>
      </c>
      <c r="AA1088" s="35" t="s">
        <v>6</v>
      </c>
      <c r="AB1088" s="37" t="s">
        <v>1</v>
      </c>
      <c r="AC1088" s="27" t="s">
        <v>210</v>
      </c>
    </row>
    <row r="1089" spans="1:30">
      <c r="A1089" s="35" t="s">
        <v>237</v>
      </c>
      <c r="B1089" s="38" t="s">
        <v>180</v>
      </c>
      <c r="C1089" s="35" t="s">
        <v>60</v>
      </c>
      <c r="D1089" s="35">
        <v>600</v>
      </c>
      <c r="E1089" s="12">
        <v>47.344999999999999</v>
      </c>
      <c r="F1089" s="21">
        <v>33.81428571428571</v>
      </c>
      <c r="G1089" s="35">
        <v>0</v>
      </c>
      <c r="H1089" s="35">
        <v>0</v>
      </c>
      <c r="I1089" s="35">
        <v>0</v>
      </c>
      <c r="J1089" s="35">
        <v>0</v>
      </c>
      <c r="K1089" s="35">
        <v>0</v>
      </c>
      <c r="L1089" s="35">
        <v>907.55</v>
      </c>
      <c r="M1089" s="35">
        <v>1.34</v>
      </c>
      <c r="N1089" s="35">
        <v>6.54</v>
      </c>
      <c r="O1089" s="12">
        <v>0</v>
      </c>
      <c r="P1089" s="35">
        <v>100</v>
      </c>
      <c r="Q1089" s="35">
        <v>60</v>
      </c>
      <c r="R1089" s="35">
        <v>60</v>
      </c>
      <c r="S1089" s="35">
        <v>30</v>
      </c>
      <c r="T1089" s="21">
        <v>3.2731236998909199</v>
      </c>
      <c r="U1089" s="21">
        <v>0.26641318124207802</v>
      </c>
      <c r="V1089" s="37" t="s">
        <v>6</v>
      </c>
      <c r="W1089" s="37" t="s">
        <v>6</v>
      </c>
      <c r="X1089" s="35">
        <v>90</v>
      </c>
      <c r="Y1089" s="23" t="s">
        <v>6</v>
      </c>
      <c r="Z1089" s="21">
        <v>2.41</v>
      </c>
      <c r="AA1089" s="35">
        <v>30</v>
      </c>
      <c r="AB1089" s="37" t="s">
        <v>1</v>
      </c>
      <c r="AC1089" s="27" t="s">
        <v>210</v>
      </c>
    </row>
    <row r="1090" spans="1:30">
      <c r="A1090" s="35" t="s">
        <v>237</v>
      </c>
      <c r="B1090" s="38" t="s">
        <v>180</v>
      </c>
      <c r="C1090" s="35" t="s">
        <v>60</v>
      </c>
      <c r="D1090" s="35">
        <v>600</v>
      </c>
      <c r="E1090" s="12">
        <v>47.344999999999999</v>
      </c>
      <c r="F1090" s="21">
        <v>33.81428571428571</v>
      </c>
      <c r="G1090" s="35">
        <v>0</v>
      </c>
      <c r="H1090" s="35">
        <v>0</v>
      </c>
      <c r="I1090" s="35">
        <v>0</v>
      </c>
      <c r="J1090" s="35">
        <v>0</v>
      </c>
      <c r="K1090" s="35">
        <v>0</v>
      </c>
      <c r="L1090" s="35">
        <v>907.55</v>
      </c>
      <c r="M1090" s="35">
        <v>1.34</v>
      </c>
      <c r="N1090" s="35">
        <v>6.54</v>
      </c>
      <c r="O1090" s="12">
        <v>0</v>
      </c>
      <c r="P1090" s="35">
        <v>100</v>
      </c>
      <c r="Q1090" s="35">
        <v>60</v>
      </c>
      <c r="R1090" s="35">
        <v>60</v>
      </c>
      <c r="S1090" s="35">
        <v>30</v>
      </c>
      <c r="T1090" s="21">
        <v>3.2731236998909199</v>
      </c>
      <c r="U1090" s="21">
        <v>0.26641318124207802</v>
      </c>
      <c r="V1090" s="37" t="s">
        <v>6</v>
      </c>
      <c r="W1090" s="37" t="s">
        <v>6</v>
      </c>
      <c r="X1090" s="35">
        <v>150</v>
      </c>
      <c r="Y1090" s="23" t="s">
        <v>6</v>
      </c>
      <c r="Z1090" s="21">
        <v>12.09</v>
      </c>
      <c r="AA1090" s="35">
        <v>30</v>
      </c>
      <c r="AB1090" s="37" t="s">
        <v>1</v>
      </c>
      <c r="AC1090" s="27" t="s">
        <v>210</v>
      </c>
    </row>
    <row r="1091" spans="1:30">
      <c r="A1091" s="35" t="s">
        <v>237</v>
      </c>
      <c r="B1091" s="38" t="s">
        <v>180</v>
      </c>
      <c r="C1091" s="35" t="s">
        <v>60</v>
      </c>
      <c r="D1091" s="35">
        <v>600</v>
      </c>
      <c r="E1091" s="12">
        <v>47.344999999999999</v>
      </c>
      <c r="F1091" s="21">
        <v>33.81428571428571</v>
      </c>
      <c r="G1091" s="35">
        <v>0</v>
      </c>
      <c r="H1091" s="35">
        <v>0</v>
      </c>
      <c r="I1091" s="35">
        <v>0</v>
      </c>
      <c r="J1091" s="35">
        <v>0</v>
      </c>
      <c r="K1091" s="35">
        <v>0</v>
      </c>
      <c r="L1091" s="35">
        <v>907.55</v>
      </c>
      <c r="M1091" s="35">
        <v>1.34</v>
      </c>
      <c r="N1091" s="35">
        <v>6.54</v>
      </c>
      <c r="O1091" s="12">
        <v>0</v>
      </c>
      <c r="P1091" s="35">
        <v>100</v>
      </c>
      <c r="Q1091" s="35">
        <v>60</v>
      </c>
      <c r="R1091" s="35">
        <v>60</v>
      </c>
      <c r="S1091" s="35">
        <v>60</v>
      </c>
      <c r="T1091" s="21">
        <v>2.9660246405453399</v>
      </c>
      <c r="U1091" s="21">
        <v>0.24283903675538601</v>
      </c>
      <c r="V1091" s="37" t="s">
        <v>6</v>
      </c>
      <c r="W1091" s="37" t="s">
        <v>6</v>
      </c>
      <c r="X1091" s="35" t="s">
        <v>6</v>
      </c>
      <c r="Y1091" s="23" t="s">
        <v>6</v>
      </c>
      <c r="Z1091" s="21" t="s">
        <v>6</v>
      </c>
      <c r="AA1091" s="35" t="s">
        <v>6</v>
      </c>
      <c r="AB1091" s="37" t="s">
        <v>1</v>
      </c>
      <c r="AC1091" s="27" t="s">
        <v>210</v>
      </c>
    </row>
    <row r="1092" spans="1:30">
      <c r="A1092" s="35" t="s">
        <v>237</v>
      </c>
      <c r="B1092" s="38" t="s">
        <v>180</v>
      </c>
      <c r="C1092" s="35" t="s">
        <v>60</v>
      </c>
      <c r="D1092" s="35">
        <v>600</v>
      </c>
      <c r="E1092" s="12">
        <v>47.344999999999999</v>
      </c>
      <c r="F1092" s="21">
        <v>33.81428571428571</v>
      </c>
      <c r="G1092" s="35">
        <v>0</v>
      </c>
      <c r="H1092" s="35">
        <v>0</v>
      </c>
      <c r="I1092" s="35">
        <v>0</v>
      </c>
      <c r="J1092" s="35">
        <v>0</v>
      </c>
      <c r="K1092" s="35">
        <v>0</v>
      </c>
      <c r="L1092" s="35">
        <v>907.55</v>
      </c>
      <c r="M1092" s="35">
        <v>1.34</v>
      </c>
      <c r="N1092" s="35">
        <v>6.54</v>
      </c>
      <c r="O1092" s="12">
        <v>0</v>
      </c>
      <c r="P1092" s="35">
        <v>100</v>
      </c>
      <c r="Q1092" s="35">
        <v>60</v>
      </c>
      <c r="R1092" s="35">
        <v>60</v>
      </c>
      <c r="S1092" s="35">
        <v>90</v>
      </c>
      <c r="T1092" s="21">
        <v>2.5034244965903398</v>
      </c>
      <c r="U1092" s="21">
        <v>0.20456273764258501</v>
      </c>
      <c r="V1092" s="37" t="s">
        <v>6</v>
      </c>
      <c r="W1092" s="37" t="s">
        <v>6</v>
      </c>
      <c r="X1092" s="35" t="s">
        <v>6</v>
      </c>
      <c r="Y1092" s="23" t="s">
        <v>6</v>
      </c>
      <c r="Z1092" s="21" t="s">
        <v>6</v>
      </c>
      <c r="AA1092" s="35" t="s">
        <v>6</v>
      </c>
      <c r="AB1092" s="37" t="s">
        <v>1</v>
      </c>
      <c r="AC1092" s="27" t="s">
        <v>210</v>
      </c>
    </row>
    <row r="1093" spans="1:30">
      <c r="A1093" s="35" t="s">
        <v>237</v>
      </c>
      <c r="B1093" s="38" t="s">
        <v>180</v>
      </c>
      <c r="C1093" s="35" t="s">
        <v>60</v>
      </c>
      <c r="D1093" s="35">
        <v>600</v>
      </c>
      <c r="E1093" s="12">
        <v>47.344999999999999</v>
      </c>
      <c r="F1093" s="21">
        <v>33.81428571428571</v>
      </c>
      <c r="G1093" s="35">
        <v>0</v>
      </c>
      <c r="H1093" s="35">
        <v>0</v>
      </c>
      <c r="I1093" s="35">
        <v>0</v>
      </c>
      <c r="J1093" s="35">
        <v>0</v>
      </c>
      <c r="K1093" s="35">
        <v>0</v>
      </c>
      <c r="L1093" s="35">
        <v>907.55</v>
      </c>
      <c r="M1093" s="35">
        <v>1.34</v>
      </c>
      <c r="N1093" s="35">
        <v>6.54</v>
      </c>
      <c r="O1093" s="12">
        <v>0</v>
      </c>
      <c r="P1093" s="35">
        <v>100</v>
      </c>
      <c r="Q1093" s="35">
        <v>60</v>
      </c>
      <c r="R1093" s="35">
        <v>60</v>
      </c>
      <c r="S1093" s="35">
        <v>120</v>
      </c>
      <c r="T1093" s="21">
        <v>1.4535176221205901</v>
      </c>
      <c r="U1093" s="21">
        <v>0.12167300380228099</v>
      </c>
      <c r="V1093" s="37" t="s">
        <v>6</v>
      </c>
      <c r="W1093" s="37" t="s">
        <v>6</v>
      </c>
      <c r="X1093" s="35" t="s">
        <v>6</v>
      </c>
      <c r="Y1093" s="23" t="s">
        <v>6</v>
      </c>
      <c r="Z1093" s="21" t="s">
        <v>6</v>
      </c>
      <c r="AA1093" s="35" t="s">
        <v>6</v>
      </c>
      <c r="AB1093" s="37" t="s">
        <v>1</v>
      </c>
      <c r="AC1093" s="27" t="s">
        <v>210</v>
      </c>
    </row>
    <row r="1094" spans="1:30">
      <c r="A1094" s="35" t="s">
        <v>99</v>
      </c>
      <c r="B1094" s="38" t="s">
        <v>180</v>
      </c>
      <c r="C1094" s="35" t="s">
        <v>211</v>
      </c>
      <c r="D1094" s="35">
        <v>350</v>
      </c>
      <c r="E1094" s="12">
        <v>48.6</v>
      </c>
      <c r="F1094" s="35">
        <v>11.7</v>
      </c>
      <c r="G1094" s="35">
        <v>0</v>
      </c>
      <c r="H1094" s="35">
        <v>0</v>
      </c>
      <c r="I1094" s="35">
        <v>0</v>
      </c>
      <c r="J1094" s="35">
        <v>0</v>
      </c>
      <c r="K1094" s="35">
        <v>0</v>
      </c>
      <c r="L1094" s="36">
        <v>330</v>
      </c>
      <c r="M1094" s="35">
        <v>1.369</v>
      </c>
      <c r="N1094" s="21">
        <v>8.0399999999999991</v>
      </c>
      <c r="O1094" s="12">
        <v>0</v>
      </c>
      <c r="P1094" s="35">
        <v>100</v>
      </c>
      <c r="Q1094" s="35">
        <v>60</v>
      </c>
      <c r="R1094" s="35">
        <v>60</v>
      </c>
      <c r="S1094" s="35">
        <v>30</v>
      </c>
      <c r="T1094" s="21">
        <v>2.6594751968944599</v>
      </c>
      <c r="U1094" s="21">
        <v>0.2273055723841419</v>
      </c>
      <c r="V1094" s="37">
        <v>0.86282051282051297</v>
      </c>
      <c r="W1094" s="37" t="s">
        <v>6</v>
      </c>
      <c r="X1094" s="35" t="s">
        <v>6</v>
      </c>
      <c r="Y1094" s="23" t="s">
        <v>6</v>
      </c>
      <c r="Z1094" s="21" t="s">
        <v>6</v>
      </c>
      <c r="AA1094" s="35" t="s">
        <v>6</v>
      </c>
      <c r="AB1094" s="37" t="s">
        <v>1</v>
      </c>
      <c r="AC1094" s="27" t="s">
        <v>212</v>
      </c>
    </row>
    <row r="1095" spans="1:30">
      <c r="A1095" s="35" t="s">
        <v>99</v>
      </c>
      <c r="B1095" s="38" t="s">
        <v>180</v>
      </c>
      <c r="C1095" s="35" t="s">
        <v>211</v>
      </c>
      <c r="D1095" s="35">
        <v>350</v>
      </c>
      <c r="E1095" s="12">
        <v>48.6</v>
      </c>
      <c r="F1095" s="35">
        <v>11.7</v>
      </c>
      <c r="G1095" s="35">
        <v>0</v>
      </c>
      <c r="H1095" s="35">
        <v>0</v>
      </c>
      <c r="I1095" s="35">
        <v>0</v>
      </c>
      <c r="J1095" s="35">
        <v>0</v>
      </c>
      <c r="K1095" s="35">
        <v>0</v>
      </c>
      <c r="L1095" s="36">
        <v>330</v>
      </c>
      <c r="M1095" s="35">
        <v>1.369</v>
      </c>
      <c r="N1095" s="21">
        <v>8.0399999999999991</v>
      </c>
      <c r="O1095" s="12">
        <v>0</v>
      </c>
      <c r="P1095" s="35">
        <v>100</v>
      </c>
      <c r="Q1095" s="35">
        <v>60</v>
      </c>
      <c r="R1095" s="35">
        <v>60</v>
      </c>
      <c r="S1095" s="35">
        <v>45</v>
      </c>
      <c r="T1095" s="21">
        <v>2.7030221591827885</v>
      </c>
      <c r="U1095" s="21">
        <v>0.23102753497288792</v>
      </c>
      <c r="V1095" s="37">
        <v>0.82991452991453096</v>
      </c>
      <c r="W1095" s="37" t="s">
        <v>6</v>
      </c>
      <c r="X1095" s="35" t="s">
        <v>6</v>
      </c>
      <c r="Y1095" s="23" t="s">
        <v>6</v>
      </c>
      <c r="Z1095" s="21" t="s">
        <v>6</v>
      </c>
      <c r="AA1095" s="35" t="s">
        <v>6</v>
      </c>
      <c r="AB1095" s="37" t="s">
        <v>1</v>
      </c>
      <c r="AC1095" s="27" t="s">
        <v>212</v>
      </c>
    </row>
    <row r="1096" spans="1:30">
      <c r="A1096" s="35" t="s">
        <v>99</v>
      </c>
      <c r="B1096" s="38" t="s">
        <v>180</v>
      </c>
      <c r="C1096" s="35" t="s">
        <v>211</v>
      </c>
      <c r="D1096" s="35">
        <v>350</v>
      </c>
      <c r="E1096" s="12">
        <v>48.6</v>
      </c>
      <c r="F1096" s="35">
        <v>11.7</v>
      </c>
      <c r="G1096" s="35">
        <v>0</v>
      </c>
      <c r="H1096" s="35">
        <v>0</v>
      </c>
      <c r="I1096" s="35">
        <v>0</v>
      </c>
      <c r="J1096" s="35">
        <v>0</v>
      </c>
      <c r="K1096" s="35">
        <v>0</v>
      </c>
      <c r="L1096" s="36">
        <v>330</v>
      </c>
      <c r="M1096" s="35">
        <v>1.369</v>
      </c>
      <c r="N1096" s="21">
        <v>8.0399999999999991</v>
      </c>
      <c r="O1096" s="12">
        <v>0</v>
      </c>
      <c r="P1096" s="35">
        <v>100</v>
      </c>
      <c r="Q1096" s="35">
        <v>60</v>
      </c>
      <c r="R1096" s="35">
        <v>60</v>
      </c>
      <c r="S1096" s="35">
        <v>60</v>
      </c>
      <c r="T1096" s="21">
        <v>2.7092431537954131</v>
      </c>
      <c r="U1096" s="21">
        <v>0.2315592439141379</v>
      </c>
      <c r="V1096" s="37">
        <v>0.78888888888889097</v>
      </c>
      <c r="W1096" s="37" t="s">
        <v>6</v>
      </c>
      <c r="X1096" s="35" t="s">
        <v>6</v>
      </c>
      <c r="Y1096" s="23" t="s">
        <v>6</v>
      </c>
      <c r="Z1096" s="21" t="s">
        <v>6</v>
      </c>
      <c r="AA1096" s="35" t="s">
        <v>6</v>
      </c>
      <c r="AB1096" s="37" t="s">
        <v>1</v>
      </c>
      <c r="AC1096" s="27" t="s">
        <v>212</v>
      </c>
    </row>
    <row r="1097" spans="1:30">
      <c r="A1097" s="35" t="s">
        <v>99</v>
      </c>
      <c r="B1097" s="38" t="s">
        <v>180</v>
      </c>
      <c r="C1097" s="35" t="s">
        <v>211</v>
      </c>
      <c r="D1097" s="35">
        <v>350</v>
      </c>
      <c r="E1097" s="12">
        <v>48.6</v>
      </c>
      <c r="F1097" s="35">
        <v>11.7</v>
      </c>
      <c r="G1097" s="35">
        <v>0</v>
      </c>
      <c r="H1097" s="35">
        <v>0</v>
      </c>
      <c r="I1097" s="35">
        <v>0</v>
      </c>
      <c r="J1097" s="35">
        <v>0</v>
      </c>
      <c r="K1097" s="35">
        <v>0</v>
      </c>
      <c r="L1097" s="36">
        <v>330</v>
      </c>
      <c r="M1097" s="35">
        <v>1.369</v>
      </c>
      <c r="N1097" s="21">
        <v>8.0399999999999991</v>
      </c>
      <c r="O1097" s="12">
        <v>0</v>
      </c>
      <c r="P1097" s="35">
        <v>100</v>
      </c>
      <c r="Q1097" s="35">
        <v>60</v>
      </c>
      <c r="R1097" s="35">
        <v>60</v>
      </c>
      <c r="S1097" s="35">
        <v>75</v>
      </c>
      <c r="T1097" s="21">
        <v>3.1851492416607403</v>
      </c>
      <c r="U1097" s="21">
        <v>0.2722349779197214</v>
      </c>
      <c r="V1097" s="37">
        <v>0.79401709401709697</v>
      </c>
      <c r="W1097" s="37" t="s">
        <v>6</v>
      </c>
      <c r="X1097" s="35" t="s">
        <v>6</v>
      </c>
      <c r="Y1097" s="23" t="s">
        <v>6</v>
      </c>
      <c r="Z1097" s="21" t="s">
        <v>6</v>
      </c>
      <c r="AA1097" s="35" t="s">
        <v>6</v>
      </c>
      <c r="AB1097" s="37" t="s">
        <v>1</v>
      </c>
      <c r="AC1097" s="27" t="s">
        <v>212</v>
      </c>
    </row>
    <row r="1098" spans="1:30" ht="13.8">
      <c r="A1098" s="35" t="s">
        <v>99</v>
      </c>
      <c r="B1098" s="38" t="s">
        <v>180</v>
      </c>
      <c r="C1098" s="35" t="s">
        <v>211</v>
      </c>
      <c r="D1098" s="35">
        <v>350</v>
      </c>
      <c r="E1098" s="12">
        <v>48.6</v>
      </c>
      <c r="F1098" s="35">
        <v>11.7</v>
      </c>
      <c r="G1098" s="35">
        <v>0</v>
      </c>
      <c r="H1098" s="35">
        <v>0</v>
      </c>
      <c r="I1098" s="35">
        <v>0</v>
      </c>
      <c r="J1098" s="35">
        <v>0</v>
      </c>
      <c r="K1098" s="35">
        <v>0</v>
      </c>
      <c r="L1098" s="36">
        <v>330</v>
      </c>
      <c r="M1098" s="35">
        <v>1.369</v>
      </c>
      <c r="N1098" s="21">
        <v>8.0399999999999991</v>
      </c>
      <c r="O1098" s="12">
        <v>0</v>
      </c>
      <c r="P1098" s="35">
        <v>100</v>
      </c>
      <c r="Q1098" s="35">
        <v>60</v>
      </c>
      <c r="R1098" s="35">
        <v>60</v>
      </c>
      <c r="S1098" s="35">
        <v>90</v>
      </c>
      <c r="T1098" s="21">
        <v>3.7854752217784515</v>
      </c>
      <c r="U1098" s="21">
        <v>0.32354489075029502</v>
      </c>
      <c r="V1098" s="37">
        <v>0.86495726495726899</v>
      </c>
      <c r="W1098" s="37">
        <v>2.11</v>
      </c>
      <c r="X1098" s="36">
        <v>130</v>
      </c>
      <c r="Y1098" s="23" t="s">
        <v>6</v>
      </c>
      <c r="Z1098" s="21">
        <v>60.875994691879733</v>
      </c>
      <c r="AA1098" s="35">
        <v>10</v>
      </c>
      <c r="AB1098" s="37" t="s">
        <v>1</v>
      </c>
      <c r="AC1098" s="27" t="s">
        <v>212</v>
      </c>
      <c r="AD1098" s="64"/>
    </row>
    <row r="1099" spans="1:30" ht="13.8">
      <c r="A1099" s="35" t="s">
        <v>99</v>
      </c>
      <c r="B1099" s="38" t="s">
        <v>180</v>
      </c>
      <c r="C1099" s="35" t="s">
        <v>211</v>
      </c>
      <c r="D1099" s="35">
        <v>350</v>
      </c>
      <c r="E1099" s="12">
        <v>48.6</v>
      </c>
      <c r="F1099" s="35">
        <v>11.7</v>
      </c>
      <c r="G1099" s="35">
        <v>0</v>
      </c>
      <c r="H1099" s="35">
        <v>0</v>
      </c>
      <c r="I1099" s="35">
        <v>0</v>
      </c>
      <c r="J1099" s="35">
        <v>0</v>
      </c>
      <c r="K1099" s="35">
        <v>0</v>
      </c>
      <c r="L1099" s="36">
        <v>330</v>
      </c>
      <c r="M1099" s="35">
        <v>1.369</v>
      </c>
      <c r="N1099" s="21">
        <v>8.0399999999999991</v>
      </c>
      <c r="O1099" s="12">
        <v>0</v>
      </c>
      <c r="P1099" s="35">
        <v>100</v>
      </c>
      <c r="Q1099" s="35">
        <v>60</v>
      </c>
      <c r="R1099" s="35">
        <v>60</v>
      </c>
      <c r="S1099" s="35">
        <v>90</v>
      </c>
      <c r="T1099" s="21">
        <v>3.7854752217784515</v>
      </c>
      <c r="U1099" s="21">
        <v>0.32354489075029502</v>
      </c>
      <c r="V1099" s="37">
        <v>0.86495726495726899</v>
      </c>
      <c r="W1099" s="37">
        <v>2.11</v>
      </c>
      <c r="X1099" s="36">
        <v>150</v>
      </c>
      <c r="Y1099" s="23" t="s">
        <v>6</v>
      </c>
      <c r="Z1099" s="21">
        <v>80.592441266598556</v>
      </c>
      <c r="AA1099" s="35">
        <v>10</v>
      </c>
      <c r="AB1099" s="37" t="s">
        <v>1</v>
      </c>
      <c r="AC1099" s="27" t="s">
        <v>212</v>
      </c>
      <c r="AD1099" s="64"/>
    </row>
    <row r="1100" spans="1:30" ht="13.8">
      <c r="A1100" s="35" t="s">
        <v>99</v>
      </c>
      <c r="B1100" s="38" t="s">
        <v>180</v>
      </c>
      <c r="C1100" s="35" t="s">
        <v>211</v>
      </c>
      <c r="D1100" s="35">
        <v>350</v>
      </c>
      <c r="E1100" s="12">
        <v>48.6</v>
      </c>
      <c r="F1100" s="35">
        <v>11.7</v>
      </c>
      <c r="G1100" s="35">
        <v>0</v>
      </c>
      <c r="H1100" s="35">
        <v>0</v>
      </c>
      <c r="I1100" s="35">
        <v>0</v>
      </c>
      <c r="J1100" s="35">
        <v>0</v>
      </c>
      <c r="K1100" s="35">
        <v>0</v>
      </c>
      <c r="L1100" s="36">
        <v>330</v>
      </c>
      <c r="M1100" s="35">
        <v>1.369</v>
      </c>
      <c r="N1100" s="21">
        <v>8.0399999999999991</v>
      </c>
      <c r="O1100" s="12">
        <v>0</v>
      </c>
      <c r="P1100" s="35">
        <v>100</v>
      </c>
      <c r="Q1100" s="35">
        <v>60</v>
      </c>
      <c r="R1100" s="35">
        <v>60</v>
      </c>
      <c r="S1100" s="35">
        <v>105</v>
      </c>
      <c r="T1100" s="21">
        <v>3.794806713697366</v>
      </c>
      <c r="U1100" s="21">
        <v>0.32434245416216806</v>
      </c>
      <c r="V1100" s="37">
        <v>0.93247863247863705</v>
      </c>
      <c r="W1100" s="37" t="s">
        <v>6</v>
      </c>
      <c r="X1100" s="35" t="s">
        <v>6</v>
      </c>
      <c r="Y1100" s="23" t="s">
        <v>6</v>
      </c>
      <c r="Z1100" s="21" t="s">
        <v>6</v>
      </c>
      <c r="AA1100" s="35" t="s">
        <v>6</v>
      </c>
      <c r="AB1100" s="37" t="s">
        <v>1</v>
      </c>
      <c r="AC1100" s="27" t="s">
        <v>212</v>
      </c>
      <c r="AD1100" s="64"/>
    </row>
    <row r="1101" spans="1:30" ht="13.8">
      <c r="A1101" s="35" t="s">
        <v>99</v>
      </c>
      <c r="B1101" s="38" t="s">
        <v>180</v>
      </c>
      <c r="C1101" s="35" t="s">
        <v>211</v>
      </c>
      <c r="D1101" s="35">
        <v>350</v>
      </c>
      <c r="E1101" s="12">
        <v>48.6</v>
      </c>
      <c r="F1101" s="35">
        <v>11.7</v>
      </c>
      <c r="G1101" s="35">
        <v>0</v>
      </c>
      <c r="H1101" s="35">
        <v>0</v>
      </c>
      <c r="I1101" s="35">
        <v>0</v>
      </c>
      <c r="J1101" s="35">
        <v>0</v>
      </c>
      <c r="K1101" s="35">
        <v>0</v>
      </c>
      <c r="L1101" s="36">
        <v>330</v>
      </c>
      <c r="M1101" s="35">
        <v>1.369</v>
      </c>
      <c r="N1101" s="21">
        <v>8.0399999999999991</v>
      </c>
      <c r="O1101" s="12">
        <v>0</v>
      </c>
      <c r="P1101" s="35">
        <v>100</v>
      </c>
      <c r="Q1101" s="35">
        <v>60</v>
      </c>
      <c r="R1101" s="35">
        <v>60</v>
      </c>
      <c r="S1101" s="35">
        <v>120</v>
      </c>
      <c r="T1101" s="21">
        <v>2.9860774140569482</v>
      </c>
      <c r="U1101" s="21">
        <v>0.25522029179973915</v>
      </c>
      <c r="V1101" s="37">
        <v>0.92521367521368103</v>
      </c>
      <c r="W1101" s="37" t="s">
        <v>6</v>
      </c>
      <c r="X1101" s="35" t="s">
        <v>6</v>
      </c>
      <c r="Y1101" s="23" t="s">
        <v>6</v>
      </c>
      <c r="Z1101" s="21" t="s">
        <v>6</v>
      </c>
      <c r="AA1101" s="35" t="s">
        <v>6</v>
      </c>
      <c r="AB1101" s="37" t="s">
        <v>1</v>
      </c>
      <c r="AC1101" s="27" t="s">
        <v>212</v>
      </c>
      <c r="AD1101" s="64"/>
    </row>
    <row r="1102" spans="1:30">
      <c r="A1102" s="35" t="s">
        <v>99</v>
      </c>
      <c r="B1102" s="38" t="s">
        <v>180</v>
      </c>
      <c r="C1102" s="35" t="s">
        <v>268</v>
      </c>
      <c r="D1102" s="35">
        <v>600</v>
      </c>
      <c r="E1102" s="12">
        <v>48.199999999999996</v>
      </c>
      <c r="F1102" s="37">
        <v>11.9</v>
      </c>
      <c r="G1102" s="35">
        <v>0</v>
      </c>
      <c r="H1102" s="35">
        <v>0</v>
      </c>
      <c r="I1102" s="35">
        <v>0</v>
      </c>
      <c r="J1102" s="35">
        <v>0</v>
      </c>
      <c r="K1102" s="35">
        <v>0</v>
      </c>
      <c r="L1102" s="36">
        <v>330</v>
      </c>
      <c r="M1102" s="35">
        <v>1.369</v>
      </c>
      <c r="N1102" s="21">
        <v>8.0399999999999991</v>
      </c>
      <c r="O1102" s="12">
        <v>0</v>
      </c>
      <c r="P1102" s="35">
        <v>100</v>
      </c>
      <c r="Q1102" s="35">
        <v>60</v>
      </c>
      <c r="R1102" s="35">
        <v>60</v>
      </c>
      <c r="S1102" s="35">
        <v>30</v>
      </c>
      <c r="T1102" s="21">
        <v>2.5786022669304267</v>
      </c>
      <c r="U1102" s="21">
        <v>0.21668926612860728</v>
      </c>
      <c r="V1102" s="37">
        <v>3.23</v>
      </c>
      <c r="W1102" s="37" t="s">
        <v>6</v>
      </c>
      <c r="X1102" s="35" t="s">
        <v>6</v>
      </c>
      <c r="Y1102" s="23" t="s">
        <v>6</v>
      </c>
      <c r="Z1102" s="21" t="s">
        <v>6</v>
      </c>
      <c r="AA1102" s="35" t="s">
        <v>6</v>
      </c>
      <c r="AB1102" s="37" t="s">
        <v>1</v>
      </c>
      <c r="AC1102" s="27" t="s">
        <v>212</v>
      </c>
    </row>
    <row r="1103" spans="1:30">
      <c r="A1103" s="35" t="s">
        <v>99</v>
      </c>
      <c r="B1103" s="38" t="s">
        <v>180</v>
      </c>
      <c r="C1103" s="35" t="s">
        <v>268</v>
      </c>
      <c r="D1103" s="35">
        <v>600</v>
      </c>
      <c r="E1103" s="12">
        <v>48.199999999999996</v>
      </c>
      <c r="F1103" s="37">
        <v>11.9</v>
      </c>
      <c r="G1103" s="35">
        <v>0</v>
      </c>
      <c r="H1103" s="35">
        <v>0</v>
      </c>
      <c r="I1103" s="35">
        <v>0</v>
      </c>
      <c r="J1103" s="35">
        <v>0</v>
      </c>
      <c r="K1103" s="35">
        <v>0</v>
      </c>
      <c r="L1103" s="36">
        <v>330</v>
      </c>
      <c r="M1103" s="35">
        <v>1.369</v>
      </c>
      <c r="N1103" s="21">
        <v>8.0399999999999991</v>
      </c>
      <c r="O1103" s="12">
        <v>0</v>
      </c>
      <c r="P1103" s="35">
        <v>100</v>
      </c>
      <c r="Q1103" s="35">
        <v>60</v>
      </c>
      <c r="R1103" s="35">
        <v>60</v>
      </c>
      <c r="S1103" s="35">
        <v>45</v>
      </c>
      <c r="T1103" s="21">
        <v>2.4386298881465032</v>
      </c>
      <c r="U1103" s="21">
        <v>0.204926881356849</v>
      </c>
      <c r="V1103" s="37">
        <v>0.85384615384615503</v>
      </c>
      <c r="W1103" s="37" t="s">
        <v>6</v>
      </c>
      <c r="X1103" s="35" t="s">
        <v>6</v>
      </c>
      <c r="Y1103" s="23" t="s">
        <v>6</v>
      </c>
      <c r="Z1103" s="21" t="s">
        <v>6</v>
      </c>
      <c r="AA1103" s="35" t="s">
        <v>6</v>
      </c>
      <c r="AB1103" s="37" t="s">
        <v>1</v>
      </c>
      <c r="AC1103" s="27" t="s">
        <v>212</v>
      </c>
    </row>
    <row r="1104" spans="1:30">
      <c r="A1104" s="35" t="s">
        <v>99</v>
      </c>
      <c r="B1104" s="38" t="s">
        <v>180</v>
      </c>
      <c r="C1104" s="35" t="s">
        <v>268</v>
      </c>
      <c r="D1104" s="35">
        <v>600</v>
      </c>
      <c r="E1104" s="12">
        <v>48.199999999999996</v>
      </c>
      <c r="F1104" s="37">
        <v>11.9</v>
      </c>
      <c r="G1104" s="35">
        <v>0</v>
      </c>
      <c r="H1104" s="35">
        <v>0</v>
      </c>
      <c r="I1104" s="35">
        <v>0</v>
      </c>
      <c r="J1104" s="35">
        <v>0</v>
      </c>
      <c r="K1104" s="35">
        <v>0</v>
      </c>
      <c r="L1104" s="36">
        <v>330</v>
      </c>
      <c r="M1104" s="35">
        <v>1.369</v>
      </c>
      <c r="N1104" s="21">
        <v>8.0399999999999991</v>
      </c>
      <c r="O1104" s="12">
        <v>0</v>
      </c>
      <c r="P1104" s="35">
        <v>100</v>
      </c>
      <c r="Q1104" s="35">
        <v>60</v>
      </c>
      <c r="R1104" s="35">
        <v>60</v>
      </c>
      <c r="S1104" s="35">
        <v>60</v>
      </c>
      <c r="T1104" s="21">
        <v>2.6905801699575611</v>
      </c>
      <c r="U1104" s="21">
        <v>0.22609917394601353</v>
      </c>
      <c r="V1104" s="37">
        <v>0.78803418803419001</v>
      </c>
      <c r="W1104" s="37" t="s">
        <v>6</v>
      </c>
      <c r="X1104" s="35" t="s">
        <v>6</v>
      </c>
      <c r="Y1104" s="23" t="s">
        <v>6</v>
      </c>
      <c r="Z1104" s="21" t="s">
        <v>6</v>
      </c>
      <c r="AA1104" s="35" t="s">
        <v>6</v>
      </c>
      <c r="AB1104" s="37" t="s">
        <v>1</v>
      </c>
      <c r="AC1104" s="27" t="s">
        <v>212</v>
      </c>
    </row>
    <row r="1105" spans="1:29">
      <c r="A1105" s="35" t="s">
        <v>99</v>
      </c>
      <c r="B1105" s="38" t="s">
        <v>180</v>
      </c>
      <c r="C1105" s="35" t="s">
        <v>268</v>
      </c>
      <c r="D1105" s="35">
        <v>600</v>
      </c>
      <c r="E1105" s="12">
        <v>48.199999999999996</v>
      </c>
      <c r="F1105" s="37">
        <v>11.9</v>
      </c>
      <c r="G1105" s="35">
        <v>0</v>
      </c>
      <c r="H1105" s="35">
        <v>0</v>
      </c>
      <c r="I1105" s="35">
        <v>0</v>
      </c>
      <c r="J1105" s="35">
        <v>0</v>
      </c>
      <c r="K1105" s="35">
        <v>0</v>
      </c>
      <c r="L1105" s="36">
        <v>330</v>
      </c>
      <c r="M1105" s="35">
        <v>1.369</v>
      </c>
      <c r="N1105" s="21">
        <v>8.0399999999999991</v>
      </c>
      <c r="O1105" s="12">
        <v>0</v>
      </c>
      <c r="P1105" s="35">
        <v>100</v>
      </c>
      <c r="Q1105" s="35">
        <v>60</v>
      </c>
      <c r="R1105" s="35">
        <v>60</v>
      </c>
      <c r="S1105" s="35">
        <v>75</v>
      </c>
      <c r="T1105" s="21">
        <v>3.098055317084083</v>
      </c>
      <c r="U1105" s="21">
        <v>0.26034078294824226</v>
      </c>
      <c r="V1105" s="37">
        <v>0.80811965811966102</v>
      </c>
      <c r="W1105" s="37" t="s">
        <v>6</v>
      </c>
      <c r="X1105" s="35" t="s">
        <v>6</v>
      </c>
      <c r="Y1105" s="23" t="s">
        <v>6</v>
      </c>
      <c r="Z1105" s="21" t="s">
        <v>6</v>
      </c>
      <c r="AA1105" s="35" t="s">
        <v>6</v>
      </c>
      <c r="AB1105" s="37" t="s">
        <v>1</v>
      </c>
      <c r="AC1105" s="27" t="s">
        <v>212</v>
      </c>
    </row>
    <row r="1106" spans="1:29">
      <c r="A1106" s="35" t="s">
        <v>99</v>
      </c>
      <c r="B1106" s="38" t="s">
        <v>180</v>
      </c>
      <c r="C1106" s="35" t="s">
        <v>268</v>
      </c>
      <c r="D1106" s="35">
        <v>600</v>
      </c>
      <c r="E1106" s="12">
        <v>48.199999999999996</v>
      </c>
      <c r="F1106" s="37">
        <v>11.9</v>
      </c>
      <c r="G1106" s="35">
        <v>0</v>
      </c>
      <c r="H1106" s="35">
        <v>0</v>
      </c>
      <c r="I1106" s="35">
        <v>0</v>
      </c>
      <c r="J1106" s="35">
        <v>0</v>
      </c>
      <c r="K1106" s="35">
        <v>0</v>
      </c>
      <c r="L1106" s="36">
        <v>330</v>
      </c>
      <c r="M1106" s="35">
        <v>1.369</v>
      </c>
      <c r="N1106" s="21">
        <v>8.0399999999999991</v>
      </c>
      <c r="O1106" s="12">
        <v>0</v>
      </c>
      <c r="P1106" s="35">
        <v>100</v>
      </c>
      <c r="Q1106" s="35">
        <v>60</v>
      </c>
      <c r="R1106" s="35">
        <v>60</v>
      </c>
      <c r="S1106" s="35">
        <v>90</v>
      </c>
      <c r="T1106" s="21">
        <v>3.78</v>
      </c>
      <c r="U1106" s="21">
        <v>0.31810716149398749</v>
      </c>
      <c r="V1106" s="37">
        <v>0.87521367521367899</v>
      </c>
      <c r="W1106" s="37">
        <v>2.2799999999999998</v>
      </c>
      <c r="X1106" s="36">
        <v>130</v>
      </c>
      <c r="Y1106" s="23" t="s">
        <v>6</v>
      </c>
      <c r="Z1106" s="21">
        <v>59.992652926795152</v>
      </c>
      <c r="AA1106" s="35">
        <v>10</v>
      </c>
      <c r="AB1106" s="37" t="s">
        <v>1</v>
      </c>
      <c r="AC1106" s="27" t="s">
        <v>212</v>
      </c>
    </row>
    <row r="1107" spans="1:29">
      <c r="A1107" s="35" t="s">
        <v>99</v>
      </c>
      <c r="B1107" s="38" t="s">
        <v>180</v>
      </c>
      <c r="C1107" s="35" t="s">
        <v>268</v>
      </c>
      <c r="D1107" s="35">
        <v>600</v>
      </c>
      <c r="E1107" s="12">
        <v>48.199999999999996</v>
      </c>
      <c r="F1107" s="37">
        <v>11.9</v>
      </c>
      <c r="G1107" s="35">
        <v>0</v>
      </c>
      <c r="H1107" s="35">
        <v>0</v>
      </c>
      <c r="I1107" s="35">
        <v>0</v>
      </c>
      <c r="J1107" s="35">
        <v>0</v>
      </c>
      <c r="K1107" s="35">
        <v>0</v>
      </c>
      <c r="L1107" s="36">
        <v>330</v>
      </c>
      <c r="M1107" s="35">
        <v>1.369</v>
      </c>
      <c r="N1107" s="21">
        <v>8.0399999999999991</v>
      </c>
      <c r="O1107" s="12">
        <v>0</v>
      </c>
      <c r="P1107" s="35">
        <v>100</v>
      </c>
      <c r="Q1107" s="35">
        <v>60</v>
      </c>
      <c r="R1107" s="35">
        <v>60</v>
      </c>
      <c r="S1107" s="35">
        <v>90</v>
      </c>
      <c r="T1107" s="21">
        <v>3.78</v>
      </c>
      <c r="U1107" s="21">
        <v>0.31810716149398749</v>
      </c>
      <c r="V1107" s="37">
        <v>0.87521367521367899</v>
      </c>
      <c r="W1107" s="37">
        <v>2.2799999999999998</v>
      </c>
      <c r="X1107" s="36">
        <v>150</v>
      </c>
      <c r="Y1107" s="23" t="s">
        <v>6</v>
      </c>
      <c r="Z1107" s="21">
        <v>77.136752136752079</v>
      </c>
      <c r="AA1107" s="35">
        <v>10</v>
      </c>
      <c r="AB1107" s="37" t="s">
        <v>1</v>
      </c>
      <c r="AC1107" s="27" t="s">
        <v>212</v>
      </c>
    </row>
    <row r="1108" spans="1:29">
      <c r="A1108" s="35" t="s">
        <v>99</v>
      </c>
      <c r="B1108" s="38" t="s">
        <v>180</v>
      </c>
      <c r="C1108" s="35" t="s">
        <v>268</v>
      </c>
      <c r="D1108" s="35">
        <v>600</v>
      </c>
      <c r="E1108" s="12">
        <v>48.199999999999996</v>
      </c>
      <c r="F1108" s="37">
        <v>11.9</v>
      </c>
      <c r="G1108" s="35">
        <v>0</v>
      </c>
      <c r="H1108" s="35">
        <v>0</v>
      </c>
      <c r="I1108" s="35">
        <v>0</v>
      </c>
      <c r="J1108" s="35">
        <v>0</v>
      </c>
      <c r="K1108" s="35">
        <v>0</v>
      </c>
      <c r="L1108" s="36">
        <v>330</v>
      </c>
      <c r="M1108" s="35">
        <v>1.369</v>
      </c>
      <c r="N1108" s="21">
        <v>8.0399999999999991</v>
      </c>
      <c r="O1108" s="12">
        <v>0</v>
      </c>
      <c r="P1108" s="35">
        <v>100</v>
      </c>
      <c r="Q1108" s="35">
        <v>60</v>
      </c>
      <c r="R1108" s="35">
        <v>60</v>
      </c>
      <c r="S1108" s="35">
        <v>105</v>
      </c>
      <c r="T1108" s="21">
        <v>3.9005636221118984</v>
      </c>
      <c r="U1108" s="21">
        <v>0.3277784556396553</v>
      </c>
      <c r="V1108" s="37">
        <v>0.94487179487179995</v>
      </c>
      <c r="W1108" s="37" t="s">
        <v>6</v>
      </c>
      <c r="X1108" s="35" t="s">
        <v>6</v>
      </c>
      <c r="Y1108" s="23" t="s">
        <v>6</v>
      </c>
      <c r="Z1108" s="21" t="s">
        <v>6</v>
      </c>
      <c r="AA1108" s="35" t="s">
        <v>6</v>
      </c>
      <c r="AB1108" s="37" t="s">
        <v>1</v>
      </c>
      <c r="AC1108" s="27" t="s">
        <v>212</v>
      </c>
    </row>
    <row r="1109" spans="1:29">
      <c r="A1109" s="35" t="s">
        <v>99</v>
      </c>
      <c r="B1109" s="38" t="s">
        <v>180</v>
      </c>
      <c r="C1109" s="35" t="s">
        <v>268</v>
      </c>
      <c r="D1109" s="35">
        <v>600</v>
      </c>
      <c r="E1109" s="12">
        <v>48.199999999999996</v>
      </c>
      <c r="F1109" s="37">
        <v>11.9</v>
      </c>
      <c r="G1109" s="35">
        <v>0</v>
      </c>
      <c r="H1109" s="35">
        <v>0</v>
      </c>
      <c r="I1109" s="35">
        <v>0</v>
      </c>
      <c r="J1109" s="35">
        <v>0</v>
      </c>
      <c r="K1109" s="35">
        <v>0</v>
      </c>
      <c r="L1109" s="36">
        <v>330</v>
      </c>
      <c r="M1109" s="35">
        <v>1.369</v>
      </c>
      <c r="N1109" s="21">
        <v>8.0399999999999991</v>
      </c>
      <c r="O1109" s="12">
        <v>0</v>
      </c>
      <c r="P1109" s="35">
        <v>100</v>
      </c>
      <c r="Q1109" s="35">
        <v>60</v>
      </c>
      <c r="R1109" s="35">
        <v>60</v>
      </c>
      <c r="S1109" s="35">
        <v>120</v>
      </c>
      <c r="T1109" s="21">
        <v>3.0482873601831293</v>
      </c>
      <c r="U1109" s="21">
        <v>0.25615860169606125</v>
      </c>
      <c r="V1109" s="37">
        <v>0.95555555555556104</v>
      </c>
      <c r="W1109" s="37" t="s">
        <v>6</v>
      </c>
      <c r="X1109" s="35" t="s">
        <v>6</v>
      </c>
      <c r="Y1109" s="23" t="s">
        <v>6</v>
      </c>
      <c r="Z1109" s="21" t="s">
        <v>6</v>
      </c>
      <c r="AA1109" s="35" t="s">
        <v>6</v>
      </c>
      <c r="AB1109" s="37" t="s">
        <v>1</v>
      </c>
      <c r="AC1109" s="27" t="s">
        <v>212</v>
      </c>
    </row>
    <row r="1110" spans="1:29">
      <c r="A1110" s="35" t="s">
        <v>99</v>
      </c>
      <c r="B1110" s="38" t="s">
        <v>180</v>
      </c>
      <c r="C1110" s="35" t="s">
        <v>213</v>
      </c>
      <c r="D1110" s="35">
        <v>537</v>
      </c>
      <c r="E1110" s="12">
        <v>10</v>
      </c>
      <c r="F1110" s="35">
        <v>2.34</v>
      </c>
      <c r="G1110" s="35">
        <v>0</v>
      </c>
      <c r="H1110" s="35">
        <v>0</v>
      </c>
      <c r="I1110" s="35">
        <v>0</v>
      </c>
      <c r="J1110" s="35">
        <v>0</v>
      </c>
      <c r="K1110" s="35">
        <v>0</v>
      </c>
      <c r="L1110" s="36">
        <v>330</v>
      </c>
      <c r="M1110" s="35">
        <v>1.369</v>
      </c>
      <c r="N1110" s="21">
        <v>8.0399999999999991</v>
      </c>
      <c r="O1110" s="12">
        <v>0</v>
      </c>
      <c r="P1110" s="35">
        <v>100</v>
      </c>
      <c r="Q1110" s="35">
        <v>60</v>
      </c>
      <c r="R1110" s="35">
        <v>60</v>
      </c>
      <c r="S1110" s="35">
        <v>30</v>
      </c>
      <c r="T1110" s="21">
        <v>0.66384732022519977</v>
      </c>
      <c r="U1110" s="21">
        <v>0.28133438498871799</v>
      </c>
      <c r="V1110" s="37">
        <v>0.80061942016237497</v>
      </c>
      <c r="W1110" s="37" t="s">
        <v>6</v>
      </c>
      <c r="X1110" s="35" t="s">
        <v>6</v>
      </c>
      <c r="Y1110" s="23" t="s">
        <v>6</v>
      </c>
      <c r="Z1110" s="21" t="s">
        <v>6</v>
      </c>
      <c r="AA1110" s="35" t="s">
        <v>6</v>
      </c>
      <c r="AB1110" s="37" t="s">
        <v>1</v>
      </c>
      <c r="AC1110" s="27" t="s">
        <v>212</v>
      </c>
    </row>
    <row r="1111" spans="1:29">
      <c r="A1111" s="35" t="s">
        <v>99</v>
      </c>
      <c r="B1111" s="38" t="s">
        <v>180</v>
      </c>
      <c r="C1111" s="35" t="s">
        <v>213</v>
      </c>
      <c r="D1111" s="35">
        <v>537</v>
      </c>
      <c r="E1111" s="12">
        <v>10</v>
      </c>
      <c r="F1111" s="35">
        <v>2.34</v>
      </c>
      <c r="G1111" s="35">
        <v>0</v>
      </c>
      <c r="H1111" s="35">
        <v>0</v>
      </c>
      <c r="I1111" s="35">
        <v>0</v>
      </c>
      <c r="J1111" s="35">
        <v>0</v>
      </c>
      <c r="K1111" s="35">
        <v>0</v>
      </c>
      <c r="L1111" s="36">
        <v>330</v>
      </c>
      <c r="M1111" s="35">
        <v>1.369</v>
      </c>
      <c r="N1111" s="21">
        <v>8.0399999999999991</v>
      </c>
      <c r="O1111" s="12">
        <v>0</v>
      </c>
      <c r="P1111" s="35">
        <v>100</v>
      </c>
      <c r="Q1111" s="35">
        <v>60</v>
      </c>
      <c r="R1111" s="35">
        <v>60</v>
      </c>
      <c r="S1111" s="35">
        <v>45</v>
      </c>
      <c r="T1111" s="21">
        <v>0.52964367527330614</v>
      </c>
      <c r="U1111" s="21">
        <v>0.22665980216366999</v>
      </c>
      <c r="V1111" s="37">
        <v>0.77976250477526499</v>
      </c>
      <c r="W1111" s="37" t="s">
        <v>6</v>
      </c>
      <c r="X1111" s="35" t="s">
        <v>6</v>
      </c>
      <c r="Y1111" s="23" t="s">
        <v>6</v>
      </c>
      <c r="Z1111" s="21" t="s">
        <v>6</v>
      </c>
      <c r="AA1111" s="35" t="s">
        <v>6</v>
      </c>
      <c r="AB1111" s="37" t="s">
        <v>1</v>
      </c>
      <c r="AC1111" s="27" t="s">
        <v>212</v>
      </c>
    </row>
    <row r="1112" spans="1:29">
      <c r="A1112" s="35" t="s">
        <v>99</v>
      </c>
      <c r="B1112" s="38" t="s">
        <v>180</v>
      </c>
      <c r="C1112" s="35" t="s">
        <v>213</v>
      </c>
      <c r="D1112" s="35">
        <v>537</v>
      </c>
      <c r="E1112" s="12">
        <v>10</v>
      </c>
      <c r="F1112" s="35">
        <v>2.34</v>
      </c>
      <c r="G1112" s="35">
        <v>0</v>
      </c>
      <c r="H1112" s="35">
        <v>0</v>
      </c>
      <c r="I1112" s="35">
        <v>0</v>
      </c>
      <c r="J1112" s="35">
        <v>0</v>
      </c>
      <c r="K1112" s="35">
        <v>0</v>
      </c>
      <c r="L1112" s="36">
        <v>330</v>
      </c>
      <c r="M1112" s="35">
        <v>1.369</v>
      </c>
      <c r="N1112" s="21">
        <v>8.0399999999999991</v>
      </c>
      <c r="O1112" s="12">
        <v>0</v>
      </c>
      <c r="P1112" s="35">
        <v>100</v>
      </c>
      <c r="Q1112" s="35">
        <v>60</v>
      </c>
      <c r="R1112" s="35">
        <v>60</v>
      </c>
      <c r="S1112" s="35">
        <v>60</v>
      </c>
      <c r="T1112" s="21">
        <v>0.43087621937770204</v>
      </c>
      <c r="U1112" s="21">
        <v>0.18226438988348001</v>
      </c>
      <c r="V1112" s="37">
        <v>0.76147700970462295</v>
      </c>
      <c r="W1112" s="37" t="s">
        <v>6</v>
      </c>
      <c r="X1112" s="35" t="s">
        <v>6</v>
      </c>
      <c r="Y1112" s="23" t="s">
        <v>6</v>
      </c>
      <c r="Z1112" s="21" t="s">
        <v>6</v>
      </c>
      <c r="AA1112" s="35" t="s">
        <v>6</v>
      </c>
      <c r="AB1112" s="37" t="s">
        <v>1</v>
      </c>
      <c r="AC1112" s="27" t="s">
        <v>212</v>
      </c>
    </row>
    <row r="1113" spans="1:29">
      <c r="A1113" s="35" t="s">
        <v>99</v>
      </c>
      <c r="B1113" s="38" t="s">
        <v>180</v>
      </c>
      <c r="C1113" s="35" t="s">
        <v>213</v>
      </c>
      <c r="D1113" s="35">
        <v>537</v>
      </c>
      <c r="E1113" s="12">
        <v>10</v>
      </c>
      <c r="F1113" s="35">
        <v>2.34</v>
      </c>
      <c r="G1113" s="35">
        <v>0</v>
      </c>
      <c r="H1113" s="35">
        <v>0</v>
      </c>
      <c r="I1113" s="35">
        <v>0</v>
      </c>
      <c r="J1113" s="35">
        <v>0</v>
      </c>
      <c r="K1113" s="35">
        <v>0</v>
      </c>
      <c r="L1113" s="36">
        <v>330</v>
      </c>
      <c r="M1113" s="35">
        <v>1.369</v>
      </c>
      <c r="N1113" s="21">
        <v>8.0399999999999991</v>
      </c>
      <c r="O1113" s="12">
        <v>0</v>
      </c>
      <c r="P1113" s="35">
        <v>100</v>
      </c>
      <c r="Q1113" s="35">
        <v>60</v>
      </c>
      <c r="R1113" s="35">
        <v>60</v>
      </c>
      <c r="S1113" s="35">
        <v>75</v>
      </c>
      <c r="T1113" s="21">
        <v>0.35465065181930067</v>
      </c>
      <c r="U1113" s="21">
        <v>0.14844149575153101</v>
      </c>
      <c r="V1113" s="37">
        <v>0.78733374852729199</v>
      </c>
      <c r="W1113" s="37" t="s">
        <v>6</v>
      </c>
      <c r="X1113" s="35" t="s">
        <v>6</v>
      </c>
      <c r="Y1113" s="23" t="s">
        <v>6</v>
      </c>
      <c r="Z1113" s="21" t="s">
        <v>6</v>
      </c>
      <c r="AA1113" s="35" t="s">
        <v>6</v>
      </c>
      <c r="AB1113" s="37" t="s">
        <v>1</v>
      </c>
      <c r="AC1113" s="27" t="s">
        <v>212</v>
      </c>
    </row>
    <row r="1114" spans="1:29">
      <c r="A1114" s="35" t="s">
        <v>99</v>
      </c>
      <c r="B1114" s="38" t="s">
        <v>180</v>
      </c>
      <c r="C1114" s="35" t="s">
        <v>213</v>
      </c>
      <c r="D1114" s="35">
        <v>537</v>
      </c>
      <c r="E1114" s="12">
        <v>10</v>
      </c>
      <c r="F1114" s="35">
        <v>2.34</v>
      </c>
      <c r="G1114" s="35">
        <v>0</v>
      </c>
      <c r="H1114" s="35">
        <v>0</v>
      </c>
      <c r="I1114" s="35">
        <v>0</v>
      </c>
      <c r="J1114" s="35">
        <v>0</v>
      </c>
      <c r="K1114" s="35">
        <v>0</v>
      </c>
      <c r="L1114" s="36">
        <v>330</v>
      </c>
      <c r="M1114" s="35">
        <v>1.369</v>
      </c>
      <c r="N1114" s="21">
        <v>8.0399999999999991</v>
      </c>
      <c r="O1114" s="12">
        <v>0</v>
      </c>
      <c r="P1114" s="35">
        <v>100</v>
      </c>
      <c r="Q1114" s="35">
        <v>60</v>
      </c>
      <c r="R1114" s="35">
        <v>60</v>
      </c>
      <c r="S1114" s="35">
        <v>90</v>
      </c>
      <c r="T1114" s="21">
        <v>0.271976082867668</v>
      </c>
      <c r="U1114" s="21">
        <v>0.11256297040232401</v>
      </c>
      <c r="V1114" s="37">
        <v>0.79261816173944799</v>
      </c>
      <c r="W1114" s="37">
        <v>2.1</v>
      </c>
      <c r="X1114" s="36">
        <v>130</v>
      </c>
      <c r="Y1114" s="23" t="s">
        <v>6</v>
      </c>
      <c r="Z1114" s="21">
        <v>61.524799540313481</v>
      </c>
      <c r="AA1114" s="35">
        <v>10</v>
      </c>
      <c r="AB1114" s="37" t="s">
        <v>1</v>
      </c>
      <c r="AC1114" s="27" t="s">
        <v>212</v>
      </c>
    </row>
    <row r="1115" spans="1:29">
      <c r="A1115" s="35" t="s">
        <v>99</v>
      </c>
      <c r="B1115" s="38" t="s">
        <v>180</v>
      </c>
      <c r="C1115" s="35" t="s">
        <v>213</v>
      </c>
      <c r="D1115" s="35">
        <v>537</v>
      </c>
      <c r="E1115" s="12">
        <v>10</v>
      </c>
      <c r="F1115" s="35">
        <v>2.34</v>
      </c>
      <c r="G1115" s="35">
        <v>0</v>
      </c>
      <c r="H1115" s="35">
        <v>0</v>
      </c>
      <c r="I1115" s="35">
        <v>0</v>
      </c>
      <c r="J1115" s="35">
        <v>0</v>
      </c>
      <c r="K1115" s="35">
        <v>0</v>
      </c>
      <c r="L1115" s="36">
        <v>330</v>
      </c>
      <c r="M1115" s="35">
        <v>1.369</v>
      </c>
      <c r="N1115" s="21">
        <v>8.0399999999999991</v>
      </c>
      <c r="O1115" s="12">
        <v>0</v>
      </c>
      <c r="P1115" s="35">
        <v>100</v>
      </c>
      <c r="Q1115" s="35">
        <v>60</v>
      </c>
      <c r="R1115" s="35">
        <v>60</v>
      </c>
      <c r="S1115" s="35">
        <v>90</v>
      </c>
      <c r="T1115" s="21">
        <v>0.271976082867668</v>
      </c>
      <c r="U1115" s="21">
        <v>0.11256297040232401</v>
      </c>
      <c r="V1115" s="37">
        <v>0.79261816173944799</v>
      </c>
      <c r="W1115" s="37">
        <v>2.1</v>
      </c>
      <c r="X1115" s="36">
        <v>150</v>
      </c>
      <c r="Y1115" s="23" t="s">
        <v>6</v>
      </c>
      <c r="Z1115" s="21">
        <v>69.896994326640794</v>
      </c>
      <c r="AA1115" s="35">
        <v>10</v>
      </c>
      <c r="AB1115" s="37" t="s">
        <v>1</v>
      </c>
      <c r="AC1115" s="27" t="s">
        <v>212</v>
      </c>
    </row>
    <row r="1116" spans="1:29">
      <c r="A1116" s="35" t="s">
        <v>99</v>
      </c>
      <c r="B1116" s="38" t="s">
        <v>180</v>
      </c>
      <c r="C1116" s="35" t="s">
        <v>213</v>
      </c>
      <c r="D1116" s="35">
        <v>537</v>
      </c>
      <c r="E1116" s="12">
        <v>10</v>
      </c>
      <c r="F1116" s="35">
        <v>2.34</v>
      </c>
      <c r="G1116" s="35">
        <v>0</v>
      </c>
      <c r="H1116" s="35">
        <v>0</v>
      </c>
      <c r="I1116" s="35">
        <v>0</v>
      </c>
      <c r="J1116" s="35">
        <v>0</v>
      </c>
      <c r="K1116" s="35">
        <v>0</v>
      </c>
      <c r="L1116" s="36">
        <v>330</v>
      </c>
      <c r="M1116" s="35">
        <v>1.369</v>
      </c>
      <c r="N1116" s="21">
        <v>8.0399999999999991</v>
      </c>
      <c r="O1116" s="12">
        <v>0</v>
      </c>
      <c r="P1116" s="35">
        <v>100</v>
      </c>
      <c r="Q1116" s="35">
        <v>60</v>
      </c>
      <c r="R1116" s="35">
        <v>60</v>
      </c>
      <c r="S1116" s="35">
        <v>105</v>
      </c>
      <c r="T1116" s="21">
        <v>0.19574311117449025</v>
      </c>
      <c r="U1116" s="21">
        <v>7.9621302615526204E-2</v>
      </c>
      <c r="V1116" s="37">
        <v>0.86433237774517502</v>
      </c>
      <c r="W1116" s="37" t="s">
        <v>6</v>
      </c>
      <c r="X1116" s="35" t="s">
        <v>6</v>
      </c>
      <c r="Y1116" s="23" t="s">
        <v>6</v>
      </c>
      <c r="Z1116" s="21" t="s">
        <v>6</v>
      </c>
      <c r="AA1116" s="35" t="s">
        <v>6</v>
      </c>
      <c r="AB1116" s="37" t="s">
        <v>1</v>
      </c>
      <c r="AC1116" s="27" t="s">
        <v>212</v>
      </c>
    </row>
    <row r="1117" spans="1:29">
      <c r="A1117" s="35" t="s">
        <v>99</v>
      </c>
      <c r="B1117" s="38" t="s">
        <v>180</v>
      </c>
      <c r="C1117" s="35" t="s">
        <v>213</v>
      </c>
      <c r="D1117" s="35">
        <v>537</v>
      </c>
      <c r="E1117" s="12">
        <v>10</v>
      </c>
      <c r="F1117" s="35">
        <v>2.34</v>
      </c>
      <c r="G1117" s="35">
        <v>0</v>
      </c>
      <c r="H1117" s="35">
        <v>0</v>
      </c>
      <c r="I1117" s="35">
        <v>0</v>
      </c>
      <c r="J1117" s="35">
        <v>0</v>
      </c>
      <c r="K1117" s="35">
        <v>0</v>
      </c>
      <c r="L1117" s="36">
        <v>330</v>
      </c>
      <c r="M1117" s="35">
        <v>1.369</v>
      </c>
      <c r="N1117" s="21">
        <v>8.0399999999999991</v>
      </c>
      <c r="O1117" s="12">
        <v>0</v>
      </c>
      <c r="P1117" s="35">
        <v>100</v>
      </c>
      <c r="Q1117" s="35">
        <v>60</v>
      </c>
      <c r="R1117" s="35">
        <v>60</v>
      </c>
      <c r="S1117" s="35">
        <v>120</v>
      </c>
      <c r="T1117" s="21">
        <v>0.12274204431271209</v>
      </c>
      <c r="U1117" s="21">
        <v>4.7267006341209603E-2</v>
      </c>
      <c r="V1117" s="37">
        <v>0.77104760498361102</v>
      </c>
      <c r="W1117" s="37" t="s">
        <v>6</v>
      </c>
      <c r="X1117" s="35" t="s">
        <v>6</v>
      </c>
      <c r="Y1117" s="23" t="s">
        <v>6</v>
      </c>
      <c r="Z1117" s="21" t="s">
        <v>6</v>
      </c>
      <c r="AA1117" s="35" t="s">
        <v>6</v>
      </c>
      <c r="AB1117" s="37" t="s">
        <v>1</v>
      </c>
      <c r="AC1117" s="27" t="s">
        <v>212</v>
      </c>
    </row>
    <row r="1118" spans="1:29">
      <c r="A1118" s="35" t="s">
        <v>99</v>
      </c>
      <c r="B1118" s="38" t="s">
        <v>180</v>
      </c>
      <c r="C1118" s="35" t="s">
        <v>213</v>
      </c>
      <c r="D1118" s="35">
        <v>537</v>
      </c>
      <c r="E1118" s="12">
        <v>17.2</v>
      </c>
      <c r="F1118" s="35">
        <v>3.99</v>
      </c>
      <c r="G1118" s="35">
        <v>0</v>
      </c>
      <c r="H1118" s="35">
        <v>0</v>
      </c>
      <c r="I1118" s="35">
        <v>0</v>
      </c>
      <c r="J1118" s="35">
        <v>0</v>
      </c>
      <c r="K1118" s="35">
        <v>0</v>
      </c>
      <c r="L1118" s="36">
        <v>330</v>
      </c>
      <c r="M1118" s="35">
        <v>1.369</v>
      </c>
      <c r="N1118" s="21">
        <v>8.0399999999999991</v>
      </c>
      <c r="O1118" s="12">
        <v>0</v>
      </c>
      <c r="P1118" s="35">
        <v>100</v>
      </c>
      <c r="Q1118" s="35">
        <v>60</v>
      </c>
      <c r="R1118" s="35">
        <v>60</v>
      </c>
      <c r="S1118" s="35">
        <v>30</v>
      </c>
      <c r="T1118" s="21">
        <v>1.1469671146094165</v>
      </c>
      <c r="U1118" s="21">
        <v>0.28867652889473799</v>
      </c>
      <c r="V1118" s="37">
        <v>0.730762501565002</v>
      </c>
      <c r="W1118" s="37" t="s">
        <v>6</v>
      </c>
      <c r="X1118" s="35" t="s">
        <v>6</v>
      </c>
      <c r="Y1118" s="23" t="s">
        <v>6</v>
      </c>
      <c r="Z1118" s="21" t="s">
        <v>6</v>
      </c>
      <c r="AA1118" s="35" t="s">
        <v>6</v>
      </c>
      <c r="AB1118" s="37" t="s">
        <v>1</v>
      </c>
      <c r="AC1118" s="27" t="s">
        <v>212</v>
      </c>
    </row>
    <row r="1119" spans="1:29">
      <c r="A1119" s="35" t="s">
        <v>99</v>
      </c>
      <c r="B1119" s="38" t="s">
        <v>180</v>
      </c>
      <c r="C1119" s="35" t="s">
        <v>213</v>
      </c>
      <c r="D1119" s="35">
        <v>537</v>
      </c>
      <c r="E1119" s="12">
        <v>17.2</v>
      </c>
      <c r="F1119" s="35">
        <v>3.99</v>
      </c>
      <c r="G1119" s="35">
        <v>0</v>
      </c>
      <c r="H1119" s="35">
        <v>0</v>
      </c>
      <c r="I1119" s="35">
        <v>0</v>
      </c>
      <c r="J1119" s="35">
        <v>0</v>
      </c>
      <c r="K1119" s="35">
        <v>0</v>
      </c>
      <c r="L1119" s="36">
        <v>330</v>
      </c>
      <c r="M1119" s="35">
        <v>1.369</v>
      </c>
      <c r="N1119" s="21">
        <v>8.0399999999999991</v>
      </c>
      <c r="O1119" s="12">
        <v>0</v>
      </c>
      <c r="P1119" s="35">
        <v>100</v>
      </c>
      <c r="Q1119" s="35">
        <v>60</v>
      </c>
      <c r="R1119" s="35">
        <v>60</v>
      </c>
      <c r="S1119" s="35">
        <v>45</v>
      </c>
      <c r="T1119" s="21">
        <v>1.186690297703229</v>
      </c>
      <c r="U1119" s="21">
        <v>0.29831912668643101</v>
      </c>
      <c r="V1119" s="37">
        <v>0.71504890835021395</v>
      </c>
      <c r="W1119" s="37" t="s">
        <v>6</v>
      </c>
      <c r="X1119" s="35" t="s">
        <v>6</v>
      </c>
      <c r="Y1119" s="23" t="s">
        <v>6</v>
      </c>
      <c r="Z1119" s="21" t="s">
        <v>6</v>
      </c>
      <c r="AA1119" s="35" t="s">
        <v>6</v>
      </c>
      <c r="AB1119" s="37" t="s">
        <v>1</v>
      </c>
      <c r="AC1119" s="27" t="s">
        <v>212</v>
      </c>
    </row>
    <row r="1120" spans="1:29">
      <c r="A1120" s="35" t="s">
        <v>99</v>
      </c>
      <c r="B1120" s="38" t="s">
        <v>180</v>
      </c>
      <c r="C1120" s="35" t="s">
        <v>213</v>
      </c>
      <c r="D1120" s="35">
        <v>537</v>
      </c>
      <c r="E1120" s="12">
        <v>17.2</v>
      </c>
      <c r="F1120" s="35">
        <v>3.99</v>
      </c>
      <c r="G1120" s="35">
        <v>0</v>
      </c>
      <c r="H1120" s="35">
        <v>0</v>
      </c>
      <c r="I1120" s="35">
        <v>0</v>
      </c>
      <c r="J1120" s="35">
        <v>0</v>
      </c>
      <c r="K1120" s="35">
        <v>0</v>
      </c>
      <c r="L1120" s="36">
        <v>330</v>
      </c>
      <c r="M1120" s="35">
        <v>1.369</v>
      </c>
      <c r="N1120" s="21">
        <v>8.0399999999999991</v>
      </c>
      <c r="O1120" s="12">
        <v>0</v>
      </c>
      <c r="P1120" s="35">
        <v>100</v>
      </c>
      <c r="Q1120" s="35">
        <v>60</v>
      </c>
      <c r="R1120" s="35">
        <v>60</v>
      </c>
      <c r="S1120" s="35">
        <v>60</v>
      </c>
      <c r="T1120" s="21">
        <v>1.0943607369986899</v>
      </c>
      <c r="U1120" s="21">
        <v>0.27477540309933901</v>
      </c>
      <c r="V1120" s="37">
        <v>0.71261954215235201</v>
      </c>
      <c r="W1120" s="37" t="s">
        <v>6</v>
      </c>
      <c r="X1120" s="35" t="s">
        <v>6</v>
      </c>
      <c r="Y1120" s="23" t="s">
        <v>6</v>
      </c>
      <c r="Z1120" s="21" t="s">
        <v>6</v>
      </c>
      <c r="AA1120" s="35" t="s">
        <v>6</v>
      </c>
      <c r="AB1120" s="37" t="s">
        <v>1</v>
      </c>
      <c r="AC1120" s="27" t="s">
        <v>212</v>
      </c>
    </row>
    <row r="1121" spans="1:29">
      <c r="A1121" s="35" t="s">
        <v>99</v>
      </c>
      <c r="B1121" s="38" t="s">
        <v>180</v>
      </c>
      <c r="C1121" s="35" t="s">
        <v>213</v>
      </c>
      <c r="D1121" s="35">
        <v>537</v>
      </c>
      <c r="E1121" s="12">
        <v>17.2</v>
      </c>
      <c r="F1121" s="35">
        <v>3.99</v>
      </c>
      <c r="G1121" s="35">
        <v>0</v>
      </c>
      <c r="H1121" s="35">
        <v>0</v>
      </c>
      <c r="I1121" s="35">
        <v>0</v>
      </c>
      <c r="J1121" s="35">
        <v>0</v>
      </c>
      <c r="K1121" s="35">
        <v>0</v>
      </c>
      <c r="L1121" s="36">
        <v>330</v>
      </c>
      <c r="M1121" s="35">
        <v>1.369</v>
      </c>
      <c r="N1121" s="21">
        <v>8.0399999999999991</v>
      </c>
      <c r="O1121" s="12">
        <v>0</v>
      </c>
      <c r="P1121" s="35">
        <v>100</v>
      </c>
      <c r="Q1121" s="35">
        <v>60</v>
      </c>
      <c r="R1121" s="35">
        <v>60</v>
      </c>
      <c r="S1121" s="35">
        <v>75</v>
      </c>
      <c r="T1121" s="21">
        <v>1.0954306344743756</v>
      </c>
      <c r="U1121" s="21">
        <v>0.27472637093508401</v>
      </c>
      <c r="V1121" s="37">
        <v>0.71619111977168604</v>
      </c>
      <c r="W1121" s="37" t="s">
        <v>6</v>
      </c>
      <c r="X1121" s="35" t="s">
        <v>6</v>
      </c>
      <c r="Y1121" s="23" t="s">
        <v>6</v>
      </c>
      <c r="Z1121" s="21" t="s">
        <v>6</v>
      </c>
      <c r="AA1121" s="35" t="s">
        <v>6</v>
      </c>
      <c r="AB1121" s="37" t="s">
        <v>1</v>
      </c>
      <c r="AC1121" s="27" t="s">
        <v>212</v>
      </c>
    </row>
    <row r="1122" spans="1:29">
      <c r="A1122" s="35" t="s">
        <v>99</v>
      </c>
      <c r="B1122" s="38" t="s">
        <v>180</v>
      </c>
      <c r="C1122" s="35" t="s">
        <v>213</v>
      </c>
      <c r="D1122" s="35">
        <v>537</v>
      </c>
      <c r="E1122" s="12">
        <v>17.2</v>
      </c>
      <c r="F1122" s="35">
        <v>3.99</v>
      </c>
      <c r="G1122" s="35">
        <v>0</v>
      </c>
      <c r="H1122" s="35">
        <v>0</v>
      </c>
      <c r="I1122" s="35">
        <v>0</v>
      </c>
      <c r="J1122" s="35">
        <v>0</v>
      </c>
      <c r="K1122" s="35">
        <v>0</v>
      </c>
      <c r="L1122" s="36">
        <v>330</v>
      </c>
      <c r="M1122" s="35">
        <v>1.369</v>
      </c>
      <c r="N1122" s="21">
        <v>8.0399999999999991</v>
      </c>
      <c r="O1122" s="12">
        <v>0</v>
      </c>
      <c r="P1122" s="35">
        <v>100</v>
      </c>
      <c r="Q1122" s="35">
        <v>60</v>
      </c>
      <c r="R1122" s="35">
        <v>60</v>
      </c>
      <c r="S1122" s="35">
        <v>90</v>
      </c>
      <c r="T1122" s="21">
        <v>0.9161395107806789</v>
      </c>
      <c r="U1122" s="21">
        <v>0.229156046553502</v>
      </c>
      <c r="V1122" s="37">
        <v>0.74290451716045802</v>
      </c>
      <c r="W1122" s="37">
        <v>1.1000000000000001</v>
      </c>
      <c r="X1122" s="36">
        <v>130</v>
      </c>
      <c r="Y1122" s="23" t="s">
        <v>6</v>
      </c>
      <c r="Z1122" s="21">
        <v>68.782131486689195</v>
      </c>
      <c r="AA1122" s="35">
        <v>10</v>
      </c>
      <c r="AB1122" s="37" t="s">
        <v>1</v>
      </c>
      <c r="AC1122" s="27" t="s">
        <v>212</v>
      </c>
    </row>
    <row r="1123" spans="1:29">
      <c r="A1123" s="35" t="s">
        <v>99</v>
      </c>
      <c r="B1123" s="38" t="s">
        <v>180</v>
      </c>
      <c r="C1123" s="35" t="s">
        <v>213</v>
      </c>
      <c r="D1123" s="35">
        <v>537</v>
      </c>
      <c r="E1123" s="12">
        <v>17.2</v>
      </c>
      <c r="F1123" s="35">
        <v>3.99</v>
      </c>
      <c r="G1123" s="35">
        <v>0</v>
      </c>
      <c r="H1123" s="35">
        <v>0</v>
      </c>
      <c r="I1123" s="35">
        <v>0</v>
      </c>
      <c r="J1123" s="35">
        <v>0</v>
      </c>
      <c r="K1123" s="35">
        <v>0</v>
      </c>
      <c r="L1123" s="36">
        <v>330</v>
      </c>
      <c r="M1123" s="35">
        <v>1.369</v>
      </c>
      <c r="N1123" s="21">
        <v>8.0399999999999991</v>
      </c>
      <c r="O1123" s="12">
        <v>0</v>
      </c>
      <c r="P1123" s="35">
        <v>100</v>
      </c>
      <c r="Q1123" s="35">
        <v>60</v>
      </c>
      <c r="R1123" s="35">
        <v>60</v>
      </c>
      <c r="S1123" s="35">
        <v>90</v>
      </c>
      <c r="T1123" s="21">
        <v>0.9161395107806789</v>
      </c>
      <c r="U1123" s="21">
        <v>0.229156046553502</v>
      </c>
      <c r="V1123" s="37">
        <v>0.74290451716045802</v>
      </c>
      <c r="W1123" s="37">
        <v>1.1000000000000001</v>
      </c>
      <c r="X1123" s="36">
        <v>150</v>
      </c>
      <c r="Y1123" s="23" t="s">
        <v>6</v>
      </c>
      <c r="Z1123" s="21">
        <v>89.349813846162789</v>
      </c>
      <c r="AA1123" s="35">
        <v>10</v>
      </c>
      <c r="AB1123" s="37" t="s">
        <v>1</v>
      </c>
      <c r="AC1123" s="27" t="s">
        <v>212</v>
      </c>
    </row>
    <row r="1124" spans="1:29">
      <c r="A1124" s="35" t="s">
        <v>99</v>
      </c>
      <c r="B1124" s="38" t="s">
        <v>180</v>
      </c>
      <c r="C1124" s="35" t="s">
        <v>213</v>
      </c>
      <c r="D1124" s="35">
        <v>537</v>
      </c>
      <c r="E1124" s="12">
        <v>17.2</v>
      </c>
      <c r="F1124" s="35">
        <v>3.99</v>
      </c>
      <c r="G1124" s="35">
        <v>0</v>
      </c>
      <c r="H1124" s="35">
        <v>0</v>
      </c>
      <c r="I1124" s="35">
        <v>0</v>
      </c>
      <c r="J1124" s="35">
        <v>0</v>
      </c>
      <c r="K1124" s="35">
        <v>0</v>
      </c>
      <c r="L1124" s="36">
        <v>330</v>
      </c>
      <c r="M1124" s="35">
        <v>1.369</v>
      </c>
      <c r="N1124" s="21">
        <v>8.0399999999999991</v>
      </c>
      <c r="O1124" s="12">
        <v>0</v>
      </c>
      <c r="P1124" s="35">
        <v>100</v>
      </c>
      <c r="Q1124" s="35">
        <v>60</v>
      </c>
      <c r="R1124" s="35">
        <v>60</v>
      </c>
      <c r="S1124" s="35">
        <v>105</v>
      </c>
      <c r="T1124" s="21">
        <v>0.83346864389643271</v>
      </c>
      <c r="U1124" s="21">
        <v>0.20737443750385501</v>
      </c>
      <c r="V1124" s="37">
        <v>0.77304791958934305</v>
      </c>
      <c r="W1124" s="37" t="s">
        <v>6</v>
      </c>
      <c r="X1124" s="35" t="s">
        <v>6</v>
      </c>
      <c r="Y1124" s="23" t="s">
        <v>6</v>
      </c>
      <c r="Z1124" s="21" t="s">
        <v>6</v>
      </c>
      <c r="AA1124" s="35" t="s">
        <v>6</v>
      </c>
      <c r="AB1124" s="37" t="s">
        <v>1</v>
      </c>
      <c r="AC1124" s="27" t="s">
        <v>212</v>
      </c>
    </row>
    <row r="1125" spans="1:29">
      <c r="A1125" s="35" t="s">
        <v>99</v>
      </c>
      <c r="B1125" s="38" t="s">
        <v>180</v>
      </c>
      <c r="C1125" s="35" t="s">
        <v>213</v>
      </c>
      <c r="D1125" s="35">
        <v>537</v>
      </c>
      <c r="E1125" s="12">
        <v>17.2</v>
      </c>
      <c r="F1125" s="35">
        <v>3.99</v>
      </c>
      <c r="G1125" s="35">
        <v>0</v>
      </c>
      <c r="H1125" s="35">
        <v>0</v>
      </c>
      <c r="I1125" s="35">
        <v>0</v>
      </c>
      <c r="J1125" s="35">
        <v>0</v>
      </c>
      <c r="K1125" s="35">
        <v>0</v>
      </c>
      <c r="L1125" s="36">
        <v>330</v>
      </c>
      <c r="M1125" s="35">
        <v>1.369</v>
      </c>
      <c r="N1125" s="21">
        <v>8.0399999999999991</v>
      </c>
      <c r="O1125" s="12">
        <v>0</v>
      </c>
      <c r="P1125" s="35">
        <v>100</v>
      </c>
      <c r="Q1125" s="35">
        <v>60</v>
      </c>
      <c r="R1125" s="35">
        <v>60</v>
      </c>
      <c r="S1125" s="35">
        <v>120</v>
      </c>
      <c r="T1125" s="21">
        <v>0.62840742910152136</v>
      </c>
      <c r="U1125" s="21">
        <v>0.15593039799745601</v>
      </c>
      <c r="V1125" s="37">
        <v>0.764190002600312</v>
      </c>
      <c r="W1125" s="37" t="s">
        <v>6</v>
      </c>
      <c r="X1125" s="35" t="s">
        <v>6</v>
      </c>
      <c r="Y1125" s="23" t="s">
        <v>6</v>
      </c>
      <c r="Z1125" s="21" t="s">
        <v>6</v>
      </c>
      <c r="AA1125" s="35" t="s">
        <v>6</v>
      </c>
      <c r="AB1125" s="37" t="s">
        <v>1</v>
      </c>
      <c r="AC1125" s="27" t="s">
        <v>212</v>
      </c>
    </row>
    <row r="1126" spans="1:29">
      <c r="A1126" s="35" t="s">
        <v>99</v>
      </c>
      <c r="B1126" s="38" t="s">
        <v>180</v>
      </c>
      <c r="C1126" s="35" t="s">
        <v>213</v>
      </c>
      <c r="D1126" s="35">
        <v>537</v>
      </c>
      <c r="E1126" s="12">
        <v>29.9</v>
      </c>
      <c r="F1126" s="21">
        <v>7</v>
      </c>
      <c r="G1126" s="35">
        <v>0</v>
      </c>
      <c r="H1126" s="35">
        <v>0</v>
      </c>
      <c r="I1126" s="35">
        <v>0</v>
      </c>
      <c r="J1126" s="35">
        <v>0</v>
      </c>
      <c r="K1126" s="35">
        <v>0</v>
      </c>
      <c r="L1126" s="36">
        <v>330</v>
      </c>
      <c r="M1126" s="35">
        <v>1.369</v>
      </c>
      <c r="N1126" s="21">
        <v>8.0399999999999991</v>
      </c>
      <c r="O1126" s="12">
        <v>0</v>
      </c>
      <c r="P1126" s="35">
        <v>100</v>
      </c>
      <c r="Q1126" s="35">
        <v>60</v>
      </c>
      <c r="R1126" s="35">
        <v>60</v>
      </c>
      <c r="S1126" s="35">
        <v>30</v>
      </c>
      <c r="T1126" s="21">
        <v>1.9972616547930246</v>
      </c>
      <c r="U1126" s="21">
        <v>0.28544598557608902</v>
      </c>
      <c r="V1126" s="37">
        <v>0.75047720553064001</v>
      </c>
      <c r="W1126" s="37" t="s">
        <v>6</v>
      </c>
      <c r="X1126" s="35" t="s">
        <v>6</v>
      </c>
      <c r="Y1126" s="23" t="s">
        <v>6</v>
      </c>
      <c r="Z1126" s="21" t="s">
        <v>6</v>
      </c>
      <c r="AA1126" s="35" t="s">
        <v>6</v>
      </c>
      <c r="AB1126" s="37" t="s">
        <v>1</v>
      </c>
      <c r="AC1126" s="27" t="s">
        <v>212</v>
      </c>
    </row>
    <row r="1127" spans="1:29">
      <c r="A1127" s="35" t="s">
        <v>99</v>
      </c>
      <c r="B1127" s="38" t="s">
        <v>180</v>
      </c>
      <c r="C1127" s="35" t="s">
        <v>213</v>
      </c>
      <c r="D1127" s="35">
        <v>537</v>
      </c>
      <c r="E1127" s="12">
        <v>29.9</v>
      </c>
      <c r="F1127" s="21">
        <v>7</v>
      </c>
      <c r="G1127" s="35">
        <v>0</v>
      </c>
      <c r="H1127" s="35">
        <v>0</v>
      </c>
      <c r="I1127" s="35">
        <v>0</v>
      </c>
      <c r="J1127" s="35">
        <v>0</v>
      </c>
      <c r="K1127" s="35">
        <v>0</v>
      </c>
      <c r="L1127" s="36">
        <v>330</v>
      </c>
      <c r="M1127" s="35">
        <v>1.369</v>
      </c>
      <c r="N1127" s="21">
        <v>8.0399999999999991</v>
      </c>
      <c r="O1127" s="12">
        <v>0</v>
      </c>
      <c r="P1127" s="35">
        <v>100</v>
      </c>
      <c r="Q1127" s="35">
        <v>60</v>
      </c>
      <c r="R1127" s="35">
        <v>60</v>
      </c>
      <c r="S1127" s="35">
        <v>45</v>
      </c>
      <c r="T1127" s="21">
        <v>2.1432674905839759</v>
      </c>
      <c r="U1127" s="21">
        <v>0.30536758483621101</v>
      </c>
      <c r="V1127" s="37">
        <v>0.748475446306753</v>
      </c>
      <c r="W1127" s="37" t="s">
        <v>6</v>
      </c>
      <c r="X1127" s="35" t="s">
        <v>6</v>
      </c>
      <c r="Y1127" s="23" t="s">
        <v>6</v>
      </c>
      <c r="Z1127" s="21" t="s">
        <v>6</v>
      </c>
      <c r="AA1127" s="35" t="s">
        <v>6</v>
      </c>
      <c r="AB1127" s="37" t="s">
        <v>1</v>
      </c>
      <c r="AC1127" s="27" t="s">
        <v>212</v>
      </c>
    </row>
    <row r="1128" spans="1:29">
      <c r="A1128" s="35" t="s">
        <v>99</v>
      </c>
      <c r="B1128" s="38" t="s">
        <v>180</v>
      </c>
      <c r="C1128" s="35" t="s">
        <v>213</v>
      </c>
      <c r="D1128" s="35">
        <v>537</v>
      </c>
      <c r="E1128" s="12">
        <v>29.9</v>
      </c>
      <c r="F1128" s="21">
        <v>7</v>
      </c>
      <c r="G1128" s="35">
        <v>0</v>
      </c>
      <c r="H1128" s="35">
        <v>0</v>
      </c>
      <c r="I1128" s="35">
        <v>0</v>
      </c>
      <c r="J1128" s="35">
        <v>0</v>
      </c>
      <c r="K1128" s="35">
        <v>0</v>
      </c>
      <c r="L1128" s="36">
        <v>330</v>
      </c>
      <c r="M1128" s="35">
        <v>1.369</v>
      </c>
      <c r="N1128" s="21">
        <v>8.0399999999999991</v>
      </c>
      <c r="O1128" s="12">
        <v>0</v>
      </c>
      <c r="P1128" s="35">
        <v>100</v>
      </c>
      <c r="Q1128" s="35">
        <v>60</v>
      </c>
      <c r="R1128" s="35">
        <v>60</v>
      </c>
      <c r="S1128" s="35">
        <v>60</v>
      </c>
      <c r="T1128" s="21">
        <v>2.4503169599037014</v>
      </c>
      <c r="U1128" s="21">
        <v>0.34966510186431998</v>
      </c>
      <c r="V1128" s="37">
        <v>0.77390602277360199</v>
      </c>
      <c r="W1128" s="37" t="s">
        <v>6</v>
      </c>
      <c r="X1128" s="35" t="s">
        <v>6</v>
      </c>
      <c r="Y1128" s="23" t="s">
        <v>6</v>
      </c>
      <c r="Z1128" s="21" t="s">
        <v>6</v>
      </c>
      <c r="AA1128" s="35" t="s">
        <v>6</v>
      </c>
      <c r="AB1128" s="37" t="s">
        <v>1</v>
      </c>
      <c r="AC1128" s="27" t="s">
        <v>212</v>
      </c>
    </row>
    <row r="1129" spans="1:29">
      <c r="A1129" s="35" t="s">
        <v>99</v>
      </c>
      <c r="B1129" s="38" t="s">
        <v>180</v>
      </c>
      <c r="C1129" s="35" t="s">
        <v>213</v>
      </c>
      <c r="D1129" s="35">
        <v>537</v>
      </c>
      <c r="E1129" s="12">
        <v>29.9</v>
      </c>
      <c r="F1129" s="21">
        <v>7</v>
      </c>
      <c r="G1129" s="35">
        <v>0</v>
      </c>
      <c r="H1129" s="35">
        <v>0</v>
      </c>
      <c r="I1129" s="35">
        <v>0</v>
      </c>
      <c r="J1129" s="35">
        <v>0</v>
      </c>
      <c r="K1129" s="35">
        <v>0</v>
      </c>
      <c r="L1129" s="36">
        <v>330</v>
      </c>
      <c r="M1129" s="35">
        <v>1.369</v>
      </c>
      <c r="N1129" s="21">
        <v>8.0399999999999991</v>
      </c>
      <c r="O1129" s="12">
        <v>0</v>
      </c>
      <c r="P1129" s="35">
        <v>100</v>
      </c>
      <c r="Q1129" s="35">
        <v>60</v>
      </c>
      <c r="R1129" s="35">
        <v>60</v>
      </c>
      <c r="S1129" s="35">
        <v>75</v>
      </c>
      <c r="T1129" s="21">
        <v>2.4288375649074023</v>
      </c>
      <c r="U1129" s="21">
        <v>0.346385864534273</v>
      </c>
      <c r="V1129" s="37">
        <v>0.77147617503635602</v>
      </c>
      <c r="W1129" s="37" t="s">
        <v>6</v>
      </c>
      <c r="X1129" s="35" t="s">
        <v>6</v>
      </c>
      <c r="Y1129" s="23" t="s">
        <v>6</v>
      </c>
      <c r="Z1129" s="21" t="s">
        <v>6</v>
      </c>
      <c r="AA1129" s="35" t="s">
        <v>6</v>
      </c>
      <c r="AB1129" s="37" t="s">
        <v>1</v>
      </c>
      <c r="AC1129" s="27" t="s">
        <v>212</v>
      </c>
    </row>
    <row r="1130" spans="1:29">
      <c r="A1130" s="35" t="s">
        <v>99</v>
      </c>
      <c r="B1130" s="38" t="s">
        <v>180</v>
      </c>
      <c r="C1130" s="35" t="s">
        <v>213</v>
      </c>
      <c r="D1130" s="35">
        <v>537</v>
      </c>
      <c r="E1130" s="12">
        <v>29.9</v>
      </c>
      <c r="F1130" s="21">
        <v>7</v>
      </c>
      <c r="G1130" s="35">
        <v>0</v>
      </c>
      <c r="H1130" s="35">
        <v>0</v>
      </c>
      <c r="I1130" s="35">
        <v>0</v>
      </c>
      <c r="J1130" s="35">
        <v>0</v>
      </c>
      <c r="K1130" s="35">
        <v>0</v>
      </c>
      <c r="L1130" s="36">
        <v>330</v>
      </c>
      <c r="M1130" s="35">
        <v>1.369</v>
      </c>
      <c r="N1130" s="21">
        <v>8.0399999999999991</v>
      </c>
      <c r="O1130" s="12">
        <v>0</v>
      </c>
      <c r="P1130" s="35">
        <v>100</v>
      </c>
      <c r="Q1130" s="35">
        <v>60</v>
      </c>
      <c r="R1130" s="35">
        <v>60</v>
      </c>
      <c r="S1130" s="35">
        <v>90</v>
      </c>
      <c r="T1130" s="21">
        <v>2.3300701090118077</v>
      </c>
      <c r="U1130" s="21">
        <v>0.30311633219121997</v>
      </c>
      <c r="V1130" s="37">
        <v>0.78533247084279001</v>
      </c>
      <c r="W1130" s="37">
        <v>1.1200000000000001</v>
      </c>
      <c r="X1130" s="36">
        <v>130</v>
      </c>
      <c r="Y1130" s="23" t="s">
        <v>6</v>
      </c>
      <c r="Z1130" s="21">
        <v>59.942812114180434</v>
      </c>
      <c r="AA1130" s="35">
        <v>10</v>
      </c>
      <c r="AB1130" s="37" t="s">
        <v>1</v>
      </c>
      <c r="AC1130" s="27" t="s">
        <v>212</v>
      </c>
    </row>
    <row r="1131" spans="1:29">
      <c r="A1131" s="35" t="s">
        <v>99</v>
      </c>
      <c r="B1131" s="38" t="s">
        <v>180</v>
      </c>
      <c r="C1131" s="35" t="s">
        <v>213</v>
      </c>
      <c r="D1131" s="35">
        <v>537</v>
      </c>
      <c r="E1131" s="12">
        <v>29.9</v>
      </c>
      <c r="F1131" s="21">
        <v>7</v>
      </c>
      <c r="G1131" s="35">
        <v>0</v>
      </c>
      <c r="H1131" s="35">
        <v>0</v>
      </c>
      <c r="I1131" s="35">
        <v>0</v>
      </c>
      <c r="J1131" s="35">
        <v>0</v>
      </c>
      <c r="K1131" s="35">
        <v>0</v>
      </c>
      <c r="L1131" s="36">
        <v>330</v>
      </c>
      <c r="M1131" s="35">
        <v>1.369</v>
      </c>
      <c r="N1131" s="21">
        <v>8.0399999999999991</v>
      </c>
      <c r="O1131" s="12">
        <v>0</v>
      </c>
      <c r="P1131" s="35">
        <v>100</v>
      </c>
      <c r="Q1131" s="35">
        <v>60</v>
      </c>
      <c r="R1131" s="35">
        <v>60</v>
      </c>
      <c r="S1131" s="35">
        <v>90</v>
      </c>
      <c r="T1131" s="21">
        <v>2.3300701090118077</v>
      </c>
      <c r="U1131" s="21">
        <v>0.30311633219121997</v>
      </c>
      <c r="V1131" s="37">
        <v>0.78533247084279001</v>
      </c>
      <c r="W1131" s="37">
        <v>1.1200000000000001</v>
      </c>
      <c r="X1131" s="36">
        <v>150</v>
      </c>
      <c r="Y1131" s="23" t="s">
        <v>6</v>
      </c>
      <c r="Z1131" s="21">
        <v>86.695053356463234</v>
      </c>
      <c r="AA1131" s="35">
        <v>10</v>
      </c>
      <c r="AB1131" s="37" t="s">
        <v>1</v>
      </c>
      <c r="AC1131" s="27" t="s">
        <v>212</v>
      </c>
    </row>
    <row r="1132" spans="1:29">
      <c r="A1132" s="35" t="s">
        <v>99</v>
      </c>
      <c r="B1132" s="38" t="s">
        <v>180</v>
      </c>
      <c r="C1132" s="35" t="s">
        <v>213</v>
      </c>
      <c r="D1132" s="35">
        <v>537</v>
      </c>
      <c r="E1132" s="12">
        <v>29.9</v>
      </c>
      <c r="F1132" s="21">
        <v>7</v>
      </c>
      <c r="G1132" s="35">
        <v>0</v>
      </c>
      <c r="H1132" s="35">
        <v>0</v>
      </c>
      <c r="I1132" s="35">
        <v>0</v>
      </c>
      <c r="J1132" s="35">
        <v>0</v>
      </c>
      <c r="K1132" s="35">
        <v>0</v>
      </c>
      <c r="L1132" s="36">
        <v>330</v>
      </c>
      <c r="M1132" s="35">
        <v>1.369</v>
      </c>
      <c r="N1132" s="21">
        <v>8.0399999999999991</v>
      </c>
      <c r="O1132" s="12">
        <v>0</v>
      </c>
      <c r="P1132" s="35">
        <v>100</v>
      </c>
      <c r="Q1132" s="35">
        <v>60</v>
      </c>
      <c r="R1132" s="35">
        <v>60</v>
      </c>
      <c r="S1132" s="35">
        <v>105</v>
      </c>
      <c r="T1132" s="21">
        <v>2.1250014900821235</v>
      </c>
      <c r="U1132" s="21">
        <v>0.23640046428386999</v>
      </c>
      <c r="V1132" s="37">
        <v>0.83047534357835096</v>
      </c>
      <c r="W1132" s="37" t="s">
        <v>6</v>
      </c>
      <c r="X1132" s="35" t="s">
        <v>6</v>
      </c>
      <c r="Y1132" s="23" t="s">
        <v>6</v>
      </c>
      <c r="Z1132" s="21" t="s">
        <v>6</v>
      </c>
      <c r="AA1132" s="35" t="s">
        <v>6</v>
      </c>
      <c r="AB1132" s="37" t="s">
        <v>1</v>
      </c>
      <c r="AC1132" s="27" t="s">
        <v>212</v>
      </c>
    </row>
    <row r="1133" spans="1:29">
      <c r="A1133" s="35" t="s">
        <v>99</v>
      </c>
      <c r="B1133" s="38" t="s">
        <v>180</v>
      </c>
      <c r="C1133" s="35" t="s">
        <v>213</v>
      </c>
      <c r="D1133" s="35">
        <v>537</v>
      </c>
      <c r="E1133" s="12">
        <v>29.9</v>
      </c>
      <c r="F1133" s="21">
        <v>7</v>
      </c>
      <c r="G1133" s="35">
        <v>0</v>
      </c>
      <c r="H1133" s="35">
        <v>0</v>
      </c>
      <c r="I1133" s="35">
        <v>0</v>
      </c>
      <c r="J1133" s="35">
        <v>0</v>
      </c>
      <c r="K1133" s="35">
        <v>0</v>
      </c>
      <c r="L1133" s="36">
        <v>330</v>
      </c>
      <c r="M1133" s="35">
        <v>1.369</v>
      </c>
      <c r="N1133" s="21">
        <v>8.0399999999999991</v>
      </c>
      <c r="O1133" s="12">
        <v>0</v>
      </c>
      <c r="P1133" s="35">
        <v>100</v>
      </c>
      <c r="Q1133" s="35">
        <v>60</v>
      </c>
      <c r="R1133" s="35">
        <v>60</v>
      </c>
      <c r="S1133" s="35">
        <v>120</v>
      </c>
      <c r="T1133" s="21">
        <v>1.6365174000499183</v>
      </c>
      <c r="U1133" s="21">
        <v>0.26224497990949303</v>
      </c>
      <c r="V1133" s="37">
        <v>0.85590447542704495</v>
      </c>
      <c r="W1133" s="37" t="s">
        <v>6</v>
      </c>
      <c r="X1133" s="35" t="s">
        <v>6</v>
      </c>
      <c r="Y1133" s="23" t="s">
        <v>6</v>
      </c>
      <c r="Z1133" s="21" t="s">
        <v>6</v>
      </c>
      <c r="AA1133" s="35" t="s">
        <v>6</v>
      </c>
      <c r="AB1133" s="37" t="s">
        <v>1</v>
      </c>
      <c r="AC1133" s="27" t="s">
        <v>212</v>
      </c>
    </row>
    <row r="1134" spans="1:29">
      <c r="A1134" s="35" t="s">
        <v>99</v>
      </c>
      <c r="B1134" s="38" t="s">
        <v>180</v>
      </c>
      <c r="C1134" s="35" t="s">
        <v>213</v>
      </c>
      <c r="D1134" s="35">
        <v>537</v>
      </c>
      <c r="E1134" s="12">
        <v>37.799999999999997</v>
      </c>
      <c r="F1134" s="21">
        <v>8.9499999999999993</v>
      </c>
      <c r="G1134" s="35">
        <v>0</v>
      </c>
      <c r="H1134" s="35">
        <v>0</v>
      </c>
      <c r="I1134" s="35">
        <v>0</v>
      </c>
      <c r="J1134" s="35">
        <v>0</v>
      </c>
      <c r="K1134" s="35">
        <v>0</v>
      </c>
      <c r="L1134" s="36">
        <v>330</v>
      </c>
      <c r="M1134" s="35">
        <v>1.369</v>
      </c>
      <c r="N1134" s="21">
        <v>8.0399999999999991</v>
      </c>
      <c r="O1134" s="12">
        <v>0</v>
      </c>
      <c r="P1134" s="35">
        <v>100</v>
      </c>
      <c r="Q1134" s="35">
        <v>60</v>
      </c>
      <c r="R1134" s="35">
        <v>60</v>
      </c>
      <c r="S1134" s="35">
        <v>30</v>
      </c>
      <c r="T1134" s="21">
        <v>2.3418871081204133</v>
      </c>
      <c r="U1134" s="21">
        <v>0.26307683593753201</v>
      </c>
      <c r="V1134" s="37">
        <v>0.81176175999434896</v>
      </c>
      <c r="W1134" s="37" t="s">
        <v>6</v>
      </c>
      <c r="X1134" s="35" t="s">
        <v>6</v>
      </c>
      <c r="Y1134" s="23" t="s">
        <v>6</v>
      </c>
      <c r="Z1134" s="21" t="s">
        <v>6</v>
      </c>
      <c r="AA1134" s="35" t="s">
        <v>6</v>
      </c>
      <c r="AB1134" s="37" t="s">
        <v>1</v>
      </c>
      <c r="AC1134" s="27" t="s">
        <v>212</v>
      </c>
    </row>
    <row r="1135" spans="1:29">
      <c r="A1135" s="35" t="s">
        <v>99</v>
      </c>
      <c r="B1135" s="38" t="s">
        <v>180</v>
      </c>
      <c r="C1135" s="35" t="s">
        <v>213</v>
      </c>
      <c r="D1135" s="35">
        <v>537</v>
      </c>
      <c r="E1135" s="12">
        <v>37.799999999999997</v>
      </c>
      <c r="F1135" s="21">
        <v>8.9499999999999993</v>
      </c>
      <c r="G1135" s="35">
        <v>0</v>
      </c>
      <c r="H1135" s="35">
        <v>0</v>
      </c>
      <c r="I1135" s="35">
        <v>0</v>
      </c>
      <c r="J1135" s="35">
        <v>0</v>
      </c>
      <c r="K1135" s="35">
        <v>0</v>
      </c>
      <c r="L1135" s="36">
        <v>330</v>
      </c>
      <c r="M1135" s="35">
        <v>1.369</v>
      </c>
      <c r="N1135" s="21">
        <v>8.0399999999999991</v>
      </c>
      <c r="O1135" s="12">
        <v>0</v>
      </c>
      <c r="P1135" s="35">
        <v>100</v>
      </c>
      <c r="Q1135" s="35">
        <v>60</v>
      </c>
      <c r="R1135" s="35">
        <v>60</v>
      </c>
      <c r="S1135" s="35">
        <v>45</v>
      </c>
      <c r="T1135" s="21">
        <v>2.352626805618574</v>
      </c>
      <c r="U1135" s="21">
        <v>0.29533340603619601</v>
      </c>
      <c r="V1135" s="37">
        <v>0.75019068959650104</v>
      </c>
      <c r="W1135" s="37" t="s">
        <v>6</v>
      </c>
      <c r="X1135" s="35" t="s">
        <v>6</v>
      </c>
      <c r="Y1135" s="23" t="s">
        <v>6</v>
      </c>
      <c r="Z1135" s="21" t="s">
        <v>6</v>
      </c>
      <c r="AA1135" s="35" t="s">
        <v>6</v>
      </c>
      <c r="AB1135" s="37" t="s">
        <v>1</v>
      </c>
      <c r="AC1135" s="27" t="s">
        <v>212</v>
      </c>
    </row>
    <row r="1136" spans="1:29">
      <c r="A1136" s="35" t="s">
        <v>99</v>
      </c>
      <c r="B1136" s="38" t="s">
        <v>180</v>
      </c>
      <c r="C1136" s="35" t="s">
        <v>213</v>
      </c>
      <c r="D1136" s="35">
        <v>537</v>
      </c>
      <c r="E1136" s="12">
        <v>37.799999999999997</v>
      </c>
      <c r="F1136" s="21">
        <v>8.9499999999999993</v>
      </c>
      <c r="G1136" s="35">
        <v>0</v>
      </c>
      <c r="H1136" s="35">
        <v>0</v>
      </c>
      <c r="I1136" s="35">
        <v>0</v>
      </c>
      <c r="J1136" s="35">
        <v>0</v>
      </c>
      <c r="K1136" s="35">
        <v>0</v>
      </c>
      <c r="L1136" s="36">
        <v>330</v>
      </c>
      <c r="M1136" s="35">
        <v>1.369</v>
      </c>
      <c r="N1136" s="21">
        <v>8.0399999999999991</v>
      </c>
      <c r="O1136" s="12">
        <v>0</v>
      </c>
      <c r="P1136" s="35">
        <v>100</v>
      </c>
      <c r="Q1136" s="35">
        <v>60</v>
      </c>
      <c r="R1136" s="35">
        <v>60</v>
      </c>
      <c r="S1136" s="35">
        <v>60</v>
      </c>
      <c r="T1136" s="21">
        <v>2.6371232803989328</v>
      </c>
      <c r="U1136" s="21">
        <v>0.328177178570914</v>
      </c>
      <c r="V1136" s="37">
        <v>0.76833461208792198</v>
      </c>
      <c r="W1136" s="37" t="s">
        <v>6</v>
      </c>
      <c r="X1136" s="35" t="s">
        <v>6</v>
      </c>
      <c r="Y1136" s="23" t="s">
        <v>6</v>
      </c>
      <c r="Z1136" s="21" t="s">
        <v>6</v>
      </c>
      <c r="AA1136" s="35" t="s">
        <v>6</v>
      </c>
      <c r="AB1136" s="37" t="s">
        <v>1</v>
      </c>
      <c r="AC1136" s="27" t="s">
        <v>212</v>
      </c>
    </row>
    <row r="1137" spans="1:29">
      <c r="A1137" s="35" t="s">
        <v>99</v>
      </c>
      <c r="B1137" s="38" t="s">
        <v>180</v>
      </c>
      <c r="C1137" s="35" t="s">
        <v>213</v>
      </c>
      <c r="D1137" s="35">
        <v>537</v>
      </c>
      <c r="E1137" s="12">
        <v>37.799999999999997</v>
      </c>
      <c r="F1137" s="21">
        <v>8.9499999999999993</v>
      </c>
      <c r="G1137" s="35">
        <v>0</v>
      </c>
      <c r="H1137" s="35">
        <v>0</v>
      </c>
      <c r="I1137" s="35">
        <v>0</v>
      </c>
      <c r="J1137" s="35">
        <v>0</v>
      </c>
      <c r="K1137" s="35">
        <v>0</v>
      </c>
      <c r="L1137" s="36">
        <v>330</v>
      </c>
      <c r="M1137" s="35">
        <v>1.369</v>
      </c>
      <c r="N1137" s="21">
        <v>8.0399999999999991</v>
      </c>
      <c r="O1137" s="12">
        <v>0</v>
      </c>
      <c r="P1137" s="35">
        <v>100</v>
      </c>
      <c r="Q1137" s="35">
        <v>60</v>
      </c>
      <c r="R1137" s="35">
        <v>60</v>
      </c>
      <c r="S1137" s="35">
        <v>75</v>
      </c>
      <c r="T1137" s="21">
        <v>2.944165345583901</v>
      </c>
      <c r="U1137" s="21">
        <v>0.34075680300144301</v>
      </c>
      <c r="V1137" s="37">
        <v>0.77961996911727405</v>
      </c>
      <c r="W1137" s="37" t="s">
        <v>6</v>
      </c>
      <c r="X1137" s="35" t="s">
        <v>6</v>
      </c>
      <c r="Y1137" s="23" t="s">
        <v>6</v>
      </c>
      <c r="Z1137" s="21" t="s">
        <v>6</v>
      </c>
      <c r="AA1137" s="35" t="s">
        <v>6</v>
      </c>
      <c r="AB1137" s="37" t="s">
        <v>1</v>
      </c>
      <c r="AC1137" s="27" t="s">
        <v>212</v>
      </c>
    </row>
    <row r="1138" spans="1:29">
      <c r="A1138" s="35" t="s">
        <v>99</v>
      </c>
      <c r="B1138" s="38" t="s">
        <v>180</v>
      </c>
      <c r="C1138" s="35" t="s">
        <v>213</v>
      </c>
      <c r="D1138" s="35">
        <v>537</v>
      </c>
      <c r="E1138" s="12">
        <v>37.799999999999997</v>
      </c>
      <c r="F1138" s="21">
        <v>8.9499999999999993</v>
      </c>
      <c r="G1138" s="35">
        <v>0</v>
      </c>
      <c r="H1138" s="35">
        <v>0</v>
      </c>
      <c r="I1138" s="35">
        <v>0</v>
      </c>
      <c r="J1138" s="35">
        <v>0</v>
      </c>
      <c r="K1138" s="35">
        <v>0</v>
      </c>
      <c r="L1138" s="36">
        <v>330</v>
      </c>
      <c r="M1138" s="35">
        <v>1.369</v>
      </c>
      <c r="N1138" s="21">
        <v>8.0399999999999991</v>
      </c>
      <c r="O1138" s="12">
        <v>0</v>
      </c>
      <c r="P1138" s="35">
        <v>100</v>
      </c>
      <c r="Q1138" s="35">
        <v>60</v>
      </c>
      <c r="R1138" s="35">
        <v>60</v>
      </c>
      <c r="S1138" s="35">
        <v>90</v>
      </c>
      <c r="T1138" s="21">
        <v>3.0418740102059947</v>
      </c>
      <c r="U1138" s="21">
        <v>0.32279327785935502</v>
      </c>
      <c r="V1138" s="37">
        <v>0.84790514316165899</v>
      </c>
      <c r="W1138" s="37">
        <v>1.54</v>
      </c>
      <c r="X1138" s="36">
        <v>130</v>
      </c>
      <c r="Y1138" s="23" t="s">
        <v>6</v>
      </c>
      <c r="Z1138" s="21">
        <v>58.532328235366712</v>
      </c>
      <c r="AA1138" s="35">
        <v>10</v>
      </c>
      <c r="AB1138" s="37" t="s">
        <v>1</v>
      </c>
      <c r="AC1138" s="27" t="s">
        <v>212</v>
      </c>
    </row>
    <row r="1139" spans="1:29">
      <c r="A1139" s="35" t="s">
        <v>99</v>
      </c>
      <c r="B1139" s="38" t="s">
        <v>180</v>
      </c>
      <c r="C1139" s="35" t="s">
        <v>213</v>
      </c>
      <c r="D1139" s="35">
        <v>537</v>
      </c>
      <c r="E1139" s="12">
        <v>37.799999999999997</v>
      </c>
      <c r="F1139" s="21">
        <v>8.9499999999999993</v>
      </c>
      <c r="G1139" s="35">
        <v>0</v>
      </c>
      <c r="H1139" s="35">
        <v>0</v>
      </c>
      <c r="I1139" s="35">
        <v>0</v>
      </c>
      <c r="J1139" s="35">
        <v>0</v>
      </c>
      <c r="K1139" s="35">
        <v>0</v>
      </c>
      <c r="L1139" s="36">
        <v>330</v>
      </c>
      <c r="M1139" s="35">
        <v>1.369</v>
      </c>
      <c r="N1139" s="21">
        <v>8.0399999999999991</v>
      </c>
      <c r="O1139" s="12">
        <v>0</v>
      </c>
      <c r="P1139" s="35">
        <v>100</v>
      </c>
      <c r="Q1139" s="35">
        <v>60</v>
      </c>
      <c r="R1139" s="35">
        <v>60</v>
      </c>
      <c r="S1139" s="35">
        <v>90</v>
      </c>
      <c r="T1139" s="21">
        <v>3.0418740102059947</v>
      </c>
      <c r="U1139" s="21">
        <v>0.32279327785935502</v>
      </c>
      <c r="V1139" s="37">
        <v>0.84790514316165899</v>
      </c>
      <c r="W1139" s="37">
        <v>1.54</v>
      </c>
      <c r="X1139" s="36">
        <v>150</v>
      </c>
      <c r="Y1139" s="23" t="s">
        <v>6</v>
      </c>
      <c r="Z1139" s="21">
        <v>83.32188737173783</v>
      </c>
      <c r="AA1139" s="35">
        <v>10</v>
      </c>
      <c r="AB1139" s="37" t="s">
        <v>1</v>
      </c>
      <c r="AC1139" s="27" t="s">
        <v>212</v>
      </c>
    </row>
    <row r="1140" spans="1:29">
      <c r="A1140" s="35" t="s">
        <v>99</v>
      </c>
      <c r="B1140" s="38" t="s">
        <v>180</v>
      </c>
      <c r="C1140" s="35" t="s">
        <v>213</v>
      </c>
      <c r="D1140" s="35">
        <v>537</v>
      </c>
      <c r="E1140" s="12">
        <v>37.799999999999997</v>
      </c>
      <c r="F1140" s="21">
        <v>8.9499999999999993</v>
      </c>
      <c r="G1140" s="35">
        <v>0</v>
      </c>
      <c r="H1140" s="35">
        <v>0</v>
      </c>
      <c r="I1140" s="35">
        <v>0</v>
      </c>
      <c r="J1140" s="35">
        <v>0</v>
      </c>
      <c r="K1140" s="35">
        <v>0</v>
      </c>
      <c r="L1140" s="36">
        <v>330</v>
      </c>
      <c r="M1140" s="35">
        <v>1.369</v>
      </c>
      <c r="N1140" s="21">
        <v>8.0399999999999991</v>
      </c>
      <c r="O1140" s="12">
        <v>0</v>
      </c>
      <c r="P1140" s="35">
        <v>100</v>
      </c>
      <c r="Q1140" s="35">
        <v>60</v>
      </c>
      <c r="R1140" s="35">
        <v>60</v>
      </c>
      <c r="S1140" s="35">
        <v>105</v>
      </c>
      <c r="T1140" s="21">
        <v>2.8851136686473433</v>
      </c>
      <c r="U1140" s="21">
        <v>0.23992486243518901</v>
      </c>
      <c r="V1140" s="37">
        <v>0.89861894504351503</v>
      </c>
      <c r="W1140" s="37" t="s">
        <v>6</v>
      </c>
      <c r="X1140" s="35" t="s">
        <v>6</v>
      </c>
      <c r="Y1140" s="23" t="s">
        <v>6</v>
      </c>
      <c r="Z1140" s="21" t="s">
        <v>6</v>
      </c>
      <c r="AA1140" s="35" t="s">
        <v>6</v>
      </c>
      <c r="AB1140" s="37" t="s">
        <v>1</v>
      </c>
      <c r="AC1140" s="27" t="s">
        <v>212</v>
      </c>
    </row>
    <row r="1141" spans="1:29">
      <c r="A1141" s="35" t="s">
        <v>99</v>
      </c>
      <c r="B1141" s="38" t="s">
        <v>180</v>
      </c>
      <c r="C1141" s="35" t="s">
        <v>213</v>
      </c>
      <c r="D1141" s="35">
        <v>537</v>
      </c>
      <c r="E1141" s="12">
        <v>37.799999999999997</v>
      </c>
      <c r="F1141" s="21">
        <v>8.9499999999999993</v>
      </c>
      <c r="G1141" s="35">
        <v>0</v>
      </c>
      <c r="H1141" s="35">
        <v>0</v>
      </c>
      <c r="I1141" s="35">
        <v>0</v>
      </c>
      <c r="J1141" s="35">
        <v>0</v>
      </c>
      <c r="K1141" s="35">
        <v>0</v>
      </c>
      <c r="L1141" s="36">
        <v>330</v>
      </c>
      <c r="M1141" s="35">
        <v>1.369</v>
      </c>
      <c r="N1141" s="21">
        <v>8.0399999999999991</v>
      </c>
      <c r="O1141" s="12">
        <v>0</v>
      </c>
      <c r="P1141" s="35">
        <v>100</v>
      </c>
      <c r="Q1141" s="35">
        <v>60</v>
      </c>
      <c r="R1141" s="35">
        <v>60</v>
      </c>
      <c r="S1141" s="35">
        <v>120</v>
      </c>
      <c r="T1141" s="21">
        <v>2.1486280841645753</v>
      </c>
      <c r="U1141" s="21">
        <v>0.193522343872712</v>
      </c>
      <c r="V1141" s="37">
        <v>0.87518964626116702</v>
      </c>
      <c r="W1141" s="37" t="s">
        <v>6</v>
      </c>
      <c r="X1141" s="35" t="s">
        <v>6</v>
      </c>
      <c r="Y1141" s="23" t="s">
        <v>6</v>
      </c>
      <c r="Z1141" s="21" t="s">
        <v>6</v>
      </c>
      <c r="AA1141" s="35" t="s">
        <v>6</v>
      </c>
      <c r="AB1141" s="37" t="s">
        <v>1</v>
      </c>
      <c r="AC1141" s="27" t="s">
        <v>212</v>
      </c>
    </row>
    <row r="1142" spans="1:29">
      <c r="A1142" s="35" t="s">
        <v>99</v>
      </c>
      <c r="B1142" s="38" t="s">
        <v>180</v>
      </c>
      <c r="C1142" s="35" t="s">
        <v>213</v>
      </c>
      <c r="D1142" s="35">
        <v>537</v>
      </c>
      <c r="E1142" s="12">
        <v>45.300000000000004</v>
      </c>
      <c r="F1142" s="37">
        <v>10.7</v>
      </c>
      <c r="G1142" s="35">
        <v>0</v>
      </c>
      <c r="H1142" s="35">
        <v>0</v>
      </c>
      <c r="I1142" s="35">
        <v>0</v>
      </c>
      <c r="J1142" s="35">
        <v>0</v>
      </c>
      <c r="K1142" s="35">
        <v>0</v>
      </c>
      <c r="L1142" s="36">
        <v>330</v>
      </c>
      <c r="M1142" s="35">
        <v>1.369</v>
      </c>
      <c r="N1142" s="21">
        <v>8.0399999999999991</v>
      </c>
      <c r="O1142" s="12">
        <v>0</v>
      </c>
      <c r="P1142" s="35">
        <v>100</v>
      </c>
      <c r="Q1142" s="35">
        <v>60</v>
      </c>
      <c r="R1142" s="35">
        <v>60</v>
      </c>
      <c r="S1142" s="35">
        <v>30</v>
      </c>
      <c r="T1142" s="21">
        <v>2.0649021280742028</v>
      </c>
      <c r="U1142" s="21">
        <v>0.19024259931338</v>
      </c>
      <c r="V1142" s="37">
        <v>3.11</v>
      </c>
      <c r="W1142" s="37" t="s">
        <v>6</v>
      </c>
      <c r="X1142" s="35" t="s">
        <v>6</v>
      </c>
      <c r="Y1142" s="23" t="s">
        <v>6</v>
      </c>
      <c r="Z1142" s="21" t="s">
        <v>6</v>
      </c>
      <c r="AA1142" s="35" t="s">
        <v>6</v>
      </c>
      <c r="AB1142" s="37" t="s">
        <v>1</v>
      </c>
      <c r="AC1142" s="27" t="s">
        <v>212</v>
      </c>
    </row>
    <row r="1143" spans="1:29">
      <c r="A1143" s="35" t="s">
        <v>99</v>
      </c>
      <c r="B1143" s="38" t="s">
        <v>180</v>
      </c>
      <c r="C1143" s="35" t="s">
        <v>213</v>
      </c>
      <c r="D1143" s="35">
        <v>537</v>
      </c>
      <c r="E1143" s="12">
        <v>45.300000000000004</v>
      </c>
      <c r="F1143" s="37">
        <v>10.7</v>
      </c>
      <c r="G1143" s="35">
        <v>0</v>
      </c>
      <c r="H1143" s="35">
        <v>0</v>
      </c>
      <c r="I1143" s="35">
        <v>0</v>
      </c>
      <c r="J1143" s="35">
        <v>0</v>
      </c>
      <c r="K1143" s="35">
        <v>0</v>
      </c>
      <c r="L1143" s="36">
        <v>330</v>
      </c>
      <c r="M1143" s="35">
        <v>1.369</v>
      </c>
      <c r="N1143" s="21">
        <v>8.0399999999999991</v>
      </c>
      <c r="O1143" s="12">
        <v>0</v>
      </c>
      <c r="P1143" s="35">
        <v>100</v>
      </c>
      <c r="Q1143" s="35">
        <v>60</v>
      </c>
      <c r="R1143" s="35">
        <v>60</v>
      </c>
      <c r="S1143" s="35">
        <v>45</v>
      </c>
      <c r="T1143" s="21">
        <v>2.0241053454373161</v>
      </c>
      <c r="U1143" s="21">
        <v>0.21956248092606401</v>
      </c>
      <c r="V1143" s="37">
        <v>0.78876247588290205</v>
      </c>
      <c r="W1143" s="37" t="s">
        <v>6</v>
      </c>
      <c r="X1143" s="35" t="s">
        <v>6</v>
      </c>
      <c r="Y1143" s="23" t="s">
        <v>6</v>
      </c>
      <c r="Z1143" s="21" t="s">
        <v>6</v>
      </c>
      <c r="AA1143" s="35" t="s">
        <v>6</v>
      </c>
      <c r="AB1143" s="37" t="s">
        <v>1</v>
      </c>
      <c r="AC1143" s="27" t="s">
        <v>212</v>
      </c>
    </row>
    <row r="1144" spans="1:29">
      <c r="A1144" s="35" t="s">
        <v>99</v>
      </c>
      <c r="B1144" s="38" t="s">
        <v>180</v>
      </c>
      <c r="C1144" s="35" t="s">
        <v>213</v>
      </c>
      <c r="D1144" s="35">
        <v>537</v>
      </c>
      <c r="E1144" s="12">
        <v>45.300000000000004</v>
      </c>
      <c r="F1144" s="37">
        <v>10.7</v>
      </c>
      <c r="G1144" s="35">
        <v>0</v>
      </c>
      <c r="H1144" s="35">
        <v>0</v>
      </c>
      <c r="I1144" s="35">
        <v>0</v>
      </c>
      <c r="J1144" s="35">
        <v>0</v>
      </c>
      <c r="K1144" s="35">
        <v>0</v>
      </c>
      <c r="L1144" s="36">
        <v>330</v>
      </c>
      <c r="M1144" s="35">
        <v>1.369</v>
      </c>
      <c r="N1144" s="21">
        <v>8.0399999999999991</v>
      </c>
      <c r="O1144" s="12">
        <v>0</v>
      </c>
      <c r="P1144" s="35">
        <v>100</v>
      </c>
      <c r="Q1144" s="35">
        <v>60</v>
      </c>
      <c r="R1144" s="35">
        <v>60</v>
      </c>
      <c r="S1144" s="35">
        <v>60</v>
      </c>
      <c r="T1144" s="21">
        <v>2.3375890078807222</v>
      </c>
      <c r="U1144" s="21">
        <v>0.277076026061439</v>
      </c>
      <c r="V1144" s="37">
        <v>0.77519125139245104</v>
      </c>
      <c r="W1144" s="37" t="s">
        <v>6</v>
      </c>
      <c r="X1144" s="35" t="s">
        <v>6</v>
      </c>
      <c r="Y1144" s="23" t="s">
        <v>6</v>
      </c>
      <c r="Z1144" s="21" t="s">
        <v>6</v>
      </c>
      <c r="AA1144" s="35" t="s">
        <v>6</v>
      </c>
      <c r="AB1144" s="37" t="s">
        <v>1</v>
      </c>
      <c r="AC1144" s="27" t="s">
        <v>212</v>
      </c>
    </row>
    <row r="1145" spans="1:29">
      <c r="A1145" s="35" t="s">
        <v>99</v>
      </c>
      <c r="B1145" s="38" t="s">
        <v>180</v>
      </c>
      <c r="C1145" s="35" t="s">
        <v>213</v>
      </c>
      <c r="D1145" s="35">
        <v>537</v>
      </c>
      <c r="E1145" s="12">
        <v>45.300000000000004</v>
      </c>
      <c r="F1145" s="37">
        <v>10.7</v>
      </c>
      <c r="G1145" s="35">
        <v>0</v>
      </c>
      <c r="H1145" s="35">
        <v>0</v>
      </c>
      <c r="I1145" s="35">
        <v>0</v>
      </c>
      <c r="J1145" s="35">
        <v>0</v>
      </c>
      <c r="K1145" s="35">
        <v>0</v>
      </c>
      <c r="L1145" s="36">
        <v>330</v>
      </c>
      <c r="M1145" s="35">
        <v>1.369</v>
      </c>
      <c r="N1145" s="21">
        <v>8.0399999999999991</v>
      </c>
      <c r="O1145" s="12">
        <v>0</v>
      </c>
      <c r="P1145" s="35">
        <v>100</v>
      </c>
      <c r="Q1145" s="35">
        <v>60</v>
      </c>
      <c r="R1145" s="35">
        <v>60</v>
      </c>
      <c r="S1145" s="35">
        <v>75</v>
      </c>
      <c r="T1145" s="21">
        <v>2.9506069428423705</v>
      </c>
      <c r="U1145" s="21">
        <v>0.333121311492039</v>
      </c>
      <c r="V1145" s="37">
        <v>0.82376268454996904</v>
      </c>
      <c r="W1145" s="37" t="s">
        <v>6</v>
      </c>
      <c r="X1145" s="35" t="s">
        <v>6</v>
      </c>
      <c r="Y1145" s="23" t="s">
        <v>6</v>
      </c>
      <c r="Z1145" s="21" t="s">
        <v>6</v>
      </c>
      <c r="AA1145" s="35" t="s">
        <v>6</v>
      </c>
      <c r="AB1145" s="37" t="s">
        <v>1</v>
      </c>
      <c r="AC1145" s="27" t="s">
        <v>212</v>
      </c>
    </row>
    <row r="1146" spans="1:29">
      <c r="A1146" s="35" t="s">
        <v>99</v>
      </c>
      <c r="B1146" s="38" t="s">
        <v>180</v>
      </c>
      <c r="C1146" s="35" t="s">
        <v>213</v>
      </c>
      <c r="D1146" s="35">
        <v>537</v>
      </c>
      <c r="E1146" s="12">
        <v>45.300000000000004</v>
      </c>
      <c r="F1146" s="37">
        <v>10.7</v>
      </c>
      <c r="G1146" s="35">
        <v>0</v>
      </c>
      <c r="H1146" s="35">
        <v>0</v>
      </c>
      <c r="I1146" s="35">
        <v>0</v>
      </c>
      <c r="J1146" s="35">
        <v>0</v>
      </c>
      <c r="K1146" s="35">
        <v>0</v>
      </c>
      <c r="L1146" s="36">
        <v>330</v>
      </c>
      <c r="M1146" s="35">
        <v>1.369</v>
      </c>
      <c r="N1146" s="21">
        <v>8.0399999999999991</v>
      </c>
      <c r="O1146" s="12">
        <v>0</v>
      </c>
      <c r="P1146" s="35">
        <v>100</v>
      </c>
      <c r="Q1146" s="35">
        <v>60</v>
      </c>
      <c r="R1146" s="35">
        <v>60</v>
      </c>
      <c r="S1146" s="35">
        <v>90</v>
      </c>
      <c r="T1146" s="21">
        <v>3.54</v>
      </c>
      <c r="U1146" s="21">
        <v>0.33282762573579799</v>
      </c>
      <c r="V1146" s="37">
        <v>0.85733320278265501</v>
      </c>
      <c r="W1146" s="37">
        <v>3.31</v>
      </c>
      <c r="X1146" s="36">
        <v>130</v>
      </c>
      <c r="Y1146" s="23" t="s">
        <v>6</v>
      </c>
      <c r="Z1146" s="21">
        <v>52.680171498515669</v>
      </c>
      <c r="AA1146" s="35">
        <v>10</v>
      </c>
      <c r="AB1146" s="37" t="s">
        <v>1</v>
      </c>
      <c r="AC1146" s="27" t="s">
        <v>212</v>
      </c>
    </row>
    <row r="1147" spans="1:29">
      <c r="A1147" s="35" t="s">
        <v>99</v>
      </c>
      <c r="B1147" s="38" t="s">
        <v>180</v>
      </c>
      <c r="C1147" s="35" t="s">
        <v>213</v>
      </c>
      <c r="D1147" s="35">
        <v>537</v>
      </c>
      <c r="E1147" s="12">
        <v>45.300000000000004</v>
      </c>
      <c r="F1147" s="37">
        <v>10.7</v>
      </c>
      <c r="G1147" s="35">
        <v>0</v>
      </c>
      <c r="H1147" s="35">
        <v>0</v>
      </c>
      <c r="I1147" s="35">
        <v>0</v>
      </c>
      <c r="J1147" s="35">
        <v>0</v>
      </c>
      <c r="K1147" s="35">
        <v>0</v>
      </c>
      <c r="L1147" s="36">
        <v>330</v>
      </c>
      <c r="M1147" s="35">
        <v>1.369</v>
      </c>
      <c r="N1147" s="21">
        <v>8.0399999999999991</v>
      </c>
      <c r="O1147" s="12">
        <v>0</v>
      </c>
      <c r="P1147" s="35">
        <v>100</v>
      </c>
      <c r="Q1147" s="35">
        <v>60</v>
      </c>
      <c r="R1147" s="35">
        <v>60</v>
      </c>
      <c r="S1147" s="35">
        <v>90</v>
      </c>
      <c r="T1147" s="21">
        <v>3.54</v>
      </c>
      <c r="U1147" s="21">
        <v>0.33282762573579799</v>
      </c>
      <c r="V1147" s="37">
        <v>0.85733320278265501</v>
      </c>
      <c r="W1147" s="37">
        <v>3.31</v>
      </c>
      <c r="X1147" s="36">
        <v>150</v>
      </c>
      <c r="Y1147" s="23" t="s">
        <v>6</v>
      </c>
      <c r="Z1147" s="21">
        <v>72.103447821908517</v>
      </c>
      <c r="AA1147" s="35">
        <v>10</v>
      </c>
      <c r="AB1147" s="37" t="s">
        <v>1</v>
      </c>
      <c r="AC1147" s="27" t="s">
        <v>212</v>
      </c>
    </row>
    <row r="1148" spans="1:29">
      <c r="A1148" s="35" t="s">
        <v>99</v>
      </c>
      <c r="B1148" s="38" t="s">
        <v>180</v>
      </c>
      <c r="C1148" s="35" t="s">
        <v>213</v>
      </c>
      <c r="D1148" s="35">
        <v>537</v>
      </c>
      <c r="E1148" s="12">
        <v>45.300000000000004</v>
      </c>
      <c r="F1148" s="37">
        <v>10.7</v>
      </c>
      <c r="G1148" s="35">
        <v>0</v>
      </c>
      <c r="H1148" s="35">
        <v>0</v>
      </c>
      <c r="I1148" s="35">
        <v>0</v>
      </c>
      <c r="J1148" s="35">
        <v>0</v>
      </c>
      <c r="K1148" s="35">
        <v>0</v>
      </c>
      <c r="L1148" s="36">
        <v>330</v>
      </c>
      <c r="M1148" s="35">
        <v>1.369</v>
      </c>
      <c r="N1148" s="21">
        <v>8.0399999999999991</v>
      </c>
      <c r="O1148" s="12">
        <v>0</v>
      </c>
      <c r="P1148" s="35">
        <v>100</v>
      </c>
      <c r="Q1148" s="35">
        <v>60</v>
      </c>
      <c r="R1148" s="35">
        <v>60</v>
      </c>
      <c r="S1148" s="35">
        <v>105</v>
      </c>
      <c r="T1148" s="21">
        <v>3.5486055904031106</v>
      </c>
      <c r="U1148" s="21">
        <v>0.33130999571391101</v>
      </c>
      <c r="V1148" s="37">
        <v>0.96333254146856595</v>
      </c>
      <c r="W1148" s="37" t="s">
        <v>6</v>
      </c>
      <c r="X1148" s="35" t="s">
        <v>6</v>
      </c>
      <c r="Y1148" s="23" t="s">
        <v>6</v>
      </c>
      <c r="Z1148" s="21" t="s">
        <v>6</v>
      </c>
      <c r="AA1148" s="35" t="s">
        <v>6</v>
      </c>
      <c r="AB1148" s="37" t="s">
        <v>1</v>
      </c>
      <c r="AC1148" s="27" t="s">
        <v>212</v>
      </c>
    </row>
    <row r="1149" spans="1:29">
      <c r="A1149" s="35" t="s">
        <v>99</v>
      </c>
      <c r="B1149" s="38" t="s">
        <v>180</v>
      </c>
      <c r="C1149" s="35" t="s">
        <v>213</v>
      </c>
      <c r="D1149" s="35">
        <v>537</v>
      </c>
      <c r="E1149" s="12">
        <v>45.300000000000004</v>
      </c>
      <c r="F1149" s="37">
        <v>10.7</v>
      </c>
      <c r="G1149" s="35">
        <v>0</v>
      </c>
      <c r="H1149" s="35">
        <v>0</v>
      </c>
      <c r="I1149" s="35">
        <v>0</v>
      </c>
      <c r="J1149" s="35">
        <v>0</v>
      </c>
      <c r="K1149" s="35">
        <v>0</v>
      </c>
      <c r="L1149" s="36">
        <v>330</v>
      </c>
      <c r="M1149" s="35">
        <v>1.369</v>
      </c>
      <c r="N1149" s="21">
        <v>8.0399999999999991</v>
      </c>
      <c r="O1149" s="12">
        <v>0</v>
      </c>
      <c r="P1149" s="35">
        <v>100</v>
      </c>
      <c r="Q1149" s="35">
        <v>60</v>
      </c>
      <c r="R1149" s="35">
        <v>60</v>
      </c>
      <c r="S1149" s="35">
        <v>120</v>
      </c>
      <c r="T1149" s="21">
        <v>2.7122641422121028</v>
      </c>
      <c r="U1149" s="21">
        <v>0.25343423814583799</v>
      </c>
      <c r="V1149" s="37">
        <v>0.92833281434088399</v>
      </c>
      <c r="W1149" s="37" t="s">
        <v>6</v>
      </c>
      <c r="X1149" s="35" t="s">
        <v>6</v>
      </c>
      <c r="Y1149" s="23" t="s">
        <v>6</v>
      </c>
      <c r="Z1149" s="21" t="s">
        <v>6</v>
      </c>
      <c r="AA1149" s="35" t="s">
        <v>6</v>
      </c>
      <c r="AB1149" s="37" t="s">
        <v>1</v>
      </c>
      <c r="AC1149" s="27" t="s">
        <v>212</v>
      </c>
    </row>
    <row r="1150" spans="1:29">
      <c r="A1150" s="35" t="s">
        <v>99</v>
      </c>
      <c r="B1150" s="38" t="s">
        <v>180</v>
      </c>
      <c r="C1150" s="35" t="s">
        <v>213</v>
      </c>
      <c r="D1150" s="35">
        <v>537</v>
      </c>
      <c r="E1150" s="12">
        <v>49.8</v>
      </c>
      <c r="F1150" s="37">
        <v>11.8</v>
      </c>
      <c r="G1150" s="35">
        <v>0</v>
      </c>
      <c r="H1150" s="35">
        <v>0</v>
      </c>
      <c r="I1150" s="35">
        <v>0</v>
      </c>
      <c r="J1150" s="35">
        <v>0</v>
      </c>
      <c r="K1150" s="35">
        <v>0</v>
      </c>
      <c r="L1150" s="36">
        <v>330</v>
      </c>
      <c r="M1150" s="35">
        <v>1.369</v>
      </c>
      <c r="N1150" s="21">
        <v>8.0399999999999991</v>
      </c>
      <c r="O1150" s="12">
        <v>0</v>
      </c>
      <c r="P1150" s="35">
        <v>100</v>
      </c>
      <c r="Q1150" s="35">
        <v>60</v>
      </c>
      <c r="R1150" s="35">
        <v>60</v>
      </c>
      <c r="S1150" s="35">
        <v>30</v>
      </c>
      <c r="T1150" s="21">
        <v>1.923183286320779</v>
      </c>
      <c r="U1150" s="21">
        <v>0.163272710979907</v>
      </c>
      <c r="V1150" s="37">
        <v>3.11</v>
      </c>
      <c r="W1150" s="37" t="s">
        <v>6</v>
      </c>
      <c r="X1150" s="35" t="s">
        <v>6</v>
      </c>
      <c r="Y1150" s="23" t="s">
        <v>6</v>
      </c>
      <c r="Z1150" s="21" t="s">
        <v>6</v>
      </c>
      <c r="AA1150" s="35" t="s">
        <v>6</v>
      </c>
      <c r="AB1150" s="37" t="s">
        <v>1</v>
      </c>
      <c r="AC1150" s="27" t="s">
        <v>212</v>
      </c>
    </row>
    <row r="1151" spans="1:29">
      <c r="A1151" s="35" t="s">
        <v>99</v>
      </c>
      <c r="B1151" s="38" t="s">
        <v>180</v>
      </c>
      <c r="C1151" s="35" t="s">
        <v>213</v>
      </c>
      <c r="D1151" s="35">
        <v>537</v>
      </c>
      <c r="E1151" s="12">
        <v>49.8</v>
      </c>
      <c r="F1151" s="37">
        <v>11.8</v>
      </c>
      <c r="G1151" s="35">
        <v>0</v>
      </c>
      <c r="H1151" s="35">
        <v>0</v>
      </c>
      <c r="I1151" s="35">
        <v>0</v>
      </c>
      <c r="J1151" s="35">
        <v>0</v>
      </c>
      <c r="K1151" s="35">
        <v>0</v>
      </c>
      <c r="L1151" s="36">
        <v>330</v>
      </c>
      <c r="M1151" s="35">
        <v>1.369</v>
      </c>
      <c r="N1151" s="21">
        <v>8.0399999999999991</v>
      </c>
      <c r="O1151" s="12">
        <v>0</v>
      </c>
      <c r="P1151" s="35">
        <v>100</v>
      </c>
      <c r="Q1151" s="35">
        <v>60</v>
      </c>
      <c r="R1151" s="35">
        <v>60</v>
      </c>
      <c r="S1151" s="35">
        <v>45</v>
      </c>
      <c r="T1151" s="21">
        <v>2.0499999999999998</v>
      </c>
      <c r="U1151" s="21">
        <v>0.173502680284081</v>
      </c>
      <c r="V1151" s="37">
        <v>0.85133225896546005</v>
      </c>
      <c r="W1151" s="37" t="s">
        <v>6</v>
      </c>
      <c r="X1151" s="35" t="s">
        <v>6</v>
      </c>
      <c r="Y1151" s="23" t="s">
        <v>6</v>
      </c>
      <c r="Z1151" s="21" t="s">
        <v>6</v>
      </c>
      <c r="AA1151" s="35" t="s">
        <v>6</v>
      </c>
      <c r="AB1151" s="37" t="s">
        <v>1</v>
      </c>
      <c r="AC1151" s="27" t="s">
        <v>212</v>
      </c>
    </row>
    <row r="1152" spans="1:29">
      <c r="A1152" s="35" t="s">
        <v>99</v>
      </c>
      <c r="B1152" s="38" t="s">
        <v>180</v>
      </c>
      <c r="C1152" s="35" t="s">
        <v>213</v>
      </c>
      <c r="D1152" s="35">
        <v>537</v>
      </c>
      <c r="E1152" s="12">
        <v>49.8</v>
      </c>
      <c r="F1152" s="37">
        <v>11.8</v>
      </c>
      <c r="G1152" s="35">
        <v>0</v>
      </c>
      <c r="H1152" s="35">
        <v>0</v>
      </c>
      <c r="I1152" s="35">
        <v>0</v>
      </c>
      <c r="J1152" s="35">
        <v>0</v>
      </c>
      <c r="K1152" s="35">
        <v>0</v>
      </c>
      <c r="L1152" s="36">
        <v>330</v>
      </c>
      <c r="M1152" s="35">
        <v>1.369</v>
      </c>
      <c r="N1152" s="21">
        <v>8.0399999999999991</v>
      </c>
      <c r="O1152" s="12">
        <v>0</v>
      </c>
      <c r="P1152" s="35">
        <v>100</v>
      </c>
      <c r="Q1152" s="35">
        <v>60</v>
      </c>
      <c r="R1152" s="35">
        <v>60</v>
      </c>
      <c r="S1152" s="35">
        <v>60</v>
      </c>
      <c r="T1152" s="21">
        <v>2.2441858476331222</v>
      </c>
      <c r="U1152" s="21">
        <v>0.18990038862217001</v>
      </c>
      <c r="V1152" s="37">
        <v>0.78933406313302301</v>
      </c>
      <c r="W1152" s="37" t="s">
        <v>6</v>
      </c>
      <c r="X1152" s="35" t="s">
        <v>6</v>
      </c>
      <c r="Y1152" s="23" t="s">
        <v>6</v>
      </c>
      <c r="Z1152" s="21" t="s">
        <v>6</v>
      </c>
      <c r="AA1152" s="35" t="s">
        <v>6</v>
      </c>
      <c r="AB1152" s="37" t="s">
        <v>1</v>
      </c>
      <c r="AC1152" s="27" t="s">
        <v>212</v>
      </c>
    </row>
    <row r="1153" spans="1:29">
      <c r="A1153" s="35" t="s">
        <v>99</v>
      </c>
      <c r="B1153" s="38" t="s">
        <v>180</v>
      </c>
      <c r="C1153" s="35" t="s">
        <v>213</v>
      </c>
      <c r="D1153" s="35">
        <v>537</v>
      </c>
      <c r="E1153" s="12">
        <v>49.8</v>
      </c>
      <c r="F1153" s="37">
        <v>11.8</v>
      </c>
      <c r="G1153" s="35">
        <v>0</v>
      </c>
      <c r="H1153" s="35">
        <v>0</v>
      </c>
      <c r="I1153" s="35">
        <v>0</v>
      </c>
      <c r="J1153" s="35">
        <v>0</v>
      </c>
      <c r="K1153" s="35">
        <v>0</v>
      </c>
      <c r="L1153" s="36">
        <v>330</v>
      </c>
      <c r="M1153" s="35">
        <v>1.369</v>
      </c>
      <c r="N1153" s="21">
        <v>8.0399999999999991</v>
      </c>
      <c r="O1153" s="12">
        <v>0</v>
      </c>
      <c r="P1153" s="35">
        <v>100</v>
      </c>
      <c r="Q1153" s="35">
        <v>60</v>
      </c>
      <c r="R1153" s="35">
        <v>60</v>
      </c>
      <c r="S1153" s="35">
        <v>75</v>
      </c>
      <c r="T1153" s="21">
        <v>2.8056710045270887</v>
      </c>
      <c r="U1153" s="21">
        <v>0.23830950623765099</v>
      </c>
      <c r="V1153" s="37">
        <v>0.81390461025807204</v>
      </c>
      <c r="W1153" s="37" t="s">
        <v>6</v>
      </c>
      <c r="X1153" s="35" t="s">
        <v>6</v>
      </c>
      <c r="Y1153" s="23" t="s">
        <v>6</v>
      </c>
      <c r="Z1153" s="21" t="s">
        <v>6</v>
      </c>
      <c r="AA1153" s="35" t="s">
        <v>6</v>
      </c>
      <c r="AB1153" s="37" t="s">
        <v>1</v>
      </c>
      <c r="AC1153" s="27" t="s">
        <v>212</v>
      </c>
    </row>
    <row r="1154" spans="1:29">
      <c r="A1154" s="35" t="s">
        <v>99</v>
      </c>
      <c r="B1154" s="38" t="s">
        <v>180</v>
      </c>
      <c r="C1154" s="35" t="s">
        <v>213</v>
      </c>
      <c r="D1154" s="35">
        <v>537</v>
      </c>
      <c r="E1154" s="12">
        <v>49.8</v>
      </c>
      <c r="F1154" s="37">
        <v>11.8</v>
      </c>
      <c r="G1154" s="35">
        <v>0</v>
      </c>
      <c r="H1154" s="35">
        <v>0</v>
      </c>
      <c r="I1154" s="35">
        <v>0</v>
      </c>
      <c r="J1154" s="35">
        <v>0</v>
      </c>
      <c r="K1154" s="35">
        <v>0</v>
      </c>
      <c r="L1154" s="36">
        <v>330</v>
      </c>
      <c r="M1154" s="35">
        <v>1.369</v>
      </c>
      <c r="N1154" s="21">
        <v>8.0399999999999991</v>
      </c>
      <c r="O1154" s="12">
        <v>0</v>
      </c>
      <c r="P1154" s="35">
        <v>100</v>
      </c>
      <c r="Q1154" s="35">
        <v>60</v>
      </c>
      <c r="R1154" s="35">
        <v>60</v>
      </c>
      <c r="S1154" s="35">
        <v>90</v>
      </c>
      <c r="T1154" s="21">
        <v>3.47</v>
      </c>
      <c r="U1154" s="21">
        <v>0.29494182502787503</v>
      </c>
      <c r="V1154" s="37">
        <v>0.87404791637907997</v>
      </c>
      <c r="W1154" s="37">
        <v>1.45</v>
      </c>
      <c r="X1154" s="36">
        <v>130</v>
      </c>
      <c r="Y1154" s="23" t="s">
        <v>6</v>
      </c>
      <c r="Z1154" s="21">
        <v>54.796932019013425</v>
      </c>
      <c r="AA1154" s="35">
        <v>10</v>
      </c>
      <c r="AB1154" s="37" t="s">
        <v>1</v>
      </c>
      <c r="AC1154" s="27" t="s">
        <v>212</v>
      </c>
    </row>
    <row r="1155" spans="1:29">
      <c r="A1155" s="35" t="s">
        <v>99</v>
      </c>
      <c r="B1155" s="38" t="s">
        <v>180</v>
      </c>
      <c r="C1155" s="35" t="s">
        <v>213</v>
      </c>
      <c r="D1155" s="35">
        <v>537</v>
      </c>
      <c r="E1155" s="12">
        <v>49.8</v>
      </c>
      <c r="F1155" s="37">
        <v>11.8</v>
      </c>
      <c r="G1155" s="35">
        <v>0</v>
      </c>
      <c r="H1155" s="35">
        <v>0</v>
      </c>
      <c r="I1155" s="35">
        <v>0</v>
      </c>
      <c r="J1155" s="35">
        <v>0</v>
      </c>
      <c r="K1155" s="35">
        <v>0</v>
      </c>
      <c r="L1155" s="36">
        <v>330</v>
      </c>
      <c r="M1155" s="35">
        <v>1.369</v>
      </c>
      <c r="N1155" s="21">
        <v>8.0399999999999991</v>
      </c>
      <c r="O1155" s="12">
        <v>0</v>
      </c>
      <c r="P1155" s="35">
        <v>100</v>
      </c>
      <c r="Q1155" s="35">
        <v>60</v>
      </c>
      <c r="R1155" s="35">
        <v>60</v>
      </c>
      <c r="S1155" s="35">
        <v>90</v>
      </c>
      <c r="T1155" s="21">
        <v>3.47</v>
      </c>
      <c r="U1155" s="21">
        <v>0.29494182502787503</v>
      </c>
      <c r="V1155" s="37">
        <v>0.87404791637907997</v>
      </c>
      <c r="W1155" s="37">
        <v>1.45</v>
      </c>
      <c r="X1155" s="36">
        <v>150</v>
      </c>
      <c r="Y1155" s="23" t="s">
        <v>6</v>
      </c>
      <c r="Z1155" s="21">
        <v>65.861227486314363</v>
      </c>
      <c r="AA1155" s="35">
        <v>10</v>
      </c>
      <c r="AB1155" s="37" t="s">
        <v>1</v>
      </c>
      <c r="AC1155" s="27" t="s">
        <v>212</v>
      </c>
    </row>
    <row r="1156" spans="1:29">
      <c r="A1156" s="35" t="s">
        <v>99</v>
      </c>
      <c r="B1156" s="38" t="s">
        <v>180</v>
      </c>
      <c r="C1156" s="35" t="s">
        <v>213</v>
      </c>
      <c r="D1156" s="35">
        <v>537</v>
      </c>
      <c r="E1156" s="12">
        <v>49.8</v>
      </c>
      <c r="F1156" s="37">
        <v>11.8</v>
      </c>
      <c r="G1156" s="35">
        <v>0</v>
      </c>
      <c r="H1156" s="35">
        <v>0</v>
      </c>
      <c r="I1156" s="35">
        <v>0</v>
      </c>
      <c r="J1156" s="35">
        <v>0</v>
      </c>
      <c r="K1156" s="35">
        <v>0</v>
      </c>
      <c r="L1156" s="36">
        <v>330</v>
      </c>
      <c r="M1156" s="35">
        <v>1.369</v>
      </c>
      <c r="N1156" s="21">
        <v>8.0399999999999991</v>
      </c>
      <c r="O1156" s="12">
        <v>0</v>
      </c>
      <c r="P1156" s="35">
        <v>100</v>
      </c>
      <c r="Q1156" s="35">
        <v>60</v>
      </c>
      <c r="R1156" s="35">
        <v>60</v>
      </c>
      <c r="S1156" s="35">
        <v>105</v>
      </c>
      <c r="T1156" s="21">
        <v>3.47</v>
      </c>
      <c r="U1156" s="21">
        <v>0.29371788076222799</v>
      </c>
      <c r="V1156" s="37">
        <v>0.94704687946427102</v>
      </c>
      <c r="W1156" s="37" t="s">
        <v>6</v>
      </c>
      <c r="X1156" s="35" t="s">
        <v>6</v>
      </c>
      <c r="Y1156" s="23" t="s">
        <v>6</v>
      </c>
      <c r="Z1156" s="21" t="s">
        <v>6</v>
      </c>
      <c r="AA1156" s="35" t="s">
        <v>6</v>
      </c>
      <c r="AB1156" s="37" t="s">
        <v>1</v>
      </c>
      <c r="AC1156" s="27" t="s">
        <v>212</v>
      </c>
    </row>
    <row r="1157" spans="1:29">
      <c r="A1157" s="35" t="s">
        <v>99</v>
      </c>
      <c r="B1157" s="38" t="s">
        <v>180</v>
      </c>
      <c r="C1157" s="35" t="s">
        <v>213</v>
      </c>
      <c r="D1157" s="35">
        <v>537</v>
      </c>
      <c r="E1157" s="12">
        <v>49.8</v>
      </c>
      <c r="F1157" s="37">
        <v>11.8</v>
      </c>
      <c r="G1157" s="35">
        <v>0</v>
      </c>
      <c r="H1157" s="35">
        <v>0</v>
      </c>
      <c r="I1157" s="35">
        <v>0</v>
      </c>
      <c r="J1157" s="35">
        <v>0</v>
      </c>
      <c r="K1157" s="35">
        <v>0</v>
      </c>
      <c r="L1157" s="36">
        <v>330</v>
      </c>
      <c r="M1157" s="35">
        <v>1.369</v>
      </c>
      <c r="N1157" s="21">
        <v>8.0399999999999991</v>
      </c>
      <c r="O1157" s="12">
        <v>0</v>
      </c>
      <c r="P1157" s="35">
        <v>100</v>
      </c>
      <c r="Q1157" s="35">
        <v>60</v>
      </c>
      <c r="R1157" s="35">
        <v>60</v>
      </c>
      <c r="S1157" s="35">
        <v>120</v>
      </c>
      <c r="T1157" s="21">
        <v>2.7058262470210264</v>
      </c>
      <c r="U1157" s="21">
        <v>0.22964586096676001</v>
      </c>
      <c r="V1157" s="37">
        <v>0.96519032041630604</v>
      </c>
      <c r="W1157" s="37" t="s">
        <v>6</v>
      </c>
      <c r="X1157" s="35" t="s">
        <v>6</v>
      </c>
      <c r="Y1157" s="23" t="s">
        <v>6</v>
      </c>
      <c r="Z1157" s="21" t="s">
        <v>6</v>
      </c>
      <c r="AA1157" s="35" t="s">
        <v>6</v>
      </c>
      <c r="AB1157" s="37" t="s">
        <v>1</v>
      </c>
      <c r="AC1157" s="27" t="s">
        <v>212</v>
      </c>
    </row>
    <row r="1158" spans="1:29">
      <c r="A1158" s="35" t="s">
        <v>99</v>
      </c>
      <c r="B1158" s="38" t="s">
        <v>180</v>
      </c>
      <c r="C1158" s="35" t="s">
        <v>213</v>
      </c>
      <c r="D1158" s="35">
        <v>537</v>
      </c>
      <c r="E1158" s="12">
        <v>54.300000000000004</v>
      </c>
      <c r="F1158" s="37">
        <v>12.9</v>
      </c>
      <c r="G1158" s="35">
        <v>0</v>
      </c>
      <c r="H1158" s="35">
        <v>0</v>
      </c>
      <c r="I1158" s="35">
        <v>0</v>
      </c>
      <c r="J1158" s="35">
        <v>0</v>
      </c>
      <c r="K1158" s="35">
        <v>0</v>
      </c>
      <c r="L1158" s="36">
        <v>330</v>
      </c>
      <c r="M1158" s="35">
        <v>1.369</v>
      </c>
      <c r="N1158" s="21">
        <v>8.0399999999999991</v>
      </c>
      <c r="O1158" s="12">
        <v>0</v>
      </c>
      <c r="P1158" s="35">
        <v>100</v>
      </c>
      <c r="Q1158" s="35">
        <v>60</v>
      </c>
      <c r="R1158" s="35">
        <v>60</v>
      </c>
      <c r="S1158" s="35">
        <v>30</v>
      </c>
      <c r="T1158" s="21">
        <v>1.7460319575784535</v>
      </c>
      <c r="U1158" s="21">
        <v>0.135666588046127</v>
      </c>
      <c r="V1158" s="37">
        <v>6.73</v>
      </c>
      <c r="W1158" s="37" t="s">
        <v>6</v>
      </c>
      <c r="X1158" s="35" t="s">
        <v>6</v>
      </c>
      <c r="Y1158" s="23" t="s">
        <v>6</v>
      </c>
      <c r="Z1158" s="21" t="s">
        <v>6</v>
      </c>
      <c r="AA1158" s="35" t="s">
        <v>6</v>
      </c>
      <c r="AB1158" s="37" t="s">
        <v>1</v>
      </c>
      <c r="AC1158" s="27" t="s">
        <v>212</v>
      </c>
    </row>
    <row r="1159" spans="1:29">
      <c r="A1159" s="35" t="s">
        <v>99</v>
      </c>
      <c r="B1159" s="38" t="s">
        <v>180</v>
      </c>
      <c r="C1159" s="35" t="s">
        <v>213</v>
      </c>
      <c r="D1159" s="35">
        <v>537</v>
      </c>
      <c r="E1159" s="12">
        <v>54.300000000000004</v>
      </c>
      <c r="F1159" s="37">
        <v>12.9</v>
      </c>
      <c r="G1159" s="35">
        <v>0</v>
      </c>
      <c r="H1159" s="35">
        <v>0</v>
      </c>
      <c r="I1159" s="35">
        <v>0</v>
      </c>
      <c r="J1159" s="35">
        <v>0</v>
      </c>
      <c r="K1159" s="35">
        <v>0</v>
      </c>
      <c r="L1159" s="36">
        <v>330</v>
      </c>
      <c r="M1159" s="35">
        <v>1.369</v>
      </c>
      <c r="N1159" s="21">
        <v>8.0399999999999991</v>
      </c>
      <c r="O1159" s="12">
        <v>0</v>
      </c>
      <c r="P1159" s="35">
        <v>100</v>
      </c>
      <c r="Q1159" s="35">
        <v>60</v>
      </c>
      <c r="R1159" s="35">
        <v>60</v>
      </c>
      <c r="S1159" s="35">
        <v>45</v>
      </c>
      <c r="T1159" s="21">
        <v>1.7471129612563081</v>
      </c>
      <c r="U1159" s="21">
        <v>0.13561755588187199</v>
      </c>
      <c r="V1159" s="37">
        <v>1.61</v>
      </c>
      <c r="W1159" s="37" t="s">
        <v>6</v>
      </c>
      <c r="X1159" s="35" t="s">
        <v>6</v>
      </c>
      <c r="Y1159" s="23" t="s">
        <v>6</v>
      </c>
      <c r="Z1159" s="21" t="s">
        <v>6</v>
      </c>
      <c r="AA1159" s="35" t="s">
        <v>6</v>
      </c>
      <c r="AB1159" s="37" t="s">
        <v>1</v>
      </c>
      <c r="AC1159" s="27" t="s">
        <v>212</v>
      </c>
    </row>
    <row r="1160" spans="1:29">
      <c r="A1160" s="35" t="s">
        <v>99</v>
      </c>
      <c r="B1160" s="38" t="s">
        <v>180</v>
      </c>
      <c r="C1160" s="35" t="s">
        <v>213</v>
      </c>
      <c r="D1160" s="35">
        <v>537</v>
      </c>
      <c r="E1160" s="12">
        <v>54.300000000000004</v>
      </c>
      <c r="F1160" s="37">
        <v>12.9</v>
      </c>
      <c r="G1160" s="35">
        <v>0</v>
      </c>
      <c r="H1160" s="35">
        <v>0</v>
      </c>
      <c r="I1160" s="35">
        <v>0</v>
      </c>
      <c r="J1160" s="35">
        <v>0</v>
      </c>
      <c r="K1160" s="35">
        <v>0</v>
      </c>
      <c r="L1160" s="36">
        <v>330</v>
      </c>
      <c r="M1160" s="35">
        <v>1.369</v>
      </c>
      <c r="N1160" s="21">
        <v>8.0399999999999991</v>
      </c>
      <c r="O1160" s="12">
        <v>0</v>
      </c>
      <c r="P1160" s="35">
        <v>100</v>
      </c>
      <c r="Q1160" s="35">
        <v>60</v>
      </c>
      <c r="R1160" s="35">
        <v>60</v>
      </c>
      <c r="S1160" s="35">
        <v>60</v>
      </c>
      <c r="T1160" s="21">
        <v>2.0831459161717167</v>
      </c>
      <c r="U1160" s="21">
        <v>0.16199990362643499</v>
      </c>
      <c r="V1160" s="37">
        <v>0.98519105877669699</v>
      </c>
      <c r="W1160" s="37" t="s">
        <v>6</v>
      </c>
      <c r="X1160" s="35" t="s">
        <v>6</v>
      </c>
      <c r="Y1160" s="23" t="s">
        <v>6</v>
      </c>
      <c r="Z1160" s="21" t="s">
        <v>6</v>
      </c>
      <c r="AA1160" s="35" t="s">
        <v>6</v>
      </c>
      <c r="AB1160" s="37" t="s">
        <v>1</v>
      </c>
      <c r="AC1160" s="27" t="s">
        <v>212</v>
      </c>
    </row>
    <row r="1161" spans="1:29">
      <c r="A1161" s="35" t="s">
        <v>99</v>
      </c>
      <c r="B1161" s="38" t="s">
        <v>180</v>
      </c>
      <c r="C1161" s="35" t="s">
        <v>213</v>
      </c>
      <c r="D1161" s="35">
        <v>537</v>
      </c>
      <c r="E1161" s="12">
        <v>54.300000000000004</v>
      </c>
      <c r="F1161" s="37">
        <v>12.9</v>
      </c>
      <c r="G1161" s="35">
        <v>0</v>
      </c>
      <c r="H1161" s="35">
        <v>0</v>
      </c>
      <c r="I1161" s="35">
        <v>0</v>
      </c>
      <c r="J1161" s="35">
        <v>0</v>
      </c>
      <c r="K1161" s="35">
        <v>0</v>
      </c>
      <c r="L1161" s="36">
        <v>330</v>
      </c>
      <c r="M1161" s="35">
        <v>1.369</v>
      </c>
      <c r="N1161" s="21">
        <v>8.0399999999999991</v>
      </c>
      <c r="O1161" s="12">
        <v>0</v>
      </c>
      <c r="P1161" s="35">
        <v>100</v>
      </c>
      <c r="Q1161" s="35">
        <v>60</v>
      </c>
      <c r="R1161" s="35">
        <v>60</v>
      </c>
      <c r="S1161" s="35">
        <v>75</v>
      </c>
      <c r="T1161" s="21">
        <v>2.5319068231101043</v>
      </c>
      <c r="U1161" s="21">
        <v>0.19660579069859699</v>
      </c>
      <c r="V1161" s="37">
        <v>0.83962025804090501</v>
      </c>
      <c r="W1161" s="37" t="s">
        <v>6</v>
      </c>
      <c r="X1161" s="35" t="s">
        <v>6</v>
      </c>
      <c r="Y1161" s="23" t="s">
        <v>6</v>
      </c>
      <c r="Z1161" s="21" t="s">
        <v>6</v>
      </c>
      <c r="AA1161" s="35" t="s">
        <v>6</v>
      </c>
      <c r="AB1161" s="37" t="s">
        <v>1</v>
      </c>
      <c r="AC1161" s="27" t="s">
        <v>212</v>
      </c>
    </row>
    <row r="1162" spans="1:29">
      <c r="A1162" s="35" t="s">
        <v>99</v>
      </c>
      <c r="B1162" s="38" t="s">
        <v>180</v>
      </c>
      <c r="C1162" s="35" t="s">
        <v>213</v>
      </c>
      <c r="D1162" s="35">
        <v>537</v>
      </c>
      <c r="E1162" s="12">
        <v>54.300000000000004</v>
      </c>
      <c r="F1162" s="37">
        <v>12.9</v>
      </c>
      <c r="G1162" s="35">
        <v>0</v>
      </c>
      <c r="H1162" s="35">
        <v>0</v>
      </c>
      <c r="I1162" s="35">
        <v>0</v>
      </c>
      <c r="J1162" s="35">
        <v>0</v>
      </c>
      <c r="K1162" s="35">
        <v>0</v>
      </c>
      <c r="L1162" s="36">
        <v>330</v>
      </c>
      <c r="M1162" s="35">
        <v>1.369</v>
      </c>
      <c r="N1162" s="21">
        <v>8.0399999999999991</v>
      </c>
      <c r="O1162" s="12">
        <v>0</v>
      </c>
      <c r="P1162" s="35">
        <v>100</v>
      </c>
      <c r="Q1162" s="35">
        <v>60</v>
      </c>
      <c r="R1162" s="35">
        <v>60</v>
      </c>
      <c r="S1162" s="35">
        <v>90</v>
      </c>
      <c r="T1162" s="21">
        <v>3.1545945580942099</v>
      </c>
      <c r="U1162" s="21">
        <v>0.24530893222317601</v>
      </c>
      <c r="V1162" s="37">
        <v>0.928476313077646</v>
      </c>
      <c r="W1162" s="37">
        <v>2.5299999999999998</v>
      </c>
      <c r="X1162" s="36">
        <v>130</v>
      </c>
      <c r="Y1162" s="23" t="s">
        <v>6</v>
      </c>
      <c r="Z1162" s="21">
        <v>55.233662960044008</v>
      </c>
      <c r="AA1162" s="35">
        <v>10</v>
      </c>
      <c r="AB1162" s="37" t="s">
        <v>1</v>
      </c>
      <c r="AC1162" s="27" t="s">
        <v>212</v>
      </c>
    </row>
    <row r="1163" spans="1:29">
      <c r="A1163" s="35" t="s">
        <v>99</v>
      </c>
      <c r="B1163" s="38" t="s">
        <v>180</v>
      </c>
      <c r="C1163" s="35" t="s">
        <v>213</v>
      </c>
      <c r="D1163" s="35">
        <v>537</v>
      </c>
      <c r="E1163" s="12">
        <v>54.300000000000004</v>
      </c>
      <c r="F1163" s="37">
        <v>12.9</v>
      </c>
      <c r="G1163" s="35">
        <v>0</v>
      </c>
      <c r="H1163" s="35">
        <v>0</v>
      </c>
      <c r="I1163" s="35">
        <v>0</v>
      </c>
      <c r="J1163" s="35">
        <v>0</v>
      </c>
      <c r="K1163" s="35">
        <v>0</v>
      </c>
      <c r="L1163" s="36">
        <v>330</v>
      </c>
      <c r="M1163" s="35">
        <v>1.369</v>
      </c>
      <c r="N1163" s="21">
        <v>8.0399999999999991</v>
      </c>
      <c r="O1163" s="12">
        <v>0</v>
      </c>
      <c r="P1163" s="35">
        <v>100</v>
      </c>
      <c r="Q1163" s="35">
        <v>60</v>
      </c>
      <c r="R1163" s="35">
        <v>60</v>
      </c>
      <c r="S1163" s="35">
        <v>90</v>
      </c>
      <c r="T1163" s="21">
        <v>3.1545945580942099</v>
      </c>
      <c r="U1163" s="21">
        <v>0.24530893222317601</v>
      </c>
      <c r="V1163" s="37">
        <v>0.928476313077646</v>
      </c>
      <c r="W1163" s="37">
        <v>2.5299999999999998</v>
      </c>
      <c r="X1163" s="36">
        <v>150</v>
      </c>
      <c r="Y1163" s="23" t="s">
        <v>6</v>
      </c>
      <c r="Z1163" s="21">
        <v>67.600000000000009</v>
      </c>
      <c r="AA1163" s="35">
        <v>10</v>
      </c>
      <c r="AB1163" s="37" t="s">
        <v>1</v>
      </c>
      <c r="AC1163" s="27" t="s">
        <v>212</v>
      </c>
    </row>
    <row r="1164" spans="1:29">
      <c r="A1164" s="35" t="s">
        <v>99</v>
      </c>
      <c r="B1164" s="38" t="s">
        <v>180</v>
      </c>
      <c r="C1164" s="35" t="s">
        <v>213</v>
      </c>
      <c r="D1164" s="35">
        <v>537</v>
      </c>
      <c r="E1164" s="12">
        <v>54.300000000000004</v>
      </c>
      <c r="F1164" s="37">
        <v>12.9</v>
      </c>
      <c r="G1164" s="35">
        <v>0</v>
      </c>
      <c r="H1164" s="35">
        <v>0</v>
      </c>
      <c r="I1164" s="35">
        <v>0</v>
      </c>
      <c r="J1164" s="35">
        <v>0</v>
      </c>
      <c r="K1164" s="35">
        <v>0</v>
      </c>
      <c r="L1164" s="36">
        <v>330</v>
      </c>
      <c r="M1164" s="35">
        <v>1.369</v>
      </c>
      <c r="N1164" s="21">
        <v>8.0399999999999991</v>
      </c>
      <c r="O1164" s="12">
        <v>0</v>
      </c>
      <c r="P1164" s="35">
        <v>100</v>
      </c>
      <c r="Q1164" s="35">
        <v>60</v>
      </c>
      <c r="R1164" s="35">
        <v>60</v>
      </c>
      <c r="S1164" s="35">
        <v>105</v>
      </c>
      <c r="T1164" s="21">
        <v>3.5550434855941644</v>
      </c>
      <c r="U1164" s="21">
        <v>0.27580288055510999</v>
      </c>
      <c r="V1164" s="37">
        <v>1.05161941695211</v>
      </c>
      <c r="W1164" s="37" t="s">
        <v>6</v>
      </c>
      <c r="X1164" s="35" t="s">
        <v>6</v>
      </c>
      <c r="Y1164" s="23" t="s">
        <v>6</v>
      </c>
      <c r="Z1164" s="21" t="s">
        <v>6</v>
      </c>
      <c r="AA1164" s="35" t="s">
        <v>6</v>
      </c>
      <c r="AB1164" s="37" t="s">
        <v>1</v>
      </c>
      <c r="AC1164" s="27" t="s">
        <v>212</v>
      </c>
    </row>
    <row r="1165" spans="1:29">
      <c r="A1165" s="35" t="s">
        <v>99</v>
      </c>
      <c r="B1165" s="38" t="s">
        <v>180</v>
      </c>
      <c r="C1165" s="35" t="s">
        <v>213</v>
      </c>
      <c r="D1165" s="35">
        <v>537</v>
      </c>
      <c r="E1165" s="12">
        <v>54.300000000000004</v>
      </c>
      <c r="F1165" s="37">
        <v>12.9</v>
      </c>
      <c r="G1165" s="35">
        <v>0</v>
      </c>
      <c r="H1165" s="35">
        <v>0</v>
      </c>
      <c r="I1165" s="35">
        <v>0</v>
      </c>
      <c r="J1165" s="35">
        <v>0</v>
      </c>
      <c r="K1165" s="35">
        <v>0</v>
      </c>
      <c r="L1165" s="36">
        <v>330</v>
      </c>
      <c r="M1165" s="35">
        <v>1.369</v>
      </c>
      <c r="N1165" s="21">
        <v>8.0399999999999991</v>
      </c>
      <c r="O1165" s="12">
        <v>0</v>
      </c>
      <c r="P1165" s="35">
        <v>100</v>
      </c>
      <c r="Q1165" s="35">
        <v>60</v>
      </c>
      <c r="R1165" s="35">
        <v>60</v>
      </c>
      <c r="S1165" s="35">
        <v>120</v>
      </c>
      <c r="T1165" s="21">
        <v>2.9312821510669846</v>
      </c>
      <c r="U1165" s="21">
        <v>0.227883915505743</v>
      </c>
      <c r="V1165" s="37">
        <v>1.0761904456165401</v>
      </c>
      <c r="W1165" s="37" t="s">
        <v>6</v>
      </c>
      <c r="X1165" s="35" t="s">
        <v>6</v>
      </c>
      <c r="Y1165" s="23" t="s">
        <v>6</v>
      </c>
      <c r="Z1165" s="21" t="s">
        <v>6</v>
      </c>
      <c r="AA1165" s="35" t="s">
        <v>6</v>
      </c>
      <c r="AB1165" s="37" t="s">
        <v>1</v>
      </c>
      <c r="AC1165" s="27" t="s">
        <v>212</v>
      </c>
    </row>
    <row r="1166" spans="1:29">
      <c r="A1166" s="35" t="s">
        <v>99</v>
      </c>
      <c r="B1166" s="38" t="s">
        <v>180</v>
      </c>
      <c r="C1166" s="35" t="s">
        <v>214</v>
      </c>
      <c r="D1166" s="35">
        <v>1020</v>
      </c>
      <c r="E1166" s="12">
        <v>49.4</v>
      </c>
      <c r="F1166" s="37">
        <v>11.7</v>
      </c>
      <c r="G1166" s="35">
        <v>0</v>
      </c>
      <c r="H1166" s="35">
        <v>0</v>
      </c>
      <c r="I1166" s="35">
        <v>0</v>
      </c>
      <c r="J1166" s="35">
        <v>0</v>
      </c>
      <c r="K1166" s="35">
        <v>0</v>
      </c>
      <c r="L1166" s="36">
        <v>330</v>
      </c>
      <c r="M1166" s="35">
        <v>1.369</v>
      </c>
      <c r="N1166" s="21">
        <v>8.0399999999999991</v>
      </c>
      <c r="O1166" s="12">
        <v>0</v>
      </c>
      <c r="P1166" s="35">
        <v>100</v>
      </c>
      <c r="Q1166" s="35">
        <v>60</v>
      </c>
      <c r="R1166" s="35">
        <v>60</v>
      </c>
      <c r="S1166" s="35">
        <v>30</v>
      </c>
      <c r="T1166" s="21">
        <v>1.7947569457404837</v>
      </c>
      <c r="U1166" s="21">
        <v>0.15339802955046869</v>
      </c>
      <c r="V1166" s="37">
        <v>3.38</v>
      </c>
      <c r="W1166" s="37" t="s">
        <v>6</v>
      </c>
      <c r="X1166" s="35" t="s">
        <v>6</v>
      </c>
      <c r="Y1166" s="23" t="s">
        <v>6</v>
      </c>
      <c r="Z1166" s="21" t="s">
        <v>6</v>
      </c>
      <c r="AA1166" s="35" t="s">
        <v>6</v>
      </c>
      <c r="AB1166" s="37" t="s">
        <v>1</v>
      </c>
      <c r="AC1166" s="27" t="s">
        <v>212</v>
      </c>
    </row>
    <row r="1167" spans="1:29">
      <c r="A1167" s="35" t="s">
        <v>99</v>
      </c>
      <c r="B1167" s="38" t="s">
        <v>180</v>
      </c>
      <c r="C1167" s="35" t="s">
        <v>214</v>
      </c>
      <c r="D1167" s="35">
        <v>1020</v>
      </c>
      <c r="E1167" s="12">
        <v>49.4</v>
      </c>
      <c r="F1167" s="37">
        <v>11.7</v>
      </c>
      <c r="G1167" s="35">
        <v>0</v>
      </c>
      <c r="H1167" s="35">
        <v>0</v>
      </c>
      <c r="I1167" s="35">
        <v>0</v>
      </c>
      <c r="J1167" s="35">
        <v>0</v>
      </c>
      <c r="K1167" s="35">
        <v>0</v>
      </c>
      <c r="L1167" s="36">
        <v>330</v>
      </c>
      <c r="M1167" s="35">
        <v>1.369</v>
      </c>
      <c r="N1167" s="21">
        <v>8.0399999999999991</v>
      </c>
      <c r="O1167" s="12">
        <v>0</v>
      </c>
      <c r="P1167" s="35">
        <v>100</v>
      </c>
      <c r="Q1167" s="35">
        <v>60</v>
      </c>
      <c r="R1167" s="35">
        <v>60</v>
      </c>
      <c r="S1167" s="35">
        <v>45</v>
      </c>
      <c r="T1167" s="21">
        <v>1.8507458972540507</v>
      </c>
      <c r="U1167" s="21">
        <v>0.15818341002171374</v>
      </c>
      <c r="V1167" s="37">
        <v>0.86324786324786396</v>
      </c>
      <c r="W1167" s="37" t="s">
        <v>6</v>
      </c>
      <c r="X1167" s="35" t="s">
        <v>6</v>
      </c>
      <c r="Y1167" s="23" t="s">
        <v>6</v>
      </c>
      <c r="Z1167" s="21" t="s">
        <v>6</v>
      </c>
      <c r="AA1167" s="35" t="s">
        <v>6</v>
      </c>
      <c r="AB1167" s="37" t="s">
        <v>1</v>
      </c>
      <c r="AC1167" s="27" t="s">
        <v>212</v>
      </c>
    </row>
    <row r="1168" spans="1:29">
      <c r="A1168" s="35" t="s">
        <v>99</v>
      </c>
      <c r="B1168" s="38" t="s">
        <v>180</v>
      </c>
      <c r="C1168" s="35" t="s">
        <v>214</v>
      </c>
      <c r="D1168" s="35">
        <v>1020</v>
      </c>
      <c r="E1168" s="12">
        <v>49.4</v>
      </c>
      <c r="F1168" s="37">
        <v>11.7</v>
      </c>
      <c r="G1168" s="35">
        <v>0</v>
      </c>
      <c r="H1168" s="35">
        <v>0</v>
      </c>
      <c r="I1168" s="35">
        <v>0</v>
      </c>
      <c r="J1168" s="35">
        <v>0</v>
      </c>
      <c r="K1168" s="35">
        <v>0</v>
      </c>
      <c r="L1168" s="36">
        <v>330</v>
      </c>
      <c r="M1168" s="35">
        <v>1.369</v>
      </c>
      <c r="N1168" s="21">
        <v>8.0399999999999991</v>
      </c>
      <c r="O1168" s="12">
        <v>0</v>
      </c>
      <c r="P1168" s="35">
        <v>100</v>
      </c>
      <c r="Q1168" s="35">
        <v>60</v>
      </c>
      <c r="R1168" s="35">
        <v>60</v>
      </c>
      <c r="S1168" s="35">
        <v>60</v>
      </c>
      <c r="T1168" s="21">
        <v>2.1275801575155837</v>
      </c>
      <c r="U1168" s="21">
        <v>0.18184445790731485</v>
      </c>
      <c r="V1168" s="37">
        <v>0.78803418803419001</v>
      </c>
      <c r="W1168" s="37" t="s">
        <v>6</v>
      </c>
      <c r="X1168" s="35" t="s">
        <v>6</v>
      </c>
      <c r="Y1168" s="23" t="s">
        <v>6</v>
      </c>
      <c r="Z1168" s="21" t="s">
        <v>6</v>
      </c>
      <c r="AA1168" s="35" t="s">
        <v>6</v>
      </c>
      <c r="AB1168" s="37" t="s">
        <v>1</v>
      </c>
      <c r="AC1168" s="27" t="s">
        <v>212</v>
      </c>
    </row>
    <row r="1169" spans="1:29">
      <c r="A1169" s="35" t="s">
        <v>99</v>
      </c>
      <c r="B1169" s="38" t="s">
        <v>180</v>
      </c>
      <c r="C1169" s="35" t="s">
        <v>214</v>
      </c>
      <c r="D1169" s="35">
        <v>1020</v>
      </c>
      <c r="E1169" s="12">
        <v>49.4</v>
      </c>
      <c r="F1169" s="37">
        <v>11.7</v>
      </c>
      <c r="G1169" s="35">
        <v>0</v>
      </c>
      <c r="H1169" s="35">
        <v>0</v>
      </c>
      <c r="I1169" s="35">
        <v>0</v>
      </c>
      <c r="J1169" s="35">
        <v>0</v>
      </c>
      <c r="K1169" s="35">
        <v>0</v>
      </c>
      <c r="L1169" s="36">
        <v>330</v>
      </c>
      <c r="M1169" s="35">
        <v>1.369</v>
      </c>
      <c r="N1169" s="21">
        <v>8.0399999999999991</v>
      </c>
      <c r="O1169" s="12">
        <v>0</v>
      </c>
      <c r="P1169" s="35">
        <v>100</v>
      </c>
      <c r="Q1169" s="35">
        <v>60</v>
      </c>
      <c r="R1169" s="35">
        <v>60</v>
      </c>
      <c r="S1169" s="35">
        <v>75</v>
      </c>
      <c r="T1169" s="21">
        <v>2.7590111106963668</v>
      </c>
      <c r="U1169" s="21">
        <v>0.23581291544413394</v>
      </c>
      <c r="V1169" s="37">
        <v>0.808547008547011</v>
      </c>
      <c r="W1169" s="37" t="s">
        <v>6</v>
      </c>
      <c r="X1169" s="35" t="s">
        <v>6</v>
      </c>
      <c r="Y1169" s="23" t="s">
        <v>6</v>
      </c>
      <c r="Z1169" s="21" t="s">
        <v>6</v>
      </c>
      <c r="AA1169" s="35" t="s">
        <v>6</v>
      </c>
      <c r="AB1169" s="37" t="s">
        <v>1</v>
      </c>
      <c r="AC1169" s="27" t="s">
        <v>212</v>
      </c>
    </row>
    <row r="1170" spans="1:29">
      <c r="A1170" s="35" t="s">
        <v>99</v>
      </c>
      <c r="B1170" s="38" t="s">
        <v>180</v>
      </c>
      <c r="C1170" s="35" t="s">
        <v>214</v>
      </c>
      <c r="D1170" s="35">
        <v>1020</v>
      </c>
      <c r="E1170" s="12">
        <v>49.4</v>
      </c>
      <c r="F1170" s="37">
        <v>11.7</v>
      </c>
      <c r="G1170" s="35">
        <v>0</v>
      </c>
      <c r="H1170" s="35">
        <v>0</v>
      </c>
      <c r="I1170" s="35">
        <v>0</v>
      </c>
      <c r="J1170" s="35">
        <v>0</v>
      </c>
      <c r="K1170" s="35">
        <v>0</v>
      </c>
      <c r="L1170" s="36">
        <v>330</v>
      </c>
      <c r="M1170" s="35">
        <v>1.369</v>
      </c>
      <c r="N1170" s="21">
        <v>8.0399999999999991</v>
      </c>
      <c r="O1170" s="12">
        <v>0</v>
      </c>
      <c r="P1170" s="35">
        <v>100</v>
      </c>
      <c r="Q1170" s="35">
        <v>60</v>
      </c>
      <c r="R1170" s="35">
        <v>60</v>
      </c>
      <c r="S1170" s="35">
        <v>90</v>
      </c>
      <c r="T1170" s="21">
        <v>3.4526520100033382</v>
      </c>
      <c r="U1170" s="21">
        <v>0.29509846239344772</v>
      </c>
      <c r="V1170" s="37">
        <v>0.87863247863248195</v>
      </c>
      <c r="W1170" s="37">
        <v>2.34</v>
      </c>
      <c r="X1170" s="36">
        <v>130</v>
      </c>
      <c r="Y1170" s="23" t="s">
        <v>6</v>
      </c>
      <c r="Z1170" s="21">
        <v>52.115596336647677</v>
      </c>
      <c r="AA1170" s="35">
        <v>10</v>
      </c>
      <c r="AB1170" s="37" t="s">
        <v>1</v>
      </c>
      <c r="AC1170" s="27" t="s">
        <v>212</v>
      </c>
    </row>
    <row r="1171" spans="1:29">
      <c r="A1171" s="35" t="s">
        <v>99</v>
      </c>
      <c r="B1171" s="38" t="s">
        <v>180</v>
      </c>
      <c r="C1171" s="35" t="s">
        <v>214</v>
      </c>
      <c r="D1171" s="35">
        <v>1020</v>
      </c>
      <c r="E1171" s="12">
        <v>49.4</v>
      </c>
      <c r="F1171" s="37">
        <v>11.7</v>
      </c>
      <c r="G1171" s="35">
        <v>0</v>
      </c>
      <c r="H1171" s="35">
        <v>0</v>
      </c>
      <c r="I1171" s="35">
        <v>0</v>
      </c>
      <c r="J1171" s="35">
        <v>0</v>
      </c>
      <c r="K1171" s="35">
        <v>0</v>
      </c>
      <c r="L1171" s="36">
        <v>330</v>
      </c>
      <c r="M1171" s="35">
        <v>1.369</v>
      </c>
      <c r="N1171" s="21">
        <v>8.0399999999999991</v>
      </c>
      <c r="O1171" s="12">
        <v>0</v>
      </c>
      <c r="P1171" s="35">
        <v>100</v>
      </c>
      <c r="Q1171" s="35">
        <v>60</v>
      </c>
      <c r="R1171" s="35">
        <v>60</v>
      </c>
      <c r="S1171" s="35">
        <v>90</v>
      </c>
      <c r="T1171" s="21">
        <v>3.4526520100033382</v>
      </c>
      <c r="U1171" s="21">
        <v>0.29509846239344772</v>
      </c>
      <c r="V1171" s="37">
        <v>0.87863247863248195</v>
      </c>
      <c r="W1171" s="37">
        <v>2.34</v>
      </c>
      <c r="X1171" s="36">
        <v>150</v>
      </c>
      <c r="Y1171" s="23" t="s">
        <v>6</v>
      </c>
      <c r="Z1171" s="21">
        <v>66.7</v>
      </c>
      <c r="AA1171" s="35">
        <v>10</v>
      </c>
      <c r="AB1171" s="37" t="s">
        <v>1</v>
      </c>
      <c r="AC1171" s="27" t="s">
        <v>212</v>
      </c>
    </row>
    <row r="1172" spans="1:29">
      <c r="A1172" s="35" t="s">
        <v>99</v>
      </c>
      <c r="B1172" s="38" t="s">
        <v>180</v>
      </c>
      <c r="C1172" s="35" t="s">
        <v>214</v>
      </c>
      <c r="D1172" s="35">
        <v>1020</v>
      </c>
      <c r="E1172" s="12">
        <v>49.4</v>
      </c>
      <c r="F1172" s="37">
        <v>11.7</v>
      </c>
      <c r="G1172" s="35">
        <v>0</v>
      </c>
      <c r="H1172" s="35">
        <v>0</v>
      </c>
      <c r="I1172" s="35">
        <v>0</v>
      </c>
      <c r="J1172" s="35">
        <v>0</v>
      </c>
      <c r="K1172" s="35">
        <v>0</v>
      </c>
      <c r="L1172" s="36">
        <v>330</v>
      </c>
      <c r="M1172" s="35">
        <v>1.369</v>
      </c>
      <c r="N1172" s="21">
        <v>8.0399999999999991</v>
      </c>
      <c r="O1172" s="12">
        <v>0</v>
      </c>
      <c r="P1172" s="35">
        <v>100</v>
      </c>
      <c r="Q1172" s="35">
        <v>60</v>
      </c>
      <c r="R1172" s="35">
        <v>60</v>
      </c>
      <c r="S1172" s="35">
        <v>105</v>
      </c>
      <c r="T1172" s="21">
        <v>3.3126796312194369</v>
      </c>
      <c r="U1172" s="21">
        <v>0.28313501121533652</v>
      </c>
      <c r="V1172" s="37">
        <v>0.96452991452991899</v>
      </c>
      <c r="W1172" s="37" t="s">
        <v>6</v>
      </c>
      <c r="X1172" s="35" t="s">
        <v>6</v>
      </c>
      <c r="Y1172" s="23" t="s">
        <v>6</v>
      </c>
      <c r="Z1172" s="21" t="s">
        <v>6</v>
      </c>
      <c r="AA1172" s="35" t="s">
        <v>6</v>
      </c>
      <c r="AB1172" s="37" t="s">
        <v>1</v>
      </c>
      <c r="AC1172" s="27" t="s">
        <v>212</v>
      </c>
    </row>
    <row r="1173" spans="1:29">
      <c r="A1173" s="35" t="s">
        <v>99</v>
      </c>
      <c r="B1173" s="38" t="s">
        <v>180</v>
      </c>
      <c r="C1173" s="35" t="s">
        <v>214</v>
      </c>
      <c r="D1173" s="35">
        <v>1020</v>
      </c>
      <c r="E1173" s="12">
        <v>49.4</v>
      </c>
      <c r="F1173" s="37">
        <v>11.7</v>
      </c>
      <c r="G1173" s="35">
        <v>0</v>
      </c>
      <c r="H1173" s="35">
        <v>0</v>
      </c>
      <c r="I1173" s="35">
        <v>0</v>
      </c>
      <c r="J1173" s="35">
        <v>0</v>
      </c>
      <c r="K1173" s="35">
        <v>0</v>
      </c>
      <c r="L1173" s="36">
        <v>330</v>
      </c>
      <c r="M1173" s="35">
        <v>1.369</v>
      </c>
      <c r="N1173" s="21">
        <v>8.0399999999999991</v>
      </c>
      <c r="O1173" s="12">
        <v>0</v>
      </c>
      <c r="P1173" s="35">
        <v>100</v>
      </c>
      <c r="Q1173" s="35">
        <v>60</v>
      </c>
      <c r="R1173" s="35">
        <v>60</v>
      </c>
      <c r="S1173" s="35">
        <v>120</v>
      </c>
      <c r="T1173" s="21">
        <v>2.6034862453809038</v>
      </c>
      <c r="U1173" s="21">
        <v>0.22252019191289776</v>
      </c>
      <c r="V1173" s="37">
        <v>0.94700854700855297</v>
      </c>
      <c r="W1173" s="37" t="s">
        <v>6</v>
      </c>
      <c r="X1173" s="35" t="s">
        <v>6</v>
      </c>
      <c r="Y1173" s="23" t="s">
        <v>6</v>
      </c>
      <c r="Z1173" s="21" t="s">
        <v>6</v>
      </c>
      <c r="AA1173" s="35" t="s">
        <v>6</v>
      </c>
      <c r="AB1173" s="37" t="s">
        <v>1</v>
      </c>
      <c r="AC1173" s="27" t="s">
        <v>212</v>
      </c>
    </row>
    <row r="1174" spans="1:29">
      <c r="A1174" s="35" t="s">
        <v>99</v>
      </c>
      <c r="B1174" s="38" t="s">
        <v>180</v>
      </c>
      <c r="C1174" s="35" t="s">
        <v>269</v>
      </c>
      <c r="D1174" s="35">
        <v>6854</v>
      </c>
      <c r="E1174" s="12">
        <v>50.6</v>
      </c>
      <c r="F1174" s="37">
        <v>11.9</v>
      </c>
      <c r="G1174" s="35">
        <v>0</v>
      </c>
      <c r="H1174" s="35">
        <v>0</v>
      </c>
      <c r="I1174" s="35">
        <v>0</v>
      </c>
      <c r="J1174" s="35">
        <v>0</v>
      </c>
      <c r="K1174" s="35">
        <v>0</v>
      </c>
      <c r="L1174" s="36">
        <v>330</v>
      </c>
      <c r="M1174" s="35">
        <v>1.369</v>
      </c>
      <c r="N1174" s="21">
        <v>8.0399999999999991</v>
      </c>
      <c r="O1174" s="12">
        <v>0</v>
      </c>
      <c r="P1174" s="35">
        <v>100</v>
      </c>
      <c r="Q1174" s="35">
        <v>60</v>
      </c>
      <c r="R1174" s="35">
        <v>60</v>
      </c>
      <c r="S1174" s="35">
        <v>30</v>
      </c>
      <c r="T1174" s="21">
        <v>1.3717293120824137</v>
      </c>
      <c r="U1174" s="21">
        <v>0.11527137076322803</v>
      </c>
      <c r="V1174" s="37">
        <v>5.98</v>
      </c>
      <c r="W1174" s="37" t="s">
        <v>6</v>
      </c>
      <c r="X1174" s="35" t="s">
        <v>6</v>
      </c>
      <c r="Y1174" s="23" t="s">
        <v>6</v>
      </c>
      <c r="Z1174" s="21" t="s">
        <v>6</v>
      </c>
      <c r="AA1174" s="35" t="s">
        <v>6</v>
      </c>
      <c r="AB1174" s="37" t="s">
        <v>1</v>
      </c>
      <c r="AC1174" s="27" t="s">
        <v>212</v>
      </c>
    </row>
    <row r="1175" spans="1:29">
      <c r="A1175" s="35" t="s">
        <v>99</v>
      </c>
      <c r="B1175" s="38" t="s">
        <v>180</v>
      </c>
      <c r="C1175" s="35" t="s">
        <v>269</v>
      </c>
      <c r="D1175" s="35">
        <v>6854</v>
      </c>
      <c r="E1175" s="12">
        <v>50.6</v>
      </c>
      <c r="F1175" s="37">
        <v>11.9</v>
      </c>
      <c r="G1175" s="35">
        <v>0</v>
      </c>
      <c r="H1175" s="35">
        <v>0</v>
      </c>
      <c r="I1175" s="35">
        <v>0</v>
      </c>
      <c r="J1175" s="35">
        <v>0</v>
      </c>
      <c r="K1175" s="35">
        <v>0</v>
      </c>
      <c r="L1175" s="36">
        <v>330</v>
      </c>
      <c r="M1175" s="35">
        <v>1.369</v>
      </c>
      <c r="N1175" s="21">
        <v>8.0399999999999991</v>
      </c>
      <c r="O1175" s="12">
        <v>0</v>
      </c>
      <c r="P1175" s="35">
        <v>100</v>
      </c>
      <c r="Q1175" s="35">
        <v>60</v>
      </c>
      <c r="R1175" s="35">
        <v>60</v>
      </c>
      <c r="S1175" s="35">
        <v>45</v>
      </c>
      <c r="T1175" s="21">
        <v>1.4463812474338376</v>
      </c>
      <c r="U1175" s="21">
        <v>0.12154464264149895</v>
      </c>
      <c r="V1175" s="37">
        <v>2.23</v>
      </c>
      <c r="W1175" s="37" t="s">
        <v>6</v>
      </c>
      <c r="X1175" s="35" t="s">
        <v>6</v>
      </c>
      <c r="Y1175" s="23" t="s">
        <v>6</v>
      </c>
      <c r="Z1175" s="21" t="s">
        <v>6</v>
      </c>
      <c r="AA1175" s="35" t="s">
        <v>6</v>
      </c>
      <c r="AB1175" s="37" t="s">
        <v>1</v>
      </c>
      <c r="AC1175" s="27" t="s">
        <v>212</v>
      </c>
    </row>
    <row r="1176" spans="1:29">
      <c r="A1176" s="35" t="s">
        <v>99</v>
      </c>
      <c r="B1176" s="38" t="s">
        <v>180</v>
      </c>
      <c r="C1176" s="35" t="s">
        <v>269</v>
      </c>
      <c r="D1176" s="35">
        <v>6854</v>
      </c>
      <c r="E1176" s="12">
        <v>50.6</v>
      </c>
      <c r="F1176" s="37">
        <v>11.9</v>
      </c>
      <c r="G1176" s="35">
        <v>0</v>
      </c>
      <c r="H1176" s="35">
        <v>0</v>
      </c>
      <c r="I1176" s="35">
        <v>0</v>
      </c>
      <c r="J1176" s="35">
        <v>0</v>
      </c>
      <c r="K1176" s="35">
        <v>0</v>
      </c>
      <c r="L1176" s="36">
        <v>330</v>
      </c>
      <c r="M1176" s="35">
        <v>1.369</v>
      </c>
      <c r="N1176" s="21">
        <v>8.0399999999999991</v>
      </c>
      <c r="O1176" s="12">
        <v>0</v>
      </c>
      <c r="P1176" s="35">
        <v>100</v>
      </c>
      <c r="Q1176" s="35">
        <v>60</v>
      </c>
      <c r="R1176" s="35">
        <v>60</v>
      </c>
      <c r="S1176" s="35">
        <v>60</v>
      </c>
      <c r="T1176" s="21">
        <v>1.9285083299117847</v>
      </c>
      <c r="U1176" s="21">
        <v>0.16205952352199871</v>
      </c>
      <c r="V1176" s="37">
        <v>0.85726495726495899</v>
      </c>
      <c r="W1176" s="37" t="s">
        <v>6</v>
      </c>
      <c r="X1176" s="35" t="s">
        <v>6</v>
      </c>
      <c r="Y1176" s="23" t="s">
        <v>6</v>
      </c>
      <c r="Z1176" s="21" t="s">
        <v>6</v>
      </c>
      <c r="AA1176" s="35" t="s">
        <v>6</v>
      </c>
      <c r="AB1176" s="37" t="s">
        <v>1</v>
      </c>
      <c r="AC1176" s="27" t="s">
        <v>212</v>
      </c>
    </row>
    <row r="1177" spans="1:29">
      <c r="A1177" s="35" t="s">
        <v>99</v>
      </c>
      <c r="B1177" s="38" t="s">
        <v>180</v>
      </c>
      <c r="C1177" s="35" t="s">
        <v>269</v>
      </c>
      <c r="D1177" s="35">
        <v>6854</v>
      </c>
      <c r="E1177" s="12">
        <v>50.6</v>
      </c>
      <c r="F1177" s="37">
        <v>11.9</v>
      </c>
      <c r="G1177" s="35">
        <v>0</v>
      </c>
      <c r="H1177" s="35">
        <v>0</v>
      </c>
      <c r="I1177" s="35">
        <v>0</v>
      </c>
      <c r="J1177" s="35">
        <v>0</v>
      </c>
      <c r="K1177" s="35">
        <v>0</v>
      </c>
      <c r="L1177" s="36">
        <v>330</v>
      </c>
      <c r="M1177" s="35">
        <v>1.369</v>
      </c>
      <c r="N1177" s="21">
        <v>8.0399999999999991</v>
      </c>
      <c r="O1177" s="12">
        <v>0</v>
      </c>
      <c r="P1177" s="35">
        <v>100</v>
      </c>
      <c r="Q1177" s="35">
        <v>60</v>
      </c>
      <c r="R1177" s="35">
        <v>60</v>
      </c>
      <c r="S1177" s="35">
        <v>75</v>
      </c>
      <c r="T1177" s="21">
        <v>2.6750276834260216</v>
      </c>
      <c r="U1177" s="21">
        <v>0.22479224230470768</v>
      </c>
      <c r="V1177" s="37">
        <v>0.85213675213675499</v>
      </c>
      <c r="W1177" s="37" t="s">
        <v>6</v>
      </c>
      <c r="X1177" s="35" t="s">
        <v>6</v>
      </c>
      <c r="Y1177" s="23" t="s">
        <v>6</v>
      </c>
      <c r="Z1177" s="21" t="s">
        <v>6</v>
      </c>
      <c r="AA1177" s="35" t="s">
        <v>6</v>
      </c>
      <c r="AB1177" s="37" t="s">
        <v>1</v>
      </c>
      <c r="AC1177" s="27" t="s">
        <v>212</v>
      </c>
    </row>
    <row r="1178" spans="1:29">
      <c r="A1178" s="35" t="s">
        <v>99</v>
      </c>
      <c r="B1178" s="38" t="s">
        <v>180</v>
      </c>
      <c r="C1178" s="35" t="s">
        <v>269</v>
      </c>
      <c r="D1178" s="35">
        <v>6854</v>
      </c>
      <c r="E1178" s="12">
        <v>50.6</v>
      </c>
      <c r="F1178" s="37">
        <v>11.9</v>
      </c>
      <c r="G1178" s="35">
        <v>0</v>
      </c>
      <c r="H1178" s="35">
        <v>0</v>
      </c>
      <c r="I1178" s="35">
        <v>0</v>
      </c>
      <c r="J1178" s="35">
        <v>0</v>
      </c>
      <c r="K1178" s="35">
        <v>0</v>
      </c>
      <c r="L1178" s="36">
        <v>330</v>
      </c>
      <c r="M1178" s="35">
        <v>1.369</v>
      </c>
      <c r="N1178" s="21">
        <v>8.0399999999999991</v>
      </c>
      <c r="O1178" s="12">
        <v>0</v>
      </c>
      <c r="P1178" s="35">
        <v>100</v>
      </c>
      <c r="Q1178" s="35">
        <v>60</v>
      </c>
      <c r="R1178" s="35">
        <v>60</v>
      </c>
      <c r="S1178" s="35">
        <v>90</v>
      </c>
      <c r="T1178" s="21">
        <v>3.3033481393004993</v>
      </c>
      <c r="U1178" s="21">
        <v>0.27759228061348734</v>
      </c>
      <c r="V1178" s="37">
        <v>0.92564102564102901</v>
      </c>
      <c r="W1178" s="37">
        <v>2.4</v>
      </c>
      <c r="X1178" s="36">
        <v>130</v>
      </c>
      <c r="Y1178" s="23" t="s">
        <v>6</v>
      </c>
      <c r="Z1178" s="21">
        <v>50.6</v>
      </c>
      <c r="AA1178" s="35">
        <v>10</v>
      </c>
      <c r="AB1178" s="37" t="s">
        <v>1</v>
      </c>
      <c r="AC1178" s="27" t="s">
        <v>212</v>
      </c>
    </row>
    <row r="1179" spans="1:29">
      <c r="A1179" s="35" t="s">
        <v>99</v>
      </c>
      <c r="B1179" s="38" t="s">
        <v>180</v>
      </c>
      <c r="C1179" s="35" t="s">
        <v>269</v>
      </c>
      <c r="D1179" s="35">
        <v>6854</v>
      </c>
      <c r="E1179" s="12">
        <v>50.6</v>
      </c>
      <c r="F1179" s="37">
        <v>11.9</v>
      </c>
      <c r="G1179" s="35">
        <v>0</v>
      </c>
      <c r="H1179" s="35">
        <v>0</v>
      </c>
      <c r="I1179" s="35">
        <v>0</v>
      </c>
      <c r="J1179" s="35">
        <v>0</v>
      </c>
      <c r="K1179" s="35">
        <v>0</v>
      </c>
      <c r="L1179" s="36">
        <v>330</v>
      </c>
      <c r="M1179" s="35">
        <v>1.369</v>
      </c>
      <c r="N1179" s="21">
        <v>8.0399999999999991</v>
      </c>
      <c r="O1179" s="12">
        <v>0</v>
      </c>
      <c r="P1179" s="35">
        <v>100</v>
      </c>
      <c r="Q1179" s="35">
        <v>60</v>
      </c>
      <c r="R1179" s="35">
        <v>60</v>
      </c>
      <c r="S1179" s="35">
        <v>90</v>
      </c>
      <c r="T1179" s="21">
        <v>3.3033481393004993</v>
      </c>
      <c r="U1179" s="21">
        <v>0.27759228061348734</v>
      </c>
      <c r="V1179" s="37">
        <v>0.92564102564102901</v>
      </c>
      <c r="W1179" s="37">
        <v>2.4</v>
      </c>
      <c r="X1179" s="36">
        <v>150</v>
      </c>
      <c r="Y1179" s="23" t="s">
        <v>6</v>
      </c>
      <c r="Z1179" s="21">
        <v>47.5</v>
      </c>
      <c r="AA1179" s="35">
        <v>10</v>
      </c>
      <c r="AB1179" s="37" t="s">
        <v>1</v>
      </c>
      <c r="AC1179" s="27" t="s">
        <v>212</v>
      </c>
    </row>
    <row r="1180" spans="1:29">
      <c r="A1180" s="35" t="s">
        <v>99</v>
      </c>
      <c r="B1180" s="38" t="s">
        <v>180</v>
      </c>
      <c r="C1180" s="35" t="s">
        <v>269</v>
      </c>
      <c r="D1180" s="35">
        <v>6854</v>
      </c>
      <c r="E1180" s="12">
        <v>50.6</v>
      </c>
      <c r="F1180" s="37">
        <v>11.9</v>
      </c>
      <c r="G1180" s="35">
        <v>0</v>
      </c>
      <c r="H1180" s="35">
        <v>0</v>
      </c>
      <c r="I1180" s="35">
        <v>0</v>
      </c>
      <c r="J1180" s="35">
        <v>0</v>
      </c>
      <c r="K1180" s="35">
        <v>0</v>
      </c>
      <c r="L1180" s="36">
        <v>330</v>
      </c>
      <c r="M1180" s="35">
        <v>1.369</v>
      </c>
      <c r="N1180" s="21">
        <v>8.0399999999999991</v>
      </c>
      <c r="O1180" s="12">
        <v>0</v>
      </c>
      <c r="P1180" s="35">
        <v>100</v>
      </c>
      <c r="Q1180" s="35">
        <v>60</v>
      </c>
      <c r="R1180" s="35">
        <v>60</v>
      </c>
      <c r="S1180" s="35">
        <v>105</v>
      </c>
      <c r="T1180" s="21">
        <v>3.0265138790389643</v>
      </c>
      <c r="U1180" s="21">
        <v>0.25432889739823228</v>
      </c>
      <c r="V1180" s="37">
        <v>1.0021367521367499</v>
      </c>
      <c r="W1180" s="37" t="s">
        <v>6</v>
      </c>
      <c r="X1180" s="35" t="s">
        <v>6</v>
      </c>
      <c r="Y1180" s="23" t="s">
        <v>6</v>
      </c>
      <c r="Z1180" s="21" t="s">
        <v>6</v>
      </c>
      <c r="AA1180" s="35" t="s">
        <v>6</v>
      </c>
      <c r="AB1180" s="37" t="s">
        <v>1</v>
      </c>
      <c r="AC1180" s="27" t="s">
        <v>212</v>
      </c>
    </row>
    <row r="1181" spans="1:29">
      <c r="A1181" s="35" t="s">
        <v>99</v>
      </c>
      <c r="B1181" s="38" t="s">
        <v>180</v>
      </c>
      <c r="C1181" s="35" t="s">
        <v>270</v>
      </c>
      <c r="D1181" s="35">
        <v>6854</v>
      </c>
      <c r="E1181" s="12">
        <v>50.6</v>
      </c>
      <c r="F1181" s="37">
        <v>11.9</v>
      </c>
      <c r="G1181" s="35">
        <v>0</v>
      </c>
      <c r="H1181" s="35">
        <v>0</v>
      </c>
      <c r="I1181" s="35">
        <v>0</v>
      </c>
      <c r="J1181" s="35">
        <v>0</v>
      </c>
      <c r="K1181" s="35">
        <v>0</v>
      </c>
      <c r="L1181" s="36">
        <v>330</v>
      </c>
      <c r="M1181" s="35">
        <v>1.369</v>
      </c>
      <c r="N1181" s="21">
        <v>8.0399999999999991</v>
      </c>
      <c r="O1181" s="12">
        <v>0</v>
      </c>
      <c r="P1181" s="35">
        <v>100</v>
      </c>
      <c r="Q1181" s="35">
        <v>60</v>
      </c>
      <c r="R1181" s="35">
        <v>60</v>
      </c>
      <c r="S1181" s="35">
        <v>120</v>
      </c>
      <c r="T1181" s="21">
        <v>2.1897901036417688</v>
      </c>
      <c r="U1181" s="21">
        <v>0.18401597509594694</v>
      </c>
      <c r="V1181" s="37">
        <v>0.96837606837607404</v>
      </c>
      <c r="W1181" s="37" t="s">
        <v>6</v>
      </c>
      <c r="X1181" s="35" t="s">
        <v>6</v>
      </c>
      <c r="Y1181" s="23" t="s">
        <v>6</v>
      </c>
      <c r="Z1181" s="21" t="s">
        <v>6</v>
      </c>
      <c r="AA1181" s="35" t="s">
        <v>6</v>
      </c>
      <c r="AB1181" s="37" t="s">
        <v>1</v>
      </c>
      <c r="AC1181" s="27" t="s">
        <v>212</v>
      </c>
    </row>
    <row r="1182" spans="1:29">
      <c r="A1182" s="35" t="s">
        <v>99</v>
      </c>
      <c r="B1182" s="38" t="s">
        <v>180</v>
      </c>
      <c r="C1182" s="35" t="s">
        <v>215</v>
      </c>
      <c r="D1182" s="35">
        <v>10000</v>
      </c>
      <c r="E1182" s="12">
        <v>50.4</v>
      </c>
      <c r="F1182" s="37">
        <v>11.8</v>
      </c>
      <c r="G1182" s="35">
        <v>0</v>
      </c>
      <c r="H1182" s="35">
        <v>0</v>
      </c>
      <c r="I1182" s="35">
        <v>0</v>
      </c>
      <c r="J1182" s="35">
        <v>0</v>
      </c>
      <c r="K1182" s="35">
        <v>0</v>
      </c>
      <c r="L1182" s="36">
        <v>330</v>
      </c>
      <c r="M1182" s="35">
        <v>1.369</v>
      </c>
      <c r="N1182" s="21">
        <v>8.0399999999999991</v>
      </c>
      <c r="O1182" s="12">
        <v>0</v>
      </c>
      <c r="P1182" s="35">
        <v>100</v>
      </c>
      <c r="Q1182" s="35">
        <v>60</v>
      </c>
      <c r="R1182" s="35">
        <v>60</v>
      </c>
      <c r="S1182" s="35">
        <v>30</v>
      </c>
      <c r="T1182" s="21">
        <v>1.2846353875057539</v>
      </c>
      <c r="U1182" s="21">
        <v>0.10886740572082659</v>
      </c>
      <c r="V1182" s="37">
        <v>6.75</v>
      </c>
      <c r="W1182" s="37" t="s">
        <v>6</v>
      </c>
      <c r="X1182" s="35" t="s">
        <v>6</v>
      </c>
      <c r="Y1182" s="23" t="s">
        <v>6</v>
      </c>
      <c r="Z1182" s="21" t="s">
        <v>6</v>
      </c>
      <c r="AA1182" s="35" t="s">
        <v>6</v>
      </c>
      <c r="AB1182" s="37" t="s">
        <v>1</v>
      </c>
      <c r="AC1182" s="27" t="s">
        <v>212</v>
      </c>
    </row>
    <row r="1183" spans="1:29">
      <c r="A1183" s="35" t="s">
        <v>99</v>
      </c>
      <c r="B1183" s="38" t="s">
        <v>180</v>
      </c>
      <c r="C1183" s="35" t="s">
        <v>215</v>
      </c>
      <c r="D1183" s="35">
        <v>10000</v>
      </c>
      <c r="E1183" s="12">
        <v>50.4</v>
      </c>
      <c r="F1183" s="37">
        <v>11.8</v>
      </c>
      <c r="G1183" s="35">
        <v>0</v>
      </c>
      <c r="H1183" s="35">
        <v>0</v>
      </c>
      <c r="I1183" s="35">
        <v>0</v>
      </c>
      <c r="J1183" s="35">
        <v>0</v>
      </c>
      <c r="K1183" s="35">
        <v>0</v>
      </c>
      <c r="L1183" s="36">
        <v>330</v>
      </c>
      <c r="M1183" s="35">
        <v>1.369</v>
      </c>
      <c r="N1183" s="21">
        <v>8.0399999999999991</v>
      </c>
      <c r="O1183" s="12">
        <v>0</v>
      </c>
      <c r="P1183" s="35">
        <v>100</v>
      </c>
      <c r="Q1183" s="35">
        <v>60</v>
      </c>
      <c r="R1183" s="35">
        <v>60</v>
      </c>
      <c r="S1183" s="35">
        <v>45</v>
      </c>
      <c r="T1183" s="21">
        <v>1.3157403605688465</v>
      </c>
      <c r="U1183" s="21">
        <v>0.11150342038719037</v>
      </c>
      <c r="V1183" s="37">
        <v>3.01</v>
      </c>
      <c r="W1183" s="37" t="s">
        <v>6</v>
      </c>
      <c r="X1183" s="35" t="s">
        <v>6</v>
      </c>
      <c r="Y1183" s="23" t="s">
        <v>6</v>
      </c>
      <c r="Z1183" s="21" t="s">
        <v>6</v>
      </c>
      <c r="AA1183" s="35" t="s">
        <v>6</v>
      </c>
      <c r="AB1183" s="37" t="s">
        <v>1</v>
      </c>
      <c r="AC1183" s="27" t="s">
        <v>212</v>
      </c>
    </row>
    <row r="1184" spans="1:29">
      <c r="A1184" s="35" t="s">
        <v>99</v>
      </c>
      <c r="B1184" s="38" t="s">
        <v>180</v>
      </c>
      <c r="C1184" s="35" t="s">
        <v>215</v>
      </c>
      <c r="D1184" s="35">
        <v>10000</v>
      </c>
      <c r="E1184" s="12">
        <v>50.4</v>
      </c>
      <c r="F1184" s="37">
        <v>11.8</v>
      </c>
      <c r="G1184" s="35">
        <v>0</v>
      </c>
      <c r="H1184" s="35">
        <v>0</v>
      </c>
      <c r="I1184" s="35">
        <v>0</v>
      </c>
      <c r="J1184" s="35">
        <v>0</v>
      </c>
      <c r="K1184" s="35">
        <v>0</v>
      </c>
      <c r="L1184" s="36">
        <v>330</v>
      </c>
      <c r="M1184" s="35">
        <v>1.369</v>
      </c>
      <c r="N1184" s="21">
        <v>8.0399999999999991</v>
      </c>
      <c r="O1184" s="12">
        <v>0</v>
      </c>
      <c r="P1184" s="35">
        <v>100</v>
      </c>
      <c r="Q1184" s="35">
        <v>60</v>
      </c>
      <c r="R1184" s="35">
        <v>60</v>
      </c>
      <c r="S1184" s="35">
        <v>60</v>
      </c>
      <c r="T1184" s="21">
        <v>1.7729834645963194</v>
      </c>
      <c r="U1184" s="21">
        <v>0.15025283598273892</v>
      </c>
      <c r="V1184" s="37">
        <v>1.1000000000000001</v>
      </c>
      <c r="W1184" s="37" t="s">
        <v>6</v>
      </c>
      <c r="X1184" s="35" t="s">
        <v>6</v>
      </c>
      <c r="Y1184" s="23" t="s">
        <v>6</v>
      </c>
      <c r="Z1184" s="21" t="s">
        <v>6</v>
      </c>
      <c r="AA1184" s="35" t="s">
        <v>6</v>
      </c>
      <c r="AB1184" s="37" t="s">
        <v>1</v>
      </c>
      <c r="AC1184" s="27" t="s">
        <v>212</v>
      </c>
    </row>
    <row r="1185" spans="1:29">
      <c r="A1185" s="35" t="s">
        <v>99</v>
      </c>
      <c r="B1185" s="38" t="s">
        <v>180</v>
      </c>
      <c r="C1185" s="35" t="s">
        <v>215</v>
      </c>
      <c r="D1185" s="35">
        <v>10000</v>
      </c>
      <c r="E1185" s="12">
        <v>50.4</v>
      </c>
      <c r="F1185" s="37">
        <v>11.8</v>
      </c>
      <c r="G1185" s="35">
        <v>0</v>
      </c>
      <c r="H1185" s="35">
        <v>0</v>
      </c>
      <c r="I1185" s="35">
        <v>0</v>
      </c>
      <c r="J1185" s="35">
        <v>0</v>
      </c>
      <c r="K1185" s="35">
        <v>0</v>
      </c>
      <c r="L1185" s="36">
        <v>330</v>
      </c>
      <c r="M1185" s="35">
        <v>1.369</v>
      </c>
      <c r="N1185" s="21">
        <v>8.0399999999999991</v>
      </c>
      <c r="O1185" s="12">
        <v>0</v>
      </c>
      <c r="P1185" s="35">
        <v>100</v>
      </c>
      <c r="Q1185" s="35">
        <v>60</v>
      </c>
      <c r="R1185" s="35">
        <v>60</v>
      </c>
      <c r="S1185" s="35">
        <v>75</v>
      </c>
      <c r="T1185" s="21">
        <v>2.5599392830925751</v>
      </c>
      <c r="U1185" s="21">
        <v>0.21694400704174363</v>
      </c>
      <c r="V1185" s="37">
        <v>0.85897435897436203</v>
      </c>
      <c r="W1185" s="37" t="s">
        <v>6</v>
      </c>
      <c r="X1185" s="35" t="s">
        <v>6</v>
      </c>
      <c r="Y1185" s="23" t="s">
        <v>6</v>
      </c>
      <c r="Z1185" s="21" t="s">
        <v>6</v>
      </c>
      <c r="AA1185" s="35" t="s">
        <v>6</v>
      </c>
      <c r="AB1185" s="37" t="s">
        <v>1</v>
      </c>
      <c r="AC1185" s="27" t="s">
        <v>212</v>
      </c>
    </row>
    <row r="1186" spans="1:29">
      <c r="A1186" s="35" t="s">
        <v>99</v>
      </c>
      <c r="B1186" s="38" t="s">
        <v>180</v>
      </c>
      <c r="C1186" s="35" t="s">
        <v>215</v>
      </c>
      <c r="D1186" s="35">
        <v>10000</v>
      </c>
      <c r="E1186" s="12">
        <v>50.4</v>
      </c>
      <c r="F1186" s="37">
        <v>11.8</v>
      </c>
      <c r="G1186" s="35">
        <v>0</v>
      </c>
      <c r="H1186" s="35">
        <v>0</v>
      </c>
      <c r="I1186" s="35">
        <v>0</v>
      </c>
      <c r="J1186" s="35">
        <v>0</v>
      </c>
      <c r="K1186" s="35">
        <v>0</v>
      </c>
      <c r="L1186" s="36">
        <v>330</v>
      </c>
      <c r="M1186" s="35">
        <v>1.369</v>
      </c>
      <c r="N1186" s="21">
        <v>8.0399999999999991</v>
      </c>
      <c r="O1186" s="12">
        <v>0</v>
      </c>
      <c r="P1186" s="35">
        <v>100</v>
      </c>
      <c r="Q1186" s="35">
        <v>60</v>
      </c>
      <c r="R1186" s="35">
        <v>60</v>
      </c>
      <c r="S1186" s="35">
        <v>90</v>
      </c>
      <c r="T1186" s="21">
        <v>3.216254214723842</v>
      </c>
      <c r="U1186" s="21">
        <v>0.2725639165020205</v>
      </c>
      <c r="V1186" s="37">
        <v>0.91794871794872201</v>
      </c>
      <c r="W1186" s="37">
        <v>2.62</v>
      </c>
      <c r="X1186" s="36">
        <v>130</v>
      </c>
      <c r="Y1186" s="23" t="s">
        <v>6</v>
      </c>
      <c r="Z1186" s="21">
        <v>46.6</v>
      </c>
      <c r="AA1186" s="35">
        <v>10</v>
      </c>
      <c r="AB1186" s="37" t="s">
        <v>1</v>
      </c>
      <c r="AC1186" s="27" t="s">
        <v>212</v>
      </c>
    </row>
    <row r="1187" spans="1:29">
      <c r="A1187" s="35" t="s">
        <v>99</v>
      </c>
      <c r="B1187" s="38" t="s">
        <v>180</v>
      </c>
      <c r="C1187" s="35" t="s">
        <v>215</v>
      </c>
      <c r="D1187" s="35">
        <v>10000</v>
      </c>
      <c r="E1187" s="12">
        <v>50.4</v>
      </c>
      <c r="F1187" s="37">
        <v>11.8</v>
      </c>
      <c r="G1187" s="35">
        <v>0</v>
      </c>
      <c r="H1187" s="35">
        <v>0</v>
      </c>
      <c r="I1187" s="35">
        <v>0</v>
      </c>
      <c r="J1187" s="35">
        <v>0</v>
      </c>
      <c r="K1187" s="35">
        <v>0</v>
      </c>
      <c r="L1187" s="36">
        <v>330</v>
      </c>
      <c r="M1187" s="35">
        <v>1.369</v>
      </c>
      <c r="N1187" s="21">
        <v>8.0399999999999991</v>
      </c>
      <c r="O1187" s="12">
        <v>0</v>
      </c>
      <c r="P1187" s="35">
        <v>100</v>
      </c>
      <c r="Q1187" s="35">
        <v>60</v>
      </c>
      <c r="R1187" s="35">
        <v>60</v>
      </c>
      <c r="S1187" s="35">
        <v>90</v>
      </c>
      <c r="T1187" s="21">
        <v>3.216254214723842</v>
      </c>
      <c r="U1187" s="21">
        <v>0.2725639165020205</v>
      </c>
      <c r="V1187" s="37">
        <v>0.91794871794872201</v>
      </c>
      <c r="W1187" s="37">
        <v>2.62</v>
      </c>
      <c r="X1187" s="36">
        <v>150</v>
      </c>
      <c r="Y1187" s="23" t="s">
        <v>6</v>
      </c>
      <c r="Z1187" s="21">
        <v>44</v>
      </c>
      <c r="AA1187" s="35">
        <v>10</v>
      </c>
      <c r="AB1187" s="37" t="s">
        <v>1</v>
      </c>
      <c r="AC1187" s="27" t="s">
        <v>212</v>
      </c>
    </row>
    <row r="1188" spans="1:29" ht="14.55" customHeight="1">
      <c r="A1188" s="35" t="s">
        <v>99</v>
      </c>
      <c r="B1188" s="38" t="s">
        <v>180</v>
      </c>
      <c r="C1188" s="35" t="s">
        <v>215</v>
      </c>
      <c r="D1188" s="35">
        <v>10000</v>
      </c>
      <c r="E1188" s="12">
        <v>50.4</v>
      </c>
      <c r="F1188" s="37">
        <v>11.8</v>
      </c>
      <c r="G1188" s="35">
        <v>0</v>
      </c>
      <c r="H1188" s="35">
        <v>0</v>
      </c>
      <c r="I1188" s="35">
        <v>0</v>
      </c>
      <c r="J1188" s="35">
        <v>0</v>
      </c>
      <c r="K1188" s="35">
        <v>0</v>
      </c>
      <c r="L1188" s="36">
        <v>330</v>
      </c>
      <c r="M1188" s="35">
        <v>1.369</v>
      </c>
      <c r="N1188" s="21">
        <v>8.0399999999999991</v>
      </c>
      <c r="O1188" s="12">
        <v>0</v>
      </c>
      <c r="P1188" s="35">
        <v>100</v>
      </c>
      <c r="Q1188" s="35">
        <v>60</v>
      </c>
      <c r="R1188" s="35">
        <v>60</v>
      </c>
      <c r="S1188" s="35">
        <v>105</v>
      </c>
      <c r="T1188" s="21">
        <v>3.1104973063093326</v>
      </c>
      <c r="U1188" s="21">
        <v>0.26360146663638412</v>
      </c>
      <c r="V1188" s="37">
        <v>0.97136752136752602</v>
      </c>
      <c r="W1188" s="37" t="s">
        <v>6</v>
      </c>
      <c r="X1188" s="35" t="s">
        <v>6</v>
      </c>
      <c r="Y1188" s="23" t="s">
        <v>6</v>
      </c>
      <c r="Z1188" s="21" t="s">
        <v>6</v>
      </c>
      <c r="AA1188" s="35" t="s">
        <v>6</v>
      </c>
      <c r="AB1188" s="37" t="s">
        <v>1</v>
      </c>
      <c r="AC1188" s="27" t="s">
        <v>212</v>
      </c>
    </row>
    <row r="1189" spans="1:29">
      <c r="A1189" s="35" t="s">
        <v>99</v>
      </c>
      <c r="B1189" s="38" t="s">
        <v>180</v>
      </c>
      <c r="C1189" s="35" t="s">
        <v>215</v>
      </c>
      <c r="D1189" s="35">
        <v>10000</v>
      </c>
      <c r="E1189" s="12">
        <v>50.4</v>
      </c>
      <c r="F1189" s="37">
        <v>11.8</v>
      </c>
      <c r="G1189" s="35">
        <v>0</v>
      </c>
      <c r="H1189" s="35">
        <v>0</v>
      </c>
      <c r="I1189" s="35">
        <v>0</v>
      </c>
      <c r="J1189" s="35">
        <v>0</v>
      </c>
      <c r="K1189" s="35">
        <v>0</v>
      </c>
      <c r="L1189" s="36">
        <v>330</v>
      </c>
      <c r="M1189" s="35">
        <v>1.369</v>
      </c>
      <c r="N1189" s="21">
        <v>8.0399999999999991</v>
      </c>
      <c r="O1189" s="12">
        <v>0</v>
      </c>
      <c r="P1189" s="35">
        <v>100</v>
      </c>
      <c r="Q1189" s="35">
        <v>60</v>
      </c>
      <c r="R1189" s="35">
        <v>60</v>
      </c>
      <c r="S1189" s="35">
        <v>120</v>
      </c>
      <c r="T1189" s="21">
        <v>2.3484254662635329</v>
      </c>
      <c r="U1189" s="21">
        <v>0.19901910731046887</v>
      </c>
      <c r="V1189" s="37">
        <v>0.95555555555556104</v>
      </c>
      <c r="W1189" s="37" t="s">
        <v>6</v>
      </c>
      <c r="X1189" s="35" t="s">
        <v>6</v>
      </c>
      <c r="Y1189" s="23" t="s">
        <v>6</v>
      </c>
      <c r="Z1189" s="21" t="s">
        <v>6</v>
      </c>
      <c r="AA1189" s="35" t="s">
        <v>6</v>
      </c>
      <c r="AB1189" s="37" t="s">
        <v>1</v>
      </c>
      <c r="AC1189" s="27" t="s">
        <v>212</v>
      </c>
    </row>
    <row r="1190" spans="1:29">
      <c r="A1190" s="35" t="s">
        <v>236</v>
      </c>
      <c r="B1190" s="38" t="s">
        <v>29</v>
      </c>
      <c r="C1190" s="35" t="s">
        <v>65</v>
      </c>
      <c r="D1190" s="35">
        <v>189</v>
      </c>
      <c r="E1190" s="12">
        <v>68.418000000000006</v>
      </c>
      <c r="F1190" s="37">
        <v>18.100000000000001</v>
      </c>
      <c r="G1190" s="35">
        <v>0</v>
      </c>
      <c r="H1190" s="35">
        <v>0</v>
      </c>
      <c r="I1190" s="35">
        <v>0</v>
      </c>
      <c r="J1190" s="35">
        <v>0</v>
      </c>
      <c r="K1190" s="35">
        <v>0</v>
      </c>
      <c r="L1190" s="35">
        <v>198</v>
      </c>
      <c r="M1190" s="35">
        <v>2.75</v>
      </c>
      <c r="N1190" s="36">
        <f>(M1190*4*1000)/L1191</f>
        <v>55.555555555555557</v>
      </c>
      <c r="O1190" s="12">
        <v>0</v>
      </c>
      <c r="P1190" s="35">
        <v>15</v>
      </c>
      <c r="Q1190" s="35">
        <v>50</v>
      </c>
      <c r="R1190" s="35">
        <v>60</v>
      </c>
      <c r="S1190" s="35">
        <v>30</v>
      </c>
      <c r="T1190" s="35">
        <v>2.8</v>
      </c>
      <c r="U1190" s="21">
        <v>0.15469613259668505</v>
      </c>
      <c r="V1190" s="37">
        <v>0.45</v>
      </c>
      <c r="W1190" s="37">
        <v>26.9</v>
      </c>
      <c r="X1190" s="35">
        <v>90</v>
      </c>
      <c r="Y1190" s="23" t="s">
        <v>6</v>
      </c>
      <c r="Z1190" s="21">
        <v>100</v>
      </c>
      <c r="AA1190" s="35">
        <v>10</v>
      </c>
      <c r="AB1190" s="35">
        <v>82.3</v>
      </c>
      <c r="AC1190" s="27" t="s">
        <v>205</v>
      </c>
    </row>
    <row r="1191" spans="1:29">
      <c r="A1191" s="35" t="s">
        <v>236</v>
      </c>
      <c r="B1191" s="38" t="s">
        <v>216</v>
      </c>
      <c r="C1191" s="49" t="s">
        <v>217</v>
      </c>
      <c r="D1191" s="35">
        <v>330</v>
      </c>
      <c r="E1191" s="12">
        <v>66.66</v>
      </c>
      <c r="F1191" s="37">
        <v>10.1</v>
      </c>
      <c r="G1191" s="35">
        <v>0</v>
      </c>
      <c r="H1191" s="35">
        <v>0</v>
      </c>
      <c r="I1191" s="35">
        <v>0</v>
      </c>
      <c r="J1191" s="35">
        <v>0</v>
      </c>
      <c r="K1191" s="35">
        <v>0.42</v>
      </c>
      <c r="L1191" s="35">
        <v>198</v>
      </c>
      <c r="M1191" s="35">
        <v>2.75</v>
      </c>
      <c r="N1191" s="36">
        <f>(M1191*4*1000)/L1192</f>
        <v>55.555555555555557</v>
      </c>
      <c r="O1191" s="12">
        <v>0</v>
      </c>
      <c r="P1191" s="35">
        <v>15</v>
      </c>
      <c r="Q1191" s="35">
        <v>50</v>
      </c>
      <c r="R1191" s="35">
        <v>60</v>
      </c>
      <c r="S1191" s="35">
        <v>30</v>
      </c>
      <c r="T1191" s="21">
        <v>2.4</v>
      </c>
      <c r="U1191" s="21">
        <v>0.23762376237623761</v>
      </c>
      <c r="V1191" s="37">
        <v>0.45</v>
      </c>
      <c r="W1191" s="37">
        <v>19.3</v>
      </c>
      <c r="X1191" s="35">
        <v>90</v>
      </c>
      <c r="Y1191" s="23" t="s">
        <v>6</v>
      </c>
      <c r="Z1191" s="21">
        <v>-7.5065847234416072</v>
      </c>
      <c r="AA1191" s="35">
        <v>10</v>
      </c>
      <c r="AB1191" s="35">
        <v>72.599999999999994</v>
      </c>
      <c r="AC1191" s="27" t="s">
        <v>205</v>
      </c>
    </row>
    <row r="1192" spans="1:29">
      <c r="A1192" s="35" t="s">
        <v>236</v>
      </c>
      <c r="B1192" s="38" t="s">
        <v>216</v>
      </c>
      <c r="C1192" s="35" t="s">
        <v>218</v>
      </c>
      <c r="D1192" s="35">
        <v>406</v>
      </c>
      <c r="E1192" s="12">
        <v>69.831999999999994</v>
      </c>
      <c r="F1192" s="37">
        <v>8.6</v>
      </c>
      <c r="G1192" s="35">
        <v>0</v>
      </c>
      <c r="H1192" s="35">
        <v>0</v>
      </c>
      <c r="I1192" s="35">
        <v>0</v>
      </c>
      <c r="J1192" s="35">
        <v>0</v>
      </c>
      <c r="K1192" s="35">
        <v>0.64</v>
      </c>
      <c r="L1192" s="35">
        <v>198</v>
      </c>
      <c r="M1192" s="35">
        <v>2.75</v>
      </c>
      <c r="N1192" s="36">
        <f>(M1192*4*1000)/L1193</f>
        <v>55.555555555555557</v>
      </c>
      <c r="O1192" s="12">
        <v>0</v>
      </c>
      <c r="P1192" s="35">
        <v>15</v>
      </c>
      <c r="Q1192" s="35">
        <v>50</v>
      </c>
      <c r="R1192" s="35">
        <v>60</v>
      </c>
      <c r="S1192" s="35">
        <v>30</v>
      </c>
      <c r="T1192" s="21">
        <v>2</v>
      </c>
      <c r="U1192" s="21">
        <v>0.23255813953488372</v>
      </c>
      <c r="V1192" s="37">
        <v>0.45</v>
      </c>
      <c r="W1192" s="37">
        <v>11.1</v>
      </c>
      <c r="X1192" s="35">
        <v>90</v>
      </c>
      <c r="Y1192" s="23" t="s">
        <v>6</v>
      </c>
      <c r="Z1192" s="21">
        <v>-5.3403141361256594</v>
      </c>
      <c r="AA1192" s="35">
        <v>10</v>
      </c>
      <c r="AB1192" s="35">
        <v>71.900000000000006</v>
      </c>
      <c r="AC1192" s="27" t="s">
        <v>205</v>
      </c>
    </row>
    <row r="1193" spans="1:29">
      <c r="A1193" s="35" t="s">
        <v>236</v>
      </c>
      <c r="B1193" s="38" t="s">
        <v>216</v>
      </c>
      <c r="C1193" s="35" t="s">
        <v>219</v>
      </c>
      <c r="D1193" s="35">
        <v>478</v>
      </c>
      <c r="E1193" s="12">
        <v>70.744</v>
      </c>
      <c r="F1193" s="37">
        <v>7.4</v>
      </c>
      <c r="G1193" s="35">
        <v>0</v>
      </c>
      <c r="H1193" s="35">
        <v>0</v>
      </c>
      <c r="I1193" s="35">
        <v>0</v>
      </c>
      <c r="J1193" s="35">
        <v>0</v>
      </c>
      <c r="K1193" s="35">
        <v>0.82</v>
      </c>
      <c r="L1193" s="35">
        <v>198</v>
      </c>
      <c r="M1193" s="35">
        <v>2.75</v>
      </c>
      <c r="N1193" s="36">
        <f>(M1193*4*1000)/L1193</f>
        <v>55.555555555555557</v>
      </c>
      <c r="O1193" s="12">
        <v>0</v>
      </c>
      <c r="P1193" s="35">
        <v>15</v>
      </c>
      <c r="Q1193" s="35">
        <v>50</v>
      </c>
      <c r="R1193" s="35">
        <v>60</v>
      </c>
      <c r="S1193" s="35">
        <v>30</v>
      </c>
      <c r="T1193" s="35">
        <v>1.54</v>
      </c>
      <c r="U1193" s="21">
        <v>0.20810810810810809</v>
      </c>
      <c r="V1193" s="37">
        <v>0.45</v>
      </c>
      <c r="W1193" s="37">
        <v>3.6</v>
      </c>
      <c r="X1193" s="35">
        <v>90</v>
      </c>
      <c r="Y1193" s="23" t="s">
        <v>6</v>
      </c>
      <c r="Z1193" s="21">
        <v>0.45632333767927746</v>
      </c>
      <c r="AA1193" s="35">
        <v>10</v>
      </c>
      <c r="AB1193" s="35">
        <v>68.599999999999994</v>
      </c>
      <c r="AC1193" s="27" t="s">
        <v>205</v>
      </c>
    </row>
    <row r="1194" spans="1:29">
      <c r="A1194" s="35" t="s">
        <v>220</v>
      </c>
      <c r="B1194" s="38" t="s">
        <v>221</v>
      </c>
      <c r="C1194" s="49" t="s">
        <v>222</v>
      </c>
      <c r="D1194" s="35">
        <v>232</v>
      </c>
      <c r="E1194" s="12">
        <v>75.308641975308646</v>
      </c>
      <c r="F1194" s="37">
        <v>19.37250740916901</v>
      </c>
      <c r="G1194" s="35">
        <v>0</v>
      </c>
      <c r="H1194" s="35">
        <v>0</v>
      </c>
      <c r="I1194" s="35">
        <v>0</v>
      </c>
      <c r="J1194" s="35">
        <v>0</v>
      </c>
      <c r="K1194" s="35">
        <v>0</v>
      </c>
      <c r="L1194" s="35">
        <v>1410</v>
      </c>
      <c r="M1194" s="35">
        <v>8.41</v>
      </c>
      <c r="N1194" s="37">
        <v>67.099999999999994</v>
      </c>
      <c r="O1194" s="12">
        <v>0</v>
      </c>
      <c r="P1194" s="35">
        <v>100</v>
      </c>
      <c r="Q1194" s="35">
        <v>50</v>
      </c>
      <c r="R1194" s="35">
        <v>180</v>
      </c>
      <c r="S1194" s="35">
        <v>25</v>
      </c>
      <c r="T1194" s="65">
        <v>2.6353591160220899</v>
      </c>
      <c r="U1194" s="65">
        <v>0.13603603603603601</v>
      </c>
      <c r="V1194" s="37">
        <v>3.02</v>
      </c>
      <c r="W1194" s="37">
        <v>63.2</v>
      </c>
      <c r="X1194" s="35" t="s">
        <v>6</v>
      </c>
      <c r="Y1194" s="23" t="s">
        <v>6</v>
      </c>
      <c r="Z1194" s="21" t="s">
        <v>6</v>
      </c>
      <c r="AA1194" s="35" t="s">
        <v>6</v>
      </c>
      <c r="AB1194" s="37" t="s">
        <v>1</v>
      </c>
      <c r="AC1194" s="27" t="s">
        <v>223</v>
      </c>
    </row>
    <row r="1195" spans="1:29">
      <c r="A1195" s="35" t="s">
        <v>220</v>
      </c>
      <c r="B1195" s="38" t="s">
        <v>221</v>
      </c>
      <c r="C1195" s="49" t="s">
        <v>222</v>
      </c>
      <c r="D1195" s="35">
        <v>232</v>
      </c>
      <c r="E1195" s="12">
        <v>81</v>
      </c>
      <c r="F1195" s="37">
        <v>20.813661476644985</v>
      </c>
      <c r="G1195" s="35">
        <v>0</v>
      </c>
      <c r="H1195" s="35">
        <v>0</v>
      </c>
      <c r="I1195" s="35">
        <v>0</v>
      </c>
      <c r="J1195" s="35">
        <v>0</v>
      </c>
      <c r="K1195" s="35">
        <v>0</v>
      </c>
      <c r="L1195" s="35">
        <v>1410</v>
      </c>
      <c r="M1195" s="35">
        <v>8.41</v>
      </c>
      <c r="N1195" s="37">
        <v>67.099999999999994</v>
      </c>
      <c r="O1195" s="12">
        <v>0</v>
      </c>
      <c r="P1195" s="35">
        <v>100</v>
      </c>
      <c r="Q1195" s="35">
        <v>50</v>
      </c>
      <c r="R1195" s="35">
        <v>180</v>
      </c>
      <c r="S1195" s="35">
        <v>25</v>
      </c>
      <c r="T1195" s="65">
        <v>3.0939226519337</v>
      </c>
      <c r="U1195" s="65">
        <v>0.14864864864864799</v>
      </c>
      <c r="V1195" s="37">
        <v>3.53</v>
      </c>
      <c r="W1195" s="37">
        <v>65.7</v>
      </c>
      <c r="X1195" s="35" t="s">
        <v>6</v>
      </c>
      <c r="Y1195" s="23" t="s">
        <v>6</v>
      </c>
      <c r="Z1195" s="21" t="s">
        <v>6</v>
      </c>
      <c r="AA1195" s="35" t="s">
        <v>6</v>
      </c>
      <c r="AB1195" s="37" t="s">
        <v>1</v>
      </c>
      <c r="AC1195" s="27" t="s">
        <v>223</v>
      </c>
    </row>
    <row r="1196" spans="1:29">
      <c r="A1196" s="35" t="s">
        <v>220</v>
      </c>
      <c r="B1196" s="38" t="s">
        <v>221</v>
      </c>
      <c r="C1196" s="49" t="s">
        <v>222</v>
      </c>
      <c r="D1196" s="35">
        <v>232</v>
      </c>
      <c r="E1196" s="12">
        <v>83.136593591905566</v>
      </c>
      <c r="F1196" s="37">
        <v>21.498032659884593</v>
      </c>
      <c r="G1196" s="35">
        <v>0</v>
      </c>
      <c r="H1196" s="35">
        <v>0</v>
      </c>
      <c r="I1196" s="35">
        <v>0</v>
      </c>
      <c r="J1196" s="35">
        <v>0</v>
      </c>
      <c r="K1196" s="35">
        <v>0</v>
      </c>
      <c r="L1196" s="35">
        <v>1410</v>
      </c>
      <c r="M1196" s="35">
        <v>8.41</v>
      </c>
      <c r="N1196" s="37">
        <v>67.099999999999994</v>
      </c>
      <c r="O1196" s="12">
        <v>0</v>
      </c>
      <c r="P1196" s="35">
        <v>100</v>
      </c>
      <c r="Q1196" s="35">
        <v>50</v>
      </c>
      <c r="R1196" s="35">
        <v>180</v>
      </c>
      <c r="S1196" s="35">
        <v>25</v>
      </c>
      <c r="T1196" s="65">
        <v>2.6243093922651899</v>
      </c>
      <c r="U1196" s="65">
        <v>0.122072072072072</v>
      </c>
      <c r="V1196" s="37">
        <v>3.18</v>
      </c>
      <c r="W1196" s="37">
        <v>76.900000000000006</v>
      </c>
      <c r="X1196" s="35" t="s">
        <v>6</v>
      </c>
      <c r="Y1196" s="23" t="s">
        <v>6</v>
      </c>
      <c r="Z1196" s="21" t="s">
        <v>6</v>
      </c>
      <c r="AA1196" s="35" t="s">
        <v>6</v>
      </c>
      <c r="AB1196" s="37" t="s">
        <v>1</v>
      </c>
      <c r="AC1196" s="27" t="s">
        <v>223</v>
      </c>
    </row>
    <row r="1197" spans="1:29">
      <c r="A1197" s="35" t="s">
        <v>220</v>
      </c>
      <c r="B1197" s="38" t="s">
        <v>221</v>
      </c>
      <c r="C1197" s="49" t="s">
        <v>222</v>
      </c>
      <c r="D1197" s="35">
        <v>232</v>
      </c>
      <c r="E1197" s="12">
        <v>85.994397759103634</v>
      </c>
      <c r="F1197" s="37">
        <v>22.322651933701753</v>
      </c>
      <c r="G1197" s="35">
        <v>0</v>
      </c>
      <c r="H1197" s="35">
        <v>0</v>
      </c>
      <c r="I1197" s="35">
        <v>0</v>
      </c>
      <c r="J1197" s="35">
        <v>0</v>
      </c>
      <c r="K1197" s="35">
        <v>0</v>
      </c>
      <c r="L1197" s="35">
        <v>1410</v>
      </c>
      <c r="M1197" s="35">
        <v>8.41</v>
      </c>
      <c r="N1197" s="37">
        <v>67.099999999999994</v>
      </c>
      <c r="O1197" s="12">
        <v>0</v>
      </c>
      <c r="P1197" s="35">
        <v>100</v>
      </c>
      <c r="Q1197" s="35">
        <v>50</v>
      </c>
      <c r="R1197" s="35">
        <v>180</v>
      </c>
      <c r="S1197" s="35">
        <v>25</v>
      </c>
      <c r="T1197" s="65">
        <v>2.5138121546961298</v>
      </c>
      <c r="U1197" s="65">
        <v>0.112612612612612</v>
      </c>
      <c r="V1197" s="37">
        <v>4.25</v>
      </c>
      <c r="W1197" s="37">
        <v>84.4</v>
      </c>
      <c r="X1197" s="35" t="s">
        <v>6</v>
      </c>
      <c r="Y1197" s="23" t="s">
        <v>6</v>
      </c>
      <c r="Z1197" s="21" t="s">
        <v>6</v>
      </c>
      <c r="AA1197" s="35" t="s">
        <v>6</v>
      </c>
      <c r="AB1197" s="37" t="s">
        <v>1</v>
      </c>
      <c r="AC1197" s="27" t="s">
        <v>223</v>
      </c>
    </row>
    <row r="1198" spans="1:29">
      <c r="A1198" s="35" t="s">
        <v>220</v>
      </c>
      <c r="B1198" s="38" t="s">
        <v>221</v>
      </c>
      <c r="C1198" s="49" t="s">
        <v>222</v>
      </c>
      <c r="D1198" s="35">
        <v>232</v>
      </c>
      <c r="E1198" s="12">
        <v>76.25</v>
      </c>
      <c r="F1198" s="37">
        <v>19.451560189868598</v>
      </c>
      <c r="G1198" s="35">
        <v>0</v>
      </c>
      <c r="H1198" s="35">
        <v>0</v>
      </c>
      <c r="I1198" s="35">
        <v>0</v>
      </c>
      <c r="J1198" s="35">
        <v>0</v>
      </c>
      <c r="K1198" s="35">
        <v>0</v>
      </c>
      <c r="L1198" s="35">
        <v>1410</v>
      </c>
      <c r="M1198" s="35">
        <v>8.41</v>
      </c>
      <c r="N1198" s="37">
        <v>67.099999999999994</v>
      </c>
      <c r="O1198" s="12">
        <v>0</v>
      </c>
      <c r="P1198" s="35">
        <v>100</v>
      </c>
      <c r="Q1198" s="35">
        <v>50</v>
      </c>
      <c r="R1198" s="35">
        <v>180</v>
      </c>
      <c r="S1198" s="35">
        <v>50</v>
      </c>
      <c r="T1198" s="65">
        <v>3.11049723756906</v>
      </c>
      <c r="U1198" s="65">
        <v>0.159909909909909</v>
      </c>
      <c r="V1198" s="37">
        <v>3.04</v>
      </c>
      <c r="W1198" s="37">
        <v>66</v>
      </c>
      <c r="X1198" s="35" t="s">
        <v>6</v>
      </c>
      <c r="Y1198" s="23" t="s">
        <v>6</v>
      </c>
      <c r="Z1198" s="21" t="s">
        <v>6</v>
      </c>
      <c r="AA1198" s="35" t="s">
        <v>6</v>
      </c>
      <c r="AB1198" s="37" t="s">
        <v>1</v>
      </c>
      <c r="AC1198" s="27" t="s">
        <v>223</v>
      </c>
    </row>
    <row r="1199" spans="1:29">
      <c r="A1199" s="35" t="s">
        <v>220</v>
      </c>
      <c r="B1199" s="38" t="s">
        <v>221</v>
      </c>
      <c r="C1199" s="49" t="s">
        <v>222</v>
      </c>
      <c r="D1199" s="35">
        <v>232</v>
      </c>
      <c r="E1199" s="12">
        <v>81</v>
      </c>
      <c r="F1199" s="37">
        <v>20.651650375407257</v>
      </c>
      <c r="G1199" s="35">
        <v>0</v>
      </c>
      <c r="H1199" s="35">
        <v>0</v>
      </c>
      <c r="I1199" s="35">
        <v>0</v>
      </c>
      <c r="J1199" s="35">
        <v>0</v>
      </c>
      <c r="K1199" s="35">
        <v>0</v>
      </c>
      <c r="L1199" s="35">
        <v>1410</v>
      </c>
      <c r="M1199" s="35">
        <v>8.41</v>
      </c>
      <c r="N1199" s="37">
        <v>67.099999999999994</v>
      </c>
      <c r="O1199" s="12">
        <v>0</v>
      </c>
      <c r="P1199" s="35">
        <v>100</v>
      </c>
      <c r="Q1199" s="35">
        <v>50</v>
      </c>
      <c r="R1199" s="35">
        <v>180</v>
      </c>
      <c r="S1199" s="35">
        <v>50</v>
      </c>
      <c r="T1199" s="65">
        <v>3.2651933701657399</v>
      </c>
      <c r="U1199" s="65">
        <v>0.15810810810810799</v>
      </c>
      <c r="V1199" s="37">
        <v>3.04</v>
      </c>
      <c r="W1199" s="37">
        <v>58.5</v>
      </c>
      <c r="X1199" s="35" t="s">
        <v>6</v>
      </c>
      <c r="Y1199" s="23" t="s">
        <v>6</v>
      </c>
      <c r="Z1199" s="21" t="s">
        <v>6</v>
      </c>
      <c r="AA1199" s="35" t="s">
        <v>6</v>
      </c>
      <c r="AB1199" s="37" t="s">
        <v>1</v>
      </c>
      <c r="AC1199" s="27" t="s">
        <v>223</v>
      </c>
    </row>
    <row r="1200" spans="1:29">
      <c r="A1200" s="35" t="s">
        <v>220</v>
      </c>
      <c r="B1200" s="38" t="s">
        <v>221</v>
      </c>
      <c r="C1200" s="49" t="s">
        <v>222</v>
      </c>
      <c r="D1200" s="35">
        <v>232</v>
      </c>
      <c r="E1200" s="12">
        <v>83.136593591905566</v>
      </c>
      <c r="F1200" s="37">
        <v>21.54074585635356</v>
      </c>
      <c r="G1200" s="35">
        <v>0</v>
      </c>
      <c r="H1200" s="35">
        <v>0</v>
      </c>
      <c r="I1200" s="35">
        <v>0</v>
      </c>
      <c r="J1200" s="35">
        <v>0</v>
      </c>
      <c r="K1200" s="35">
        <v>0</v>
      </c>
      <c r="L1200" s="35">
        <v>1410</v>
      </c>
      <c r="M1200" s="35">
        <v>8.41</v>
      </c>
      <c r="N1200" s="37">
        <v>67.099999999999994</v>
      </c>
      <c r="O1200" s="12">
        <v>0</v>
      </c>
      <c r="P1200" s="35">
        <v>100</v>
      </c>
      <c r="Q1200" s="35">
        <v>50</v>
      </c>
      <c r="R1200" s="35">
        <v>180</v>
      </c>
      <c r="S1200" s="35">
        <v>50</v>
      </c>
      <c r="T1200" s="65">
        <v>3.1049723756906</v>
      </c>
      <c r="U1200" s="65">
        <v>0.144144144144144</v>
      </c>
      <c r="V1200" s="37">
        <v>3.04</v>
      </c>
      <c r="W1200" s="37">
        <v>58.5</v>
      </c>
      <c r="X1200" s="35" t="s">
        <v>6</v>
      </c>
      <c r="Y1200" s="23" t="s">
        <v>6</v>
      </c>
      <c r="Z1200" s="21" t="s">
        <v>6</v>
      </c>
      <c r="AA1200" s="35" t="s">
        <v>6</v>
      </c>
      <c r="AB1200" s="37" t="s">
        <v>1</v>
      </c>
      <c r="AC1200" s="27" t="s">
        <v>223</v>
      </c>
    </row>
    <row r="1201" spans="1:29">
      <c r="A1201" s="35" t="s">
        <v>220</v>
      </c>
      <c r="B1201" s="38" t="s">
        <v>221</v>
      </c>
      <c r="C1201" s="49" t="s">
        <v>222</v>
      </c>
      <c r="D1201" s="35">
        <v>232</v>
      </c>
      <c r="E1201" s="12">
        <v>85.994397759103634</v>
      </c>
      <c r="F1201" s="37">
        <v>22.186185959685471</v>
      </c>
      <c r="G1201" s="35">
        <v>0</v>
      </c>
      <c r="H1201" s="35">
        <v>0</v>
      </c>
      <c r="I1201" s="35">
        <v>0</v>
      </c>
      <c r="J1201" s="35">
        <v>0</v>
      </c>
      <c r="K1201" s="35">
        <v>0</v>
      </c>
      <c r="L1201" s="35">
        <v>1410</v>
      </c>
      <c r="M1201" s="35">
        <v>8.41</v>
      </c>
      <c r="N1201" s="37">
        <v>67.099999999999994</v>
      </c>
      <c r="O1201" s="12">
        <v>0</v>
      </c>
      <c r="P1201" s="35">
        <v>100</v>
      </c>
      <c r="Q1201" s="35">
        <v>50</v>
      </c>
      <c r="R1201" s="35">
        <v>180</v>
      </c>
      <c r="S1201" s="35">
        <v>50</v>
      </c>
      <c r="T1201" s="65">
        <v>2.9281767955801099</v>
      </c>
      <c r="U1201" s="65">
        <v>0.13198198198198199</v>
      </c>
      <c r="V1201" s="37">
        <v>1.37</v>
      </c>
      <c r="W1201" s="37">
        <v>69.3</v>
      </c>
      <c r="X1201" s="35" t="s">
        <v>6</v>
      </c>
      <c r="Y1201" s="23" t="s">
        <v>6</v>
      </c>
      <c r="Z1201" s="21" t="s">
        <v>6</v>
      </c>
      <c r="AA1201" s="35" t="s">
        <v>6</v>
      </c>
      <c r="AB1201" s="37" t="s">
        <v>1</v>
      </c>
      <c r="AC1201" s="27" t="s">
        <v>223</v>
      </c>
    </row>
    <row r="1202" spans="1:29">
      <c r="A1202" s="35" t="s">
        <v>220</v>
      </c>
      <c r="B1202" s="38" t="s">
        <v>221</v>
      </c>
      <c r="C1202" s="49" t="s">
        <v>222</v>
      </c>
      <c r="D1202" s="35">
        <v>232</v>
      </c>
      <c r="E1202" s="12">
        <v>76.25</v>
      </c>
      <c r="F1202" s="37">
        <v>19.425414364640879</v>
      </c>
      <c r="G1202" s="35">
        <v>0</v>
      </c>
      <c r="H1202" s="35">
        <v>0</v>
      </c>
      <c r="I1202" s="35">
        <v>0</v>
      </c>
      <c r="J1202" s="35">
        <v>0</v>
      </c>
      <c r="K1202" s="35">
        <v>0</v>
      </c>
      <c r="L1202" s="35">
        <v>1410</v>
      </c>
      <c r="M1202" s="35">
        <v>8.41</v>
      </c>
      <c r="N1202" s="37">
        <v>67.099999999999994</v>
      </c>
      <c r="O1202" s="12">
        <v>0</v>
      </c>
      <c r="P1202" s="35">
        <v>100</v>
      </c>
      <c r="Q1202" s="35">
        <v>50</v>
      </c>
      <c r="R1202" s="35">
        <v>180</v>
      </c>
      <c r="S1202" s="35">
        <v>75</v>
      </c>
      <c r="T1202" s="65">
        <v>4.8563535911602198</v>
      </c>
      <c r="U1202" s="65">
        <v>0.25</v>
      </c>
      <c r="V1202" s="37">
        <v>2.0499999999999998</v>
      </c>
      <c r="W1202" s="37">
        <v>48.2</v>
      </c>
      <c r="X1202" s="35" t="s">
        <v>6</v>
      </c>
      <c r="Y1202" s="23" t="s">
        <v>6</v>
      </c>
      <c r="Z1202" s="21" t="s">
        <v>6</v>
      </c>
      <c r="AA1202" s="35" t="s">
        <v>6</v>
      </c>
      <c r="AB1202" s="37" t="s">
        <v>1</v>
      </c>
      <c r="AC1202" s="27" t="s">
        <v>223</v>
      </c>
    </row>
    <row r="1203" spans="1:29">
      <c r="A1203" s="35" t="s">
        <v>220</v>
      </c>
      <c r="B1203" s="38" t="s">
        <v>221</v>
      </c>
      <c r="C1203" s="49" t="s">
        <v>222</v>
      </c>
      <c r="D1203" s="35">
        <v>232</v>
      </c>
      <c r="E1203" s="12">
        <v>81</v>
      </c>
      <c r="F1203" s="37">
        <v>20.729016877317765</v>
      </c>
      <c r="G1203" s="35">
        <v>0</v>
      </c>
      <c r="H1203" s="35">
        <v>0</v>
      </c>
      <c r="I1203" s="35">
        <v>0</v>
      </c>
      <c r="J1203" s="35">
        <v>0</v>
      </c>
      <c r="K1203" s="35">
        <v>0</v>
      </c>
      <c r="L1203" s="35">
        <v>1410</v>
      </c>
      <c r="M1203" s="35">
        <v>8.41</v>
      </c>
      <c r="N1203" s="37">
        <v>67.099999999999994</v>
      </c>
      <c r="O1203" s="12">
        <v>0</v>
      </c>
      <c r="P1203" s="35">
        <v>100</v>
      </c>
      <c r="Q1203" s="35">
        <v>50</v>
      </c>
      <c r="R1203" s="35">
        <v>180</v>
      </c>
      <c r="S1203" s="35">
        <v>75</v>
      </c>
      <c r="T1203" s="65">
        <v>5.4530386740331398</v>
      </c>
      <c r="U1203" s="65">
        <v>0.26306306306306299</v>
      </c>
      <c r="V1203" s="37">
        <v>2.04</v>
      </c>
      <c r="W1203" s="37">
        <v>53.2</v>
      </c>
      <c r="X1203" s="41">
        <v>75</v>
      </c>
      <c r="Y1203" s="23">
        <v>39.793834398492926</v>
      </c>
      <c r="Z1203" s="21">
        <v>25</v>
      </c>
      <c r="AA1203" s="35">
        <v>10</v>
      </c>
      <c r="AB1203" s="37" t="s">
        <v>1</v>
      </c>
      <c r="AC1203" s="27" t="s">
        <v>223</v>
      </c>
    </row>
    <row r="1204" spans="1:29">
      <c r="A1204" s="35" t="s">
        <v>220</v>
      </c>
      <c r="B1204" s="38" t="s">
        <v>221</v>
      </c>
      <c r="C1204" s="49" t="s">
        <v>222</v>
      </c>
      <c r="D1204" s="35">
        <v>232</v>
      </c>
      <c r="E1204" s="12">
        <v>81</v>
      </c>
      <c r="F1204" s="37">
        <v>20.729016877317765</v>
      </c>
      <c r="G1204" s="35">
        <v>0</v>
      </c>
      <c r="H1204" s="35">
        <v>0</v>
      </c>
      <c r="I1204" s="35">
        <v>0</v>
      </c>
      <c r="J1204" s="35">
        <v>0</v>
      </c>
      <c r="K1204" s="35">
        <v>0</v>
      </c>
      <c r="L1204" s="35">
        <v>1410</v>
      </c>
      <c r="M1204" s="35">
        <v>8.41</v>
      </c>
      <c r="N1204" s="37">
        <v>67.099999999999994</v>
      </c>
      <c r="O1204" s="12">
        <v>0</v>
      </c>
      <c r="P1204" s="35">
        <v>15</v>
      </c>
      <c r="Q1204" s="35">
        <v>50</v>
      </c>
      <c r="R1204" s="35">
        <v>180</v>
      </c>
      <c r="S1204" s="35">
        <v>75</v>
      </c>
      <c r="T1204" s="65">
        <v>4.22</v>
      </c>
      <c r="U1204" s="65">
        <v>0.20357936051553099</v>
      </c>
      <c r="V1204" s="37">
        <v>1.72</v>
      </c>
      <c r="W1204" s="37">
        <v>20.8</v>
      </c>
      <c r="X1204" s="41" t="s">
        <v>6</v>
      </c>
      <c r="Y1204" s="23" t="s">
        <v>6</v>
      </c>
      <c r="Z1204" s="21" t="s">
        <v>6</v>
      </c>
      <c r="AA1204" s="35" t="s">
        <v>6</v>
      </c>
      <c r="AB1204" s="37" t="s">
        <v>1</v>
      </c>
      <c r="AC1204" s="27" t="s">
        <v>223</v>
      </c>
    </row>
    <row r="1205" spans="1:29">
      <c r="A1205" s="35" t="s">
        <v>220</v>
      </c>
      <c r="B1205" s="38" t="s">
        <v>221</v>
      </c>
      <c r="C1205" s="49" t="s">
        <v>222</v>
      </c>
      <c r="D1205" s="35">
        <v>232</v>
      </c>
      <c r="E1205" s="12">
        <v>81</v>
      </c>
      <c r="F1205" s="37">
        <v>20.729016877317765</v>
      </c>
      <c r="G1205" s="35">
        <v>0</v>
      </c>
      <c r="H1205" s="35">
        <v>0</v>
      </c>
      <c r="I1205" s="35">
        <v>0</v>
      </c>
      <c r="J1205" s="35">
        <v>0</v>
      </c>
      <c r="K1205" s="35">
        <v>0</v>
      </c>
      <c r="L1205" s="35">
        <v>1410</v>
      </c>
      <c r="M1205" s="35">
        <v>8.41</v>
      </c>
      <c r="N1205" s="37">
        <v>67.099999999999994</v>
      </c>
      <c r="O1205" s="12">
        <v>10</v>
      </c>
      <c r="P1205" s="35">
        <v>100</v>
      </c>
      <c r="Q1205" s="35">
        <v>50</v>
      </c>
      <c r="R1205" s="35">
        <v>180</v>
      </c>
      <c r="S1205" s="35">
        <v>75</v>
      </c>
      <c r="T1205" s="65">
        <v>5.57</v>
      </c>
      <c r="U1205" s="65">
        <v>0.26870545925865114</v>
      </c>
      <c r="V1205" s="37">
        <v>2.36</v>
      </c>
      <c r="W1205" s="37">
        <v>29.75</v>
      </c>
      <c r="X1205" s="41">
        <v>75</v>
      </c>
      <c r="Y1205" s="23">
        <v>29.946023304504532</v>
      </c>
      <c r="Z1205" s="21">
        <v>26.217228464419474</v>
      </c>
      <c r="AA1205" s="35">
        <v>10</v>
      </c>
      <c r="AB1205" s="37" t="s">
        <v>1</v>
      </c>
      <c r="AC1205" s="27" t="s">
        <v>223</v>
      </c>
    </row>
    <row r="1206" spans="1:29">
      <c r="A1206" s="35" t="s">
        <v>220</v>
      </c>
      <c r="B1206" s="38" t="s">
        <v>221</v>
      </c>
      <c r="C1206" s="49" t="s">
        <v>222</v>
      </c>
      <c r="D1206" s="35">
        <v>232</v>
      </c>
      <c r="E1206" s="12">
        <v>81</v>
      </c>
      <c r="F1206" s="37">
        <v>20.729016877317765</v>
      </c>
      <c r="G1206" s="35">
        <v>0</v>
      </c>
      <c r="H1206" s="35">
        <v>0</v>
      </c>
      <c r="I1206" s="35">
        <v>0</v>
      </c>
      <c r="J1206" s="35">
        <v>0</v>
      </c>
      <c r="K1206" s="35">
        <v>0</v>
      </c>
      <c r="L1206" s="35">
        <v>1410</v>
      </c>
      <c r="M1206" s="35">
        <v>8.41</v>
      </c>
      <c r="N1206" s="37">
        <v>67.099999999999994</v>
      </c>
      <c r="O1206" s="12">
        <v>100</v>
      </c>
      <c r="P1206" s="35">
        <v>15</v>
      </c>
      <c r="Q1206" s="35">
        <v>50</v>
      </c>
      <c r="R1206" s="35">
        <v>180</v>
      </c>
      <c r="S1206" s="35">
        <v>40</v>
      </c>
      <c r="T1206" s="65">
        <v>3.89</v>
      </c>
      <c r="U1206" s="65">
        <v>0.18765964748943498</v>
      </c>
      <c r="V1206" s="37">
        <v>1.38</v>
      </c>
      <c r="W1206" s="37">
        <v>16.89</v>
      </c>
      <c r="X1206" s="35" t="s">
        <v>6</v>
      </c>
      <c r="Y1206" s="23" t="s">
        <v>6</v>
      </c>
      <c r="Z1206" s="21" t="s">
        <v>6</v>
      </c>
      <c r="AA1206" s="35" t="s">
        <v>6</v>
      </c>
      <c r="AB1206" s="37" t="s">
        <v>1</v>
      </c>
      <c r="AC1206" s="27" t="s">
        <v>223</v>
      </c>
    </row>
    <row r="1207" spans="1:29">
      <c r="A1207" s="35" t="s">
        <v>220</v>
      </c>
      <c r="B1207" s="38" t="s">
        <v>221</v>
      </c>
      <c r="C1207" s="49" t="s">
        <v>222</v>
      </c>
      <c r="D1207" s="35">
        <v>232</v>
      </c>
      <c r="E1207" s="12">
        <v>83.136593591905566</v>
      </c>
      <c r="F1207" s="37">
        <v>21.557006529382257</v>
      </c>
      <c r="G1207" s="35">
        <v>0</v>
      </c>
      <c r="H1207" s="35">
        <v>0</v>
      </c>
      <c r="I1207" s="35">
        <v>0</v>
      </c>
      <c r="J1207" s="35">
        <v>0</v>
      </c>
      <c r="K1207" s="35">
        <v>0</v>
      </c>
      <c r="L1207" s="35">
        <v>1410</v>
      </c>
      <c r="M1207" s="35">
        <v>8.41</v>
      </c>
      <c r="N1207" s="37">
        <v>67.099999999999994</v>
      </c>
      <c r="O1207" s="12">
        <v>0</v>
      </c>
      <c r="P1207" s="35">
        <v>100</v>
      </c>
      <c r="Q1207" s="35">
        <v>50</v>
      </c>
      <c r="R1207" s="35">
        <v>180</v>
      </c>
      <c r="S1207" s="35">
        <v>75</v>
      </c>
      <c r="T1207" s="65">
        <v>5.44751381215469</v>
      </c>
      <c r="U1207" s="65">
        <v>0.25270270270270201</v>
      </c>
      <c r="V1207" s="37">
        <v>1.89</v>
      </c>
      <c r="W1207" s="37">
        <v>57.1</v>
      </c>
      <c r="X1207" s="41">
        <v>75</v>
      </c>
      <c r="Y1207" s="23">
        <v>23.763506984099092</v>
      </c>
      <c r="Z1207" s="21">
        <v>25</v>
      </c>
      <c r="AA1207" s="35">
        <v>10</v>
      </c>
      <c r="AB1207" s="37" t="s">
        <v>1</v>
      </c>
      <c r="AC1207" s="27" t="s">
        <v>223</v>
      </c>
    </row>
    <row r="1208" spans="1:29">
      <c r="A1208" s="35" t="s">
        <v>220</v>
      </c>
      <c r="B1208" s="38" t="s">
        <v>221</v>
      </c>
      <c r="C1208" s="49" t="s">
        <v>222</v>
      </c>
      <c r="D1208" s="35">
        <v>232</v>
      </c>
      <c r="E1208" s="12">
        <v>83.136593591905566</v>
      </c>
      <c r="F1208" s="37">
        <v>21.557006529382257</v>
      </c>
      <c r="G1208" s="35">
        <v>0</v>
      </c>
      <c r="H1208" s="35">
        <v>0</v>
      </c>
      <c r="I1208" s="35">
        <v>0</v>
      </c>
      <c r="J1208" s="35">
        <v>0</v>
      </c>
      <c r="K1208" s="35">
        <v>0</v>
      </c>
      <c r="L1208" s="35">
        <v>1410</v>
      </c>
      <c r="M1208" s="35">
        <v>8.41</v>
      </c>
      <c r="N1208" s="37">
        <v>67.099999999999994</v>
      </c>
      <c r="O1208" s="12">
        <v>10</v>
      </c>
      <c r="P1208" s="35">
        <v>100</v>
      </c>
      <c r="Q1208" s="35">
        <v>50</v>
      </c>
      <c r="R1208" s="35">
        <v>180</v>
      </c>
      <c r="S1208" s="35">
        <v>75</v>
      </c>
      <c r="T1208" s="65">
        <v>5.43</v>
      </c>
      <c r="U1208" s="65">
        <v>0.25270270270270201</v>
      </c>
      <c r="V1208" s="37" t="s">
        <v>6</v>
      </c>
      <c r="W1208" s="37" t="s">
        <v>6</v>
      </c>
      <c r="X1208" s="41">
        <v>75</v>
      </c>
      <c r="Y1208" s="23">
        <v>21.947572132301186</v>
      </c>
      <c r="Z1208" s="21">
        <v>26.530612244897956</v>
      </c>
      <c r="AA1208" s="35">
        <v>10</v>
      </c>
      <c r="AB1208" s="37" t="s">
        <v>1</v>
      </c>
      <c r="AC1208" s="27" t="s">
        <v>223</v>
      </c>
    </row>
    <row r="1209" spans="1:29">
      <c r="A1209" s="35" t="s">
        <v>220</v>
      </c>
      <c r="B1209" s="38" t="s">
        <v>221</v>
      </c>
      <c r="C1209" s="49" t="s">
        <v>222</v>
      </c>
      <c r="D1209" s="35">
        <v>232</v>
      </c>
      <c r="E1209" s="12">
        <v>83.136593591905566</v>
      </c>
      <c r="F1209" s="37">
        <v>21.6</v>
      </c>
      <c r="G1209" s="35">
        <v>0</v>
      </c>
      <c r="H1209" s="35">
        <v>0</v>
      </c>
      <c r="I1209" s="35">
        <v>0</v>
      </c>
      <c r="J1209" s="35">
        <v>0</v>
      </c>
      <c r="K1209" s="35">
        <v>0</v>
      </c>
      <c r="L1209" s="35">
        <v>1410</v>
      </c>
      <c r="M1209" s="35">
        <v>8.41</v>
      </c>
      <c r="N1209" s="37">
        <v>67.099999999999994</v>
      </c>
      <c r="O1209" s="12">
        <v>0</v>
      </c>
      <c r="P1209" s="35">
        <v>15</v>
      </c>
      <c r="Q1209" s="35">
        <v>50</v>
      </c>
      <c r="R1209" s="35">
        <v>180</v>
      </c>
      <c r="S1209" s="35">
        <v>75</v>
      </c>
      <c r="T1209" s="65">
        <v>4.9000000000000004</v>
      </c>
      <c r="U1209" s="65">
        <v>0.22685185185185186</v>
      </c>
      <c r="V1209" s="37">
        <v>5.35</v>
      </c>
      <c r="W1209" s="37">
        <v>48.6</v>
      </c>
      <c r="X1209" s="41" t="s">
        <v>6</v>
      </c>
      <c r="Y1209" s="23" t="s">
        <v>6</v>
      </c>
      <c r="Z1209" s="21" t="s">
        <v>6</v>
      </c>
      <c r="AA1209" s="35" t="s">
        <v>6</v>
      </c>
      <c r="AB1209" s="37" t="s">
        <v>1</v>
      </c>
      <c r="AC1209" s="27" t="s">
        <v>223</v>
      </c>
    </row>
    <row r="1210" spans="1:29">
      <c r="A1210" s="35" t="s">
        <v>220</v>
      </c>
      <c r="B1210" s="38" t="s">
        <v>221</v>
      </c>
      <c r="C1210" s="49" t="s">
        <v>222</v>
      </c>
      <c r="D1210" s="35">
        <v>232</v>
      </c>
      <c r="E1210" s="12">
        <v>85.994397759103634</v>
      </c>
      <c r="F1210" s="37">
        <v>22.119886309200705</v>
      </c>
      <c r="G1210" s="35">
        <v>0</v>
      </c>
      <c r="H1210" s="35">
        <v>0</v>
      </c>
      <c r="I1210" s="35">
        <v>0</v>
      </c>
      <c r="J1210" s="35">
        <v>0</v>
      </c>
      <c r="K1210" s="35">
        <v>0</v>
      </c>
      <c r="L1210" s="35">
        <v>1410</v>
      </c>
      <c r="M1210" s="35">
        <v>8.41</v>
      </c>
      <c r="N1210" s="37">
        <v>67.099999999999994</v>
      </c>
      <c r="O1210" s="12">
        <v>0</v>
      </c>
      <c r="P1210" s="35">
        <v>100</v>
      </c>
      <c r="Q1210" s="35">
        <v>50</v>
      </c>
      <c r="R1210" s="35">
        <v>180</v>
      </c>
      <c r="S1210" s="35">
        <v>75</v>
      </c>
      <c r="T1210" s="65">
        <v>5.1712707182320399</v>
      </c>
      <c r="U1210" s="65">
        <v>0.23378378378378301</v>
      </c>
      <c r="V1210" s="37">
        <v>1.6</v>
      </c>
      <c r="W1210" s="37">
        <v>54.4</v>
      </c>
      <c r="X1210" s="35" t="s">
        <v>6</v>
      </c>
      <c r="Y1210" s="23" t="s">
        <v>6</v>
      </c>
      <c r="Z1210" s="21" t="s">
        <v>6</v>
      </c>
      <c r="AA1210" s="35" t="s">
        <v>6</v>
      </c>
      <c r="AB1210" s="37" t="s">
        <v>1</v>
      </c>
      <c r="AC1210" s="27" t="s">
        <v>223</v>
      </c>
    </row>
    <row r="1211" spans="1:29">
      <c r="A1211" s="35" t="s">
        <v>220</v>
      </c>
      <c r="B1211" s="38" t="s">
        <v>221</v>
      </c>
      <c r="C1211" s="49" t="s">
        <v>222</v>
      </c>
      <c r="D1211" s="35">
        <v>232</v>
      </c>
      <c r="E1211" s="12">
        <v>76.25</v>
      </c>
      <c r="F1211" s="37">
        <v>20.269337016574561</v>
      </c>
      <c r="G1211" s="35">
        <v>0</v>
      </c>
      <c r="H1211" s="35">
        <v>0</v>
      </c>
      <c r="I1211" s="35">
        <v>0</v>
      </c>
      <c r="J1211" s="35">
        <v>0</v>
      </c>
      <c r="K1211" s="35">
        <v>0</v>
      </c>
      <c r="L1211" s="35">
        <v>1410</v>
      </c>
      <c r="M1211" s="35">
        <v>8.41</v>
      </c>
      <c r="N1211" s="37">
        <v>67.099999999999994</v>
      </c>
      <c r="O1211" s="12">
        <v>0</v>
      </c>
      <c r="P1211" s="35">
        <v>100</v>
      </c>
      <c r="Q1211" s="35">
        <v>50</v>
      </c>
      <c r="R1211" s="35">
        <v>180</v>
      </c>
      <c r="S1211" s="35">
        <v>100</v>
      </c>
      <c r="T1211" s="65">
        <v>3.24309392265193</v>
      </c>
      <c r="U1211" s="65">
        <v>0.16</v>
      </c>
      <c r="V1211" s="37">
        <v>4.2300000000000004</v>
      </c>
      <c r="W1211" s="37">
        <v>24.36</v>
      </c>
      <c r="X1211" s="35" t="s">
        <v>6</v>
      </c>
      <c r="Y1211" s="23" t="s">
        <v>6</v>
      </c>
      <c r="Z1211" s="21" t="s">
        <v>6</v>
      </c>
      <c r="AA1211" s="35" t="s">
        <v>6</v>
      </c>
      <c r="AB1211" s="37" t="s">
        <v>1</v>
      </c>
      <c r="AC1211" s="27" t="s">
        <v>223</v>
      </c>
    </row>
    <row r="1212" spans="1:29">
      <c r="A1212" s="35" t="s">
        <v>220</v>
      </c>
      <c r="B1212" s="38" t="s">
        <v>221</v>
      </c>
      <c r="C1212" s="49" t="s">
        <v>222</v>
      </c>
      <c r="D1212" s="35">
        <v>232</v>
      </c>
      <c r="E1212" s="12">
        <v>81</v>
      </c>
      <c r="F1212" s="37">
        <v>20.694251792641378</v>
      </c>
      <c r="G1212" s="35">
        <v>0</v>
      </c>
      <c r="H1212" s="35">
        <v>0</v>
      </c>
      <c r="I1212" s="35">
        <v>0</v>
      </c>
      <c r="J1212" s="35">
        <v>0</v>
      </c>
      <c r="K1212" s="35">
        <v>0</v>
      </c>
      <c r="L1212" s="35">
        <v>1410</v>
      </c>
      <c r="M1212" s="35">
        <v>8.41</v>
      </c>
      <c r="N1212" s="37">
        <v>67.099999999999994</v>
      </c>
      <c r="O1212" s="12">
        <v>0</v>
      </c>
      <c r="P1212" s="35">
        <v>100</v>
      </c>
      <c r="Q1212" s="35">
        <v>50</v>
      </c>
      <c r="R1212" s="35">
        <v>180</v>
      </c>
      <c r="S1212" s="35">
        <v>100</v>
      </c>
      <c r="T1212" s="65">
        <v>4.3812154696132497</v>
      </c>
      <c r="U1212" s="65">
        <v>0.21171171171171099</v>
      </c>
      <c r="V1212" s="37">
        <v>4.08</v>
      </c>
      <c r="W1212" s="37">
        <v>28.44</v>
      </c>
      <c r="X1212" s="35" t="s">
        <v>6</v>
      </c>
      <c r="Y1212" s="23" t="s">
        <v>6</v>
      </c>
      <c r="Z1212" s="21" t="s">
        <v>6</v>
      </c>
      <c r="AA1212" s="35" t="s">
        <v>6</v>
      </c>
      <c r="AB1212" s="37" t="s">
        <v>1</v>
      </c>
      <c r="AC1212" s="27" t="s">
        <v>223</v>
      </c>
    </row>
    <row r="1213" spans="1:29">
      <c r="A1213" s="35" t="s">
        <v>220</v>
      </c>
      <c r="B1213" s="38" t="s">
        <v>221</v>
      </c>
      <c r="C1213" s="49" t="s">
        <v>222</v>
      </c>
      <c r="D1213" s="35">
        <v>232</v>
      </c>
      <c r="E1213" s="12">
        <v>83.136593591905566</v>
      </c>
      <c r="F1213" s="37">
        <v>21.628354380426288</v>
      </c>
      <c r="G1213" s="35">
        <v>0</v>
      </c>
      <c r="H1213" s="35">
        <v>0</v>
      </c>
      <c r="I1213" s="35">
        <v>0</v>
      </c>
      <c r="J1213" s="35">
        <v>0</v>
      </c>
      <c r="K1213" s="35">
        <v>0</v>
      </c>
      <c r="L1213" s="35">
        <v>1410</v>
      </c>
      <c r="M1213" s="35">
        <v>8.41</v>
      </c>
      <c r="N1213" s="37">
        <v>67.099999999999994</v>
      </c>
      <c r="O1213" s="12">
        <v>0</v>
      </c>
      <c r="P1213" s="35">
        <v>100</v>
      </c>
      <c r="Q1213" s="35">
        <v>50</v>
      </c>
      <c r="R1213" s="35">
        <v>180</v>
      </c>
      <c r="S1213" s="35">
        <v>100</v>
      </c>
      <c r="T1213" s="65">
        <v>4.3646408839779003</v>
      </c>
      <c r="U1213" s="65">
        <v>0.20180180180180099</v>
      </c>
      <c r="V1213" s="37">
        <v>4.08</v>
      </c>
      <c r="W1213" s="37">
        <v>29.2</v>
      </c>
      <c r="X1213" s="35" t="s">
        <v>6</v>
      </c>
      <c r="Y1213" s="23" t="s">
        <v>6</v>
      </c>
      <c r="Z1213" s="21" t="s">
        <v>6</v>
      </c>
      <c r="AA1213" s="35" t="s">
        <v>6</v>
      </c>
      <c r="AB1213" s="37" t="s">
        <v>1</v>
      </c>
      <c r="AC1213" s="27" t="s">
        <v>223</v>
      </c>
    </row>
    <row r="1214" spans="1:29">
      <c r="A1214" s="35" t="s">
        <v>220</v>
      </c>
      <c r="B1214" s="38" t="s">
        <v>221</v>
      </c>
      <c r="C1214" s="49" t="s">
        <v>222</v>
      </c>
      <c r="D1214" s="35">
        <v>232</v>
      </c>
      <c r="E1214" s="12">
        <v>85.994397759103634</v>
      </c>
      <c r="F1214" s="37">
        <v>22.27507410551522</v>
      </c>
      <c r="G1214" s="35">
        <v>0</v>
      </c>
      <c r="H1214" s="35">
        <v>0</v>
      </c>
      <c r="I1214" s="35">
        <v>0</v>
      </c>
      <c r="J1214" s="35">
        <v>0</v>
      </c>
      <c r="K1214" s="35">
        <v>0</v>
      </c>
      <c r="L1214" s="35">
        <v>1410</v>
      </c>
      <c r="M1214" s="35">
        <v>8.41</v>
      </c>
      <c r="N1214" s="37">
        <v>67.099999999999994</v>
      </c>
      <c r="O1214" s="12">
        <v>0</v>
      </c>
      <c r="P1214" s="35">
        <v>100</v>
      </c>
      <c r="Q1214" s="35">
        <v>50</v>
      </c>
      <c r="R1214" s="35">
        <v>60</v>
      </c>
      <c r="S1214" s="35">
        <v>100</v>
      </c>
      <c r="T1214" s="65">
        <v>3.9834254143646399</v>
      </c>
      <c r="U1214" s="65">
        <v>0.178828828828828</v>
      </c>
      <c r="V1214" s="37">
        <v>4.2300000000000004</v>
      </c>
      <c r="W1214" s="37">
        <v>28.74</v>
      </c>
      <c r="X1214" s="35" t="s">
        <v>6</v>
      </c>
      <c r="Y1214" s="23" t="s">
        <v>6</v>
      </c>
      <c r="Z1214" s="21" t="s">
        <v>6</v>
      </c>
      <c r="AA1214" s="35" t="s">
        <v>6</v>
      </c>
      <c r="AB1214" s="37" t="s">
        <v>1</v>
      </c>
      <c r="AC1214" s="27" t="s">
        <v>223</v>
      </c>
    </row>
    <row r="1215" spans="1:29">
      <c r="A1215" s="35" t="s">
        <v>224</v>
      </c>
      <c r="B1215" s="38" t="s">
        <v>225</v>
      </c>
      <c r="C1215" s="49" t="s">
        <v>71</v>
      </c>
      <c r="D1215" s="36">
        <v>146.22999999999999</v>
      </c>
      <c r="E1215" s="12">
        <v>9.0909090909090917</v>
      </c>
      <c r="F1215" s="35">
        <v>2.4900000000000002</v>
      </c>
      <c r="G1215" s="35">
        <v>0</v>
      </c>
      <c r="H1215" s="35">
        <v>0</v>
      </c>
      <c r="I1215" s="35">
        <v>0</v>
      </c>
      <c r="J1215" s="35">
        <v>0</v>
      </c>
      <c r="K1215" s="35">
        <v>0</v>
      </c>
      <c r="L1215" s="36">
        <v>1336</v>
      </c>
      <c r="M1215" s="21">
        <v>0.68</v>
      </c>
      <c r="N1215" s="21">
        <v>1.35</v>
      </c>
      <c r="O1215" s="12">
        <v>0</v>
      </c>
      <c r="P1215" s="35">
        <v>10</v>
      </c>
      <c r="Q1215" s="35">
        <v>50</v>
      </c>
      <c r="R1215" s="35">
        <v>600</v>
      </c>
      <c r="S1215" s="35">
        <v>75</v>
      </c>
      <c r="T1215" s="65">
        <v>0.2</v>
      </c>
      <c r="U1215" s="21">
        <v>8.0321285140562249E-2</v>
      </c>
      <c r="V1215" s="37">
        <v>7.0200000000000005</v>
      </c>
      <c r="W1215" s="37">
        <v>16.8</v>
      </c>
      <c r="X1215" s="35" t="s">
        <v>6</v>
      </c>
      <c r="Y1215" s="23" t="s">
        <v>6</v>
      </c>
      <c r="Z1215" s="21" t="s">
        <v>6</v>
      </c>
      <c r="AA1215" s="35" t="s">
        <v>6</v>
      </c>
      <c r="AB1215" s="37" t="s">
        <v>1</v>
      </c>
      <c r="AC1215" s="27" t="s">
        <v>226</v>
      </c>
    </row>
    <row r="1216" spans="1:29">
      <c r="A1216" s="35" t="s">
        <v>224</v>
      </c>
      <c r="B1216" s="38" t="s">
        <v>225</v>
      </c>
      <c r="C1216" s="49" t="s">
        <v>71</v>
      </c>
      <c r="D1216" s="36">
        <v>146.22999999999999</v>
      </c>
      <c r="E1216" s="12">
        <v>23.076923076923077</v>
      </c>
      <c r="F1216" s="35">
        <v>6.32</v>
      </c>
      <c r="G1216" s="35">
        <v>0</v>
      </c>
      <c r="H1216" s="35">
        <v>0</v>
      </c>
      <c r="I1216" s="35">
        <v>0</v>
      </c>
      <c r="J1216" s="35">
        <v>0</v>
      </c>
      <c r="K1216" s="35">
        <v>0</v>
      </c>
      <c r="L1216" s="36">
        <v>1336</v>
      </c>
      <c r="M1216" s="21">
        <v>0.68</v>
      </c>
      <c r="N1216" s="21">
        <v>1.35</v>
      </c>
      <c r="O1216" s="12">
        <v>0</v>
      </c>
      <c r="P1216" s="35">
        <v>10</v>
      </c>
      <c r="Q1216" s="35">
        <v>50</v>
      </c>
      <c r="R1216" s="35">
        <v>600</v>
      </c>
      <c r="S1216" s="35">
        <v>75</v>
      </c>
      <c r="T1216" s="65">
        <v>0.56999999999999995</v>
      </c>
      <c r="U1216" s="21">
        <v>9.0189873417721514E-2</v>
      </c>
      <c r="V1216" s="37">
        <v>3.96</v>
      </c>
      <c r="W1216" s="37">
        <v>59.4</v>
      </c>
      <c r="X1216" s="35" t="s">
        <v>6</v>
      </c>
      <c r="Y1216" s="23" t="s">
        <v>6</v>
      </c>
      <c r="Z1216" s="21" t="s">
        <v>6</v>
      </c>
      <c r="AA1216" s="35" t="s">
        <v>6</v>
      </c>
      <c r="AB1216" s="37" t="s">
        <v>1</v>
      </c>
      <c r="AC1216" s="27" t="s">
        <v>226</v>
      </c>
    </row>
    <row r="1217" spans="1:29">
      <c r="A1217" s="35" t="s">
        <v>224</v>
      </c>
      <c r="B1217" s="38" t="s">
        <v>225</v>
      </c>
      <c r="C1217" s="49" t="s">
        <v>71</v>
      </c>
      <c r="D1217" s="36">
        <v>146.22999999999999</v>
      </c>
      <c r="E1217" s="12">
        <v>33.333333333333329</v>
      </c>
      <c r="F1217" s="35">
        <v>9.11</v>
      </c>
      <c r="G1217" s="35">
        <v>0</v>
      </c>
      <c r="H1217" s="35">
        <v>0</v>
      </c>
      <c r="I1217" s="35">
        <v>0</v>
      </c>
      <c r="J1217" s="35">
        <v>0</v>
      </c>
      <c r="K1217" s="35">
        <v>0</v>
      </c>
      <c r="L1217" s="36">
        <v>1336</v>
      </c>
      <c r="M1217" s="21">
        <v>0.68</v>
      </c>
      <c r="N1217" s="21">
        <v>1.35</v>
      </c>
      <c r="O1217" s="12">
        <v>0</v>
      </c>
      <c r="P1217" s="35">
        <v>10</v>
      </c>
      <c r="Q1217" s="35">
        <v>50</v>
      </c>
      <c r="R1217" s="35">
        <v>600</v>
      </c>
      <c r="S1217" s="35">
        <v>75</v>
      </c>
      <c r="T1217" s="35">
        <v>1.05</v>
      </c>
      <c r="U1217" s="21">
        <v>0.11525795828759607</v>
      </c>
      <c r="V1217" s="37">
        <v>9.66</v>
      </c>
      <c r="W1217" s="37">
        <v>182.4</v>
      </c>
      <c r="X1217" s="35" t="s">
        <v>6</v>
      </c>
      <c r="Y1217" s="23" t="s">
        <v>6</v>
      </c>
      <c r="Z1217" s="21" t="s">
        <v>6</v>
      </c>
      <c r="AA1217" s="35" t="s">
        <v>6</v>
      </c>
      <c r="AB1217" s="37">
        <v>90.9</v>
      </c>
      <c r="AC1217" s="27" t="s">
        <v>226</v>
      </c>
    </row>
    <row r="1218" spans="1:29">
      <c r="A1218" s="35" t="s">
        <v>224</v>
      </c>
      <c r="B1218" s="38" t="s">
        <v>225</v>
      </c>
      <c r="C1218" s="49" t="s">
        <v>71</v>
      </c>
      <c r="D1218" s="36">
        <v>146.22999999999999</v>
      </c>
      <c r="E1218" s="12">
        <v>39.393939393939398</v>
      </c>
      <c r="F1218" s="35">
        <v>10.8</v>
      </c>
      <c r="G1218" s="35">
        <v>0</v>
      </c>
      <c r="H1218" s="35">
        <v>0</v>
      </c>
      <c r="I1218" s="35">
        <v>0</v>
      </c>
      <c r="J1218" s="35">
        <v>0</v>
      </c>
      <c r="K1218" s="35">
        <v>0</v>
      </c>
      <c r="L1218" s="36">
        <v>1336</v>
      </c>
      <c r="M1218" s="21">
        <v>0.68</v>
      </c>
      <c r="N1218" s="21">
        <v>1.35</v>
      </c>
      <c r="O1218" s="12">
        <v>0</v>
      </c>
      <c r="P1218" s="35">
        <v>10</v>
      </c>
      <c r="Q1218" s="35">
        <v>50</v>
      </c>
      <c r="R1218" s="35">
        <v>600</v>
      </c>
      <c r="S1218" s="35">
        <v>75</v>
      </c>
      <c r="T1218" s="35">
        <v>0.43</v>
      </c>
      <c r="U1218" s="21">
        <v>3.981481481481481E-2</v>
      </c>
      <c r="V1218" s="37">
        <v>38.04</v>
      </c>
      <c r="W1218" s="37">
        <v>223.20000000000002</v>
      </c>
      <c r="X1218" s="35" t="s">
        <v>6</v>
      </c>
      <c r="Y1218" s="23" t="s">
        <v>6</v>
      </c>
      <c r="Z1218" s="21" t="s">
        <v>6</v>
      </c>
      <c r="AA1218" s="35" t="s">
        <v>6</v>
      </c>
      <c r="AB1218" s="37" t="s">
        <v>1</v>
      </c>
      <c r="AC1218" s="27" t="s">
        <v>226</v>
      </c>
    </row>
    <row r="1219" spans="1:29">
      <c r="A1219" s="35" t="s">
        <v>224</v>
      </c>
      <c r="B1219" s="38" t="s">
        <v>225</v>
      </c>
      <c r="C1219" s="49" t="s">
        <v>71</v>
      </c>
      <c r="D1219" s="36">
        <v>146.22999999999999</v>
      </c>
      <c r="E1219" s="12">
        <v>9.0909090909090917</v>
      </c>
      <c r="F1219" s="35">
        <v>2.4900000000000002</v>
      </c>
      <c r="G1219" s="35">
        <v>0</v>
      </c>
      <c r="H1219" s="35">
        <v>0</v>
      </c>
      <c r="I1219" s="35">
        <v>0</v>
      </c>
      <c r="J1219" s="35">
        <v>0</v>
      </c>
      <c r="K1219" s="35">
        <v>0</v>
      </c>
      <c r="L1219" s="35">
        <v>817</v>
      </c>
      <c r="M1219" s="35">
        <v>1.1000000000000001</v>
      </c>
      <c r="N1219" s="21">
        <v>5.71</v>
      </c>
      <c r="O1219" s="12">
        <v>0</v>
      </c>
      <c r="P1219" s="35">
        <v>10</v>
      </c>
      <c r="Q1219" s="35">
        <v>50</v>
      </c>
      <c r="R1219" s="35">
        <v>600</v>
      </c>
      <c r="S1219" s="35">
        <v>75</v>
      </c>
      <c r="T1219" s="65">
        <v>0.24</v>
      </c>
      <c r="U1219" s="21">
        <v>9.638554216867469E-2</v>
      </c>
      <c r="V1219" s="37">
        <v>6.72</v>
      </c>
      <c r="W1219" s="37">
        <v>124.08</v>
      </c>
      <c r="X1219" s="35" t="s">
        <v>6</v>
      </c>
      <c r="Y1219" s="23" t="s">
        <v>6</v>
      </c>
      <c r="Z1219" s="21" t="s">
        <v>6</v>
      </c>
      <c r="AA1219" s="35" t="s">
        <v>6</v>
      </c>
      <c r="AB1219" s="37" t="s">
        <v>1</v>
      </c>
      <c r="AC1219" s="27" t="s">
        <v>226</v>
      </c>
    </row>
    <row r="1220" spans="1:29">
      <c r="A1220" s="35" t="s">
        <v>224</v>
      </c>
      <c r="B1220" s="38" t="s">
        <v>225</v>
      </c>
      <c r="C1220" s="49" t="s">
        <v>71</v>
      </c>
      <c r="D1220" s="36">
        <v>146.22999999999999</v>
      </c>
      <c r="E1220" s="12">
        <v>23.076923076923077</v>
      </c>
      <c r="F1220" s="21">
        <v>6.32</v>
      </c>
      <c r="G1220" s="35">
        <v>0</v>
      </c>
      <c r="H1220" s="35">
        <v>0</v>
      </c>
      <c r="I1220" s="35">
        <v>0</v>
      </c>
      <c r="J1220" s="35">
        <v>0</v>
      </c>
      <c r="K1220" s="35">
        <v>0</v>
      </c>
      <c r="L1220" s="35">
        <v>817</v>
      </c>
      <c r="M1220" s="35">
        <v>1.1000000000000001</v>
      </c>
      <c r="N1220" s="21">
        <v>5.71</v>
      </c>
      <c r="O1220" s="12">
        <v>0</v>
      </c>
      <c r="P1220" s="35">
        <v>10</v>
      </c>
      <c r="Q1220" s="35">
        <v>50</v>
      </c>
      <c r="R1220" s="35">
        <v>600</v>
      </c>
      <c r="S1220" s="35">
        <v>75</v>
      </c>
      <c r="T1220" s="65">
        <v>1.1499999999999999</v>
      </c>
      <c r="U1220" s="21">
        <v>0.18196202531645567</v>
      </c>
      <c r="V1220" s="37">
        <v>5.64</v>
      </c>
      <c r="W1220" s="37">
        <v>41.58</v>
      </c>
      <c r="X1220" s="35">
        <v>75</v>
      </c>
      <c r="Y1220" s="23" t="s">
        <v>6</v>
      </c>
      <c r="Z1220" s="21">
        <v>6.6973079448456954</v>
      </c>
      <c r="AA1220" s="35">
        <v>4</v>
      </c>
      <c r="AB1220" s="35">
        <v>97.8</v>
      </c>
      <c r="AC1220" s="27" t="s">
        <v>226</v>
      </c>
    </row>
    <row r="1221" spans="1:29">
      <c r="A1221" s="35" t="s">
        <v>224</v>
      </c>
      <c r="B1221" s="38" t="s">
        <v>225</v>
      </c>
      <c r="C1221" s="49" t="s">
        <v>71</v>
      </c>
      <c r="D1221" s="36">
        <v>146.22999999999999</v>
      </c>
      <c r="E1221" s="12">
        <v>33.333333333333329</v>
      </c>
      <c r="F1221" s="21">
        <v>9.11</v>
      </c>
      <c r="G1221" s="35">
        <v>0</v>
      </c>
      <c r="H1221" s="35">
        <v>0</v>
      </c>
      <c r="I1221" s="35">
        <v>0</v>
      </c>
      <c r="J1221" s="35">
        <v>0</v>
      </c>
      <c r="K1221" s="35">
        <v>0</v>
      </c>
      <c r="L1221" s="35">
        <v>817</v>
      </c>
      <c r="M1221" s="35">
        <v>1.1000000000000001</v>
      </c>
      <c r="N1221" s="21">
        <v>5.71</v>
      </c>
      <c r="O1221" s="12">
        <v>0</v>
      </c>
      <c r="P1221" s="35">
        <v>10</v>
      </c>
      <c r="Q1221" s="35">
        <v>50</v>
      </c>
      <c r="R1221" s="35">
        <v>600</v>
      </c>
      <c r="S1221" s="35">
        <v>75</v>
      </c>
      <c r="T1221" s="65">
        <v>1.67</v>
      </c>
      <c r="U1221" s="21">
        <v>0.18331503841931943</v>
      </c>
      <c r="V1221" s="37">
        <v>4.92</v>
      </c>
      <c r="W1221" s="37">
        <v>90.960000000000008</v>
      </c>
      <c r="X1221" s="35" t="s">
        <v>6</v>
      </c>
      <c r="Y1221" s="23" t="s">
        <v>6</v>
      </c>
      <c r="Z1221" s="21" t="s">
        <v>6</v>
      </c>
      <c r="AA1221" s="35" t="s">
        <v>6</v>
      </c>
      <c r="AB1221" s="35">
        <v>91.2</v>
      </c>
      <c r="AC1221" s="27" t="s">
        <v>226</v>
      </c>
    </row>
    <row r="1222" spans="1:29">
      <c r="A1222" s="35" t="s">
        <v>224</v>
      </c>
      <c r="B1222" s="38" t="s">
        <v>225</v>
      </c>
      <c r="C1222" s="49" t="s">
        <v>71</v>
      </c>
      <c r="D1222" s="36">
        <v>146.22999999999999</v>
      </c>
      <c r="E1222" s="12">
        <v>42.857142857142854</v>
      </c>
      <c r="F1222" s="21">
        <v>11.7</v>
      </c>
      <c r="G1222" s="35">
        <v>0</v>
      </c>
      <c r="H1222" s="35">
        <v>0</v>
      </c>
      <c r="I1222" s="35">
        <v>0</v>
      </c>
      <c r="J1222" s="35">
        <v>0</v>
      </c>
      <c r="K1222" s="35">
        <v>0</v>
      </c>
      <c r="L1222" s="35">
        <v>817</v>
      </c>
      <c r="M1222" s="35">
        <v>1.1000000000000001</v>
      </c>
      <c r="N1222" s="21">
        <v>5.71</v>
      </c>
      <c r="O1222" s="12">
        <v>0</v>
      </c>
      <c r="P1222" s="35">
        <v>10</v>
      </c>
      <c r="Q1222" s="35">
        <v>50</v>
      </c>
      <c r="R1222" s="35">
        <v>600</v>
      </c>
      <c r="S1222" s="35">
        <v>75</v>
      </c>
      <c r="T1222" s="65">
        <v>1.85</v>
      </c>
      <c r="U1222" s="21">
        <v>0.15811965811965814</v>
      </c>
      <c r="V1222" s="37">
        <v>5.1599999999999993</v>
      </c>
      <c r="W1222" s="37">
        <v>53.34</v>
      </c>
      <c r="X1222" s="35" t="s">
        <v>6</v>
      </c>
      <c r="Y1222" s="23" t="s">
        <v>6</v>
      </c>
      <c r="Z1222" s="21" t="s">
        <v>6</v>
      </c>
      <c r="AA1222" s="35" t="s">
        <v>6</v>
      </c>
      <c r="AB1222" s="35" t="s">
        <v>6</v>
      </c>
      <c r="AC1222" s="27" t="s">
        <v>226</v>
      </c>
    </row>
    <row r="1223" spans="1:29">
      <c r="A1223" s="35" t="s">
        <v>224</v>
      </c>
      <c r="B1223" s="38" t="s">
        <v>180</v>
      </c>
      <c r="C1223" s="35" t="s">
        <v>211</v>
      </c>
      <c r="D1223" s="35">
        <v>350</v>
      </c>
      <c r="E1223" s="12">
        <v>16.666666666666668</v>
      </c>
      <c r="F1223" s="21">
        <v>4.05</v>
      </c>
      <c r="G1223" s="35">
        <v>0</v>
      </c>
      <c r="H1223" s="35">
        <v>0</v>
      </c>
      <c r="I1223" s="35">
        <v>0</v>
      </c>
      <c r="J1223" s="35">
        <v>0</v>
      </c>
      <c r="K1223" s="35">
        <v>0</v>
      </c>
      <c r="L1223" s="35">
        <v>817</v>
      </c>
      <c r="M1223" s="35">
        <v>1.1000000000000001</v>
      </c>
      <c r="N1223" s="21">
        <v>5.71</v>
      </c>
      <c r="O1223" s="12">
        <v>0</v>
      </c>
      <c r="P1223" s="35">
        <v>10</v>
      </c>
      <c r="Q1223" s="35">
        <v>50</v>
      </c>
      <c r="R1223" s="35">
        <v>600</v>
      </c>
      <c r="S1223" s="35">
        <v>75</v>
      </c>
      <c r="T1223" s="65">
        <v>0.28000000000000003</v>
      </c>
      <c r="U1223" s="21">
        <v>6.913580246913581E-2</v>
      </c>
      <c r="V1223" s="37">
        <v>3.9540000000000002</v>
      </c>
      <c r="W1223" s="37">
        <v>113.16</v>
      </c>
      <c r="X1223" s="35" t="s">
        <v>6</v>
      </c>
      <c r="Y1223" s="23" t="s">
        <v>6</v>
      </c>
      <c r="Z1223" s="21" t="s">
        <v>6</v>
      </c>
      <c r="AA1223" s="35" t="s">
        <v>6</v>
      </c>
      <c r="AB1223" s="35" t="s">
        <v>6</v>
      </c>
      <c r="AC1223" s="27" t="s">
        <v>226</v>
      </c>
    </row>
    <row r="1224" spans="1:29">
      <c r="A1224" s="35" t="s">
        <v>224</v>
      </c>
      <c r="B1224" s="38" t="s">
        <v>180</v>
      </c>
      <c r="C1224" s="35" t="s">
        <v>211</v>
      </c>
      <c r="D1224" s="35">
        <v>350</v>
      </c>
      <c r="E1224" s="12">
        <v>28.571428571428577</v>
      </c>
      <c r="F1224" s="21">
        <v>6.94</v>
      </c>
      <c r="G1224" s="35">
        <v>0</v>
      </c>
      <c r="H1224" s="35">
        <v>0</v>
      </c>
      <c r="I1224" s="35">
        <v>0</v>
      </c>
      <c r="J1224" s="35">
        <v>0</v>
      </c>
      <c r="K1224" s="35">
        <v>0</v>
      </c>
      <c r="L1224" s="35">
        <v>817</v>
      </c>
      <c r="M1224" s="35">
        <v>1.1000000000000001</v>
      </c>
      <c r="N1224" s="21">
        <v>5.71</v>
      </c>
      <c r="O1224" s="12">
        <v>0</v>
      </c>
      <c r="P1224" s="35">
        <v>10</v>
      </c>
      <c r="Q1224" s="35">
        <v>50</v>
      </c>
      <c r="R1224" s="35">
        <v>600</v>
      </c>
      <c r="S1224" s="35">
        <v>75</v>
      </c>
      <c r="T1224" s="65">
        <v>0.68</v>
      </c>
      <c r="U1224" s="21">
        <v>9.7982708933717577E-2</v>
      </c>
      <c r="V1224" s="37">
        <v>4.2780000000000005</v>
      </c>
      <c r="W1224" s="37">
        <v>122.4</v>
      </c>
      <c r="X1224" s="35" t="s">
        <v>6</v>
      </c>
      <c r="Y1224" s="23" t="s">
        <v>6</v>
      </c>
      <c r="Z1224" s="21" t="s">
        <v>6</v>
      </c>
      <c r="AA1224" s="35" t="s">
        <v>6</v>
      </c>
      <c r="AB1224" s="35" t="s">
        <v>6</v>
      </c>
      <c r="AC1224" s="27" t="s">
        <v>226</v>
      </c>
    </row>
    <row r="1225" spans="1:29">
      <c r="A1225" s="35" t="s">
        <v>224</v>
      </c>
      <c r="B1225" s="38" t="s">
        <v>180</v>
      </c>
      <c r="C1225" s="35" t="s">
        <v>211</v>
      </c>
      <c r="D1225" s="35">
        <v>350</v>
      </c>
      <c r="E1225" s="12">
        <v>37.499999999999993</v>
      </c>
      <c r="F1225" s="21">
        <v>9.1</v>
      </c>
      <c r="G1225" s="35">
        <v>0</v>
      </c>
      <c r="H1225" s="35">
        <v>0</v>
      </c>
      <c r="I1225" s="35">
        <v>0</v>
      </c>
      <c r="J1225" s="35">
        <v>0</v>
      </c>
      <c r="K1225" s="35">
        <v>0</v>
      </c>
      <c r="L1225" s="35">
        <v>817</v>
      </c>
      <c r="M1225" s="35">
        <v>1.1000000000000001</v>
      </c>
      <c r="N1225" s="21">
        <v>5.71</v>
      </c>
      <c r="O1225" s="12">
        <v>0</v>
      </c>
      <c r="P1225" s="35">
        <v>10</v>
      </c>
      <c r="Q1225" s="35">
        <v>50</v>
      </c>
      <c r="R1225" s="35">
        <v>600</v>
      </c>
      <c r="S1225" s="35">
        <v>75</v>
      </c>
      <c r="T1225" s="65">
        <v>0.98</v>
      </c>
      <c r="U1225" s="21">
        <v>0.1076923076923077</v>
      </c>
      <c r="V1225" s="37">
        <v>3.282</v>
      </c>
      <c r="W1225" s="37">
        <v>144.60000000000002</v>
      </c>
      <c r="X1225" s="35" t="s">
        <v>6</v>
      </c>
      <c r="Y1225" s="23" t="s">
        <v>6</v>
      </c>
      <c r="Z1225" s="21" t="s">
        <v>6</v>
      </c>
      <c r="AA1225" s="35" t="s">
        <v>6</v>
      </c>
      <c r="AB1225" s="35" t="s">
        <v>6</v>
      </c>
      <c r="AC1225" s="27" t="s">
        <v>226</v>
      </c>
    </row>
    <row r="1226" spans="1:29">
      <c r="A1226" s="35" t="s">
        <v>224</v>
      </c>
      <c r="B1226" s="38" t="s">
        <v>180</v>
      </c>
      <c r="C1226" s="35" t="s">
        <v>211</v>
      </c>
      <c r="D1226" s="35">
        <v>350</v>
      </c>
      <c r="E1226" s="12">
        <v>42.857142857142854</v>
      </c>
      <c r="F1226" s="21">
        <v>10.4</v>
      </c>
      <c r="G1226" s="35">
        <v>0</v>
      </c>
      <c r="H1226" s="35">
        <v>0</v>
      </c>
      <c r="I1226" s="35">
        <v>0</v>
      </c>
      <c r="J1226" s="35">
        <v>0</v>
      </c>
      <c r="K1226" s="35">
        <v>0</v>
      </c>
      <c r="L1226" s="35">
        <v>817</v>
      </c>
      <c r="M1226" s="35">
        <v>1.1000000000000001</v>
      </c>
      <c r="N1226" s="21">
        <v>5.71</v>
      </c>
      <c r="O1226" s="12">
        <v>0</v>
      </c>
      <c r="P1226" s="35">
        <v>10</v>
      </c>
      <c r="Q1226" s="35">
        <v>50</v>
      </c>
      <c r="R1226" s="35">
        <v>600</v>
      </c>
      <c r="S1226" s="35">
        <v>75</v>
      </c>
      <c r="T1226" s="65">
        <v>1.3</v>
      </c>
      <c r="U1226" s="21">
        <v>0.125</v>
      </c>
      <c r="V1226" s="37">
        <v>4.0739999999999998</v>
      </c>
      <c r="W1226" s="37">
        <v>186.6</v>
      </c>
      <c r="X1226" s="35" t="s">
        <v>6</v>
      </c>
      <c r="Y1226" s="23" t="s">
        <v>6</v>
      </c>
      <c r="Z1226" s="21" t="s">
        <v>6</v>
      </c>
      <c r="AA1226" s="35" t="s">
        <v>6</v>
      </c>
      <c r="AB1226" s="35" t="s">
        <v>6</v>
      </c>
      <c r="AC1226" s="27" t="s">
        <v>226</v>
      </c>
    </row>
    <row r="1227" spans="1:29">
      <c r="A1227" s="35" t="s">
        <v>224</v>
      </c>
      <c r="B1227" s="38" t="s">
        <v>180</v>
      </c>
      <c r="C1227" s="35" t="s">
        <v>211</v>
      </c>
      <c r="D1227" s="35">
        <v>350</v>
      </c>
      <c r="E1227" s="12">
        <v>50</v>
      </c>
      <c r="F1227" s="21">
        <v>12.1</v>
      </c>
      <c r="G1227" s="35">
        <v>0</v>
      </c>
      <c r="H1227" s="35">
        <v>0</v>
      </c>
      <c r="I1227" s="35">
        <v>0</v>
      </c>
      <c r="J1227" s="35">
        <v>0</v>
      </c>
      <c r="K1227" s="35">
        <v>0</v>
      </c>
      <c r="L1227" s="35">
        <v>817</v>
      </c>
      <c r="M1227" s="35">
        <v>1.1000000000000001</v>
      </c>
      <c r="N1227" s="21">
        <v>5.71</v>
      </c>
      <c r="O1227" s="12">
        <v>0</v>
      </c>
      <c r="P1227" s="35">
        <v>10</v>
      </c>
      <c r="Q1227" s="35">
        <v>50</v>
      </c>
      <c r="R1227" s="35">
        <v>600</v>
      </c>
      <c r="S1227" s="35">
        <v>75</v>
      </c>
      <c r="T1227" s="65">
        <v>1.4</v>
      </c>
      <c r="U1227" s="21">
        <v>0.11570247933884296</v>
      </c>
      <c r="V1227" s="37">
        <v>4.0440000000000005</v>
      </c>
      <c r="W1227" s="37">
        <v>201.6</v>
      </c>
      <c r="X1227" s="35">
        <v>75</v>
      </c>
      <c r="Y1227" s="23" t="s">
        <v>6</v>
      </c>
      <c r="Z1227" s="21">
        <v>2.4193548387096793</v>
      </c>
      <c r="AA1227" s="35">
        <v>4</v>
      </c>
      <c r="AB1227" s="35">
        <v>92.5</v>
      </c>
      <c r="AC1227" s="27" t="s">
        <v>226</v>
      </c>
    </row>
    <row r="1228" spans="1:29">
      <c r="A1228" s="35" t="s">
        <v>227</v>
      </c>
      <c r="B1228" s="38" t="s">
        <v>29</v>
      </c>
      <c r="C1228" s="49" t="s">
        <v>71</v>
      </c>
      <c r="D1228" s="35">
        <v>189</v>
      </c>
      <c r="E1228" s="12">
        <v>65</v>
      </c>
      <c r="F1228" s="21">
        <v>17.195767195767196</v>
      </c>
      <c r="G1228" s="35">
        <v>0</v>
      </c>
      <c r="H1228" s="35">
        <v>0</v>
      </c>
      <c r="I1228" s="35">
        <v>0</v>
      </c>
      <c r="J1228" s="35">
        <v>0</v>
      </c>
      <c r="K1228" s="35">
        <v>0</v>
      </c>
      <c r="L1228" s="35">
        <v>1072</v>
      </c>
      <c r="M1228" s="35">
        <v>5.7</v>
      </c>
      <c r="N1228" s="35">
        <v>45</v>
      </c>
      <c r="O1228" s="12">
        <v>0</v>
      </c>
      <c r="P1228" s="35">
        <v>10</v>
      </c>
      <c r="Q1228" s="35">
        <v>200</v>
      </c>
      <c r="R1228" s="35">
        <v>30</v>
      </c>
      <c r="S1228" s="35">
        <v>75</v>
      </c>
      <c r="T1228" s="35">
        <v>4.22</v>
      </c>
      <c r="U1228" s="21">
        <v>0.24540923076923074</v>
      </c>
      <c r="V1228" s="37" t="s">
        <v>6</v>
      </c>
      <c r="W1228" s="37" t="s">
        <v>6</v>
      </c>
      <c r="X1228" s="35" t="s">
        <v>6</v>
      </c>
      <c r="Y1228" s="23" t="s">
        <v>6</v>
      </c>
      <c r="Z1228" s="21" t="s">
        <v>6</v>
      </c>
      <c r="AA1228" s="35" t="s">
        <v>6</v>
      </c>
      <c r="AB1228" s="35" t="s">
        <v>6</v>
      </c>
      <c r="AC1228" s="27" t="s">
        <v>206</v>
      </c>
    </row>
    <row r="1229" spans="1:29">
      <c r="A1229" s="35" t="s">
        <v>227</v>
      </c>
      <c r="B1229" s="38" t="s">
        <v>29</v>
      </c>
      <c r="C1229" s="49" t="s">
        <v>71</v>
      </c>
      <c r="D1229" s="35">
        <v>189</v>
      </c>
      <c r="E1229" s="12">
        <v>70</v>
      </c>
      <c r="F1229" s="21">
        <v>18.518518518518519</v>
      </c>
      <c r="G1229" s="35">
        <v>0</v>
      </c>
      <c r="H1229" s="35">
        <v>0</v>
      </c>
      <c r="I1229" s="35">
        <v>0</v>
      </c>
      <c r="J1229" s="35">
        <v>0</v>
      </c>
      <c r="K1229" s="35">
        <v>0</v>
      </c>
      <c r="L1229" s="35">
        <v>1072</v>
      </c>
      <c r="M1229" s="35">
        <v>5.7</v>
      </c>
      <c r="N1229" s="35">
        <v>45</v>
      </c>
      <c r="O1229" s="12">
        <v>0</v>
      </c>
      <c r="P1229" s="35">
        <v>10</v>
      </c>
      <c r="Q1229" s="35">
        <v>200</v>
      </c>
      <c r="R1229" s="35">
        <v>30</v>
      </c>
      <c r="S1229" s="35">
        <v>75</v>
      </c>
      <c r="T1229" s="35">
        <v>4.74</v>
      </c>
      <c r="U1229" s="21">
        <v>0.25596000000000002</v>
      </c>
      <c r="V1229" s="37" t="s">
        <v>6</v>
      </c>
      <c r="W1229" s="37" t="s">
        <v>6</v>
      </c>
      <c r="X1229" s="35" t="s">
        <v>6</v>
      </c>
      <c r="Y1229" s="23" t="s">
        <v>6</v>
      </c>
      <c r="Z1229" s="21" t="s">
        <v>6</v>
      </c>
      <c r="AA1229" s="35" t="s">
        <v>6</v>
      </c>
      <c r="AB1229" s="35" t="s">
        <v>6</v>
      </c>
      <c r="AC1229" s="27" t="s">
        <v>206</v>
      </c>
    </row>
    <row r="1230" spans="1:29">
      <c r="A1230" s="35" t="s">
        <v>227</v>
      </c>
      <c r="B1230" s="38" t="s">
        <v>29</v>
      </c>
      <c r="C1230" s="49" t="s">
        <v>71</v>
      </c>
      <c r="D1230" s="35">
        <v>189</v>
      </c>
      <c r="E1230" s="12">
        <v>75</v>
      </c>
      <c r="F1230" s="21">
        <v>19.841269841269842</v>
      </c>
      <c r="G1230" s="35">
        <v>0</v>
      </c>
      <c r="H1230" s="35">
        <v>0</v>
      </c>
      <c r="I1230" s="35">
        <v>0</v>
      </c>
      <c r="J1230" s="35">
        <v>0</v>
      </c>
      <c r="K1230" s="35">
        <v>0</v>
      </c>
      <c r="L1230" s="35">
        <v>1072</v>
      </c>
      <c r="M1230" s="35">
        <v>5.7</v>
      </c>
      <c r="N1230" s="35">
        <v>45</v>
      </c>
      <c r="O1230" s="12">
        <v>0</v>
      </c>
      <c r="P1230" s="35">
        <v>5</v>
      </c>
      <c r="Q1230" s="35">
        <v>200</v>
      </c>
      <c r="R1230" s="35">
        <v>30</v>
      </c>
      <c r="S1230" s="35">
        <v>75</v>
      </c>
      <c r="T1230" s="35">
        <v>4.5199999999999996</v>
      </c>
      <c r="U1230" s="21">
        <v>0.226296</v>
      </c>
      <c r="V1230" s="37">
        <v>1.4</v>
      </c>
      <c r="W1230" s="37">
        <v>4.04</v>
      </c>
      <c r="X1230" s="35" t="s">
        <v>6</v>
      </c>
      <c r="Y1230" s="23" t="s">
        <v>6</v>
      </c>
      <c r="Z1230" s="21" t="s">
        <v>6</v>
      </c>
      <c r="AA1230" s="35" t="s">
        <v>6</v>
      </c>
      <c r="AB1230" s="35" t="s">
        <v>6</v>
      </c>
      <c r="AC1230" s="27" t="s">
        <v>206</v>
      </c>
    </row>
    <row r="1231" spans="1:29">
      <c r="A1231" s="35" t="s">
        <v>227</v>
      </c>
      <c r="B1231" s="38" t="s">
        <v>29</v>
      </c>
      <c r="C1231" s="49" t="s">
        <v>71</v>
      </c>
      <c r="D1231" s="35">
        <v>189</v>
      </c>
      <c r="E1231" s="12">
        <v>75</v>
      </c>
      <c r="F1231" s="21">
        <v>19.841269841269842</v>
      </c>
      <c r="G1231" s="35">
        <v>0</v>
      </c>
      <c r="H1231" s="35">
        <v>0</v>
      </c>
      <c r="I1231" s="35">
        <v>0</v>
      </c>
      <c r="J1231" s="35">
        <v>0</v>
      </c>
      <c r="K1231" s="35">
        <v>0</v>
      </c>
      <c r="L1231" s="35">
        <v>1072</v>
      </c>
      <c r="M1231" s="35">
        <v>5.7</v>
      </c>
      <c r="N1231" s="35">
        <v>45</v>
      </c>
      <c r="O1231" s="12">
        <v>20</v>
      </c>
      <c r="P1231" s="35">
        <v>5</v>
      </c>
      <c r="Q1231" s="35">
        <v>200</v>
      </c>
      <c r="R1231" s="35">
        <v>30</v>
      </c>
      <c r="S1231" s="35">
        <v>75</v>
      </c>
      <c r="T1231" s="35">
        <v>4.12</v>
      </c>
      <c r="U1231" s="21">
        <v>0.207648</v>
      </c>
      <c r="V1231" s="37">
        <v>2.97</v>
      </c>
      <c r="W1231" s="37">
        <v>3.71</v>
      </c>
      <c r="X1231" s="35" t="s">
        <v>6</v>
      </c>
      <c r="Y1231" s="23" t="s">
        <v>6</v>
      </c>
      <c r="Z1231" s="21" t="s">
        <v>6</v>
      </c>
      <c r="AA1231" s="35" t="s">
        <v>6</v>
      </c>
      <c r="AB1231" s="35" t="s">
        <v>6</v>
      </c>
      <c r="AC1231" s="27" t="s">
        <v>206</v>
      </c>
    </row>
    <row r="1232" spans="1:29">
      <c r="A1232" s="35" t="s">
        <v>227</v>
      </c>
      <c r="B1232" s="38" t="s">
        <v>29</v>
      </c>
      <c r="C1232" s="49" t="s">
        <v>71</v>
      </c>
      <c r="D1232" s="35">
        <v>189</v>
      </c>
      <c r="E1232" s="12">
        <v>75</v>
      </c>
      <c r="F1232" s="21">
        <v>19.841269841269842</v>
      </c>
      <c r="G1232" s="35">
        <v>0</v>
      </c>
      <c r="H1232" s="35">
        <v>0</v>
      </c>
      <c r="I1232" s="35">
        <v>0</v>
      </c>
      <c r="J1232" s="35">
        <v>0</v>
      </c>
      <c r="K1232" s="35">
        <v>0</v>
      </c>
      <c r="L1232" s="35">
        <v>1072</v>
      </c>
      <c r="M1232" s="35">
        <v>5.7</v>
      </c>
      <c r="N1232" s="35">
        <v>45</v>
      </c>
      <c r="O1232" s="12">
        <v>0</v>
      </c>
      <c r="P1232" s="35">
        <v>10</v>
      </c>
      <c r="Q1232" s="35">
        <v>200</v>
      </c>
      <c r="R1232" s="35">
        <v>30</v>
      </c>
      <c r="S1232" s="35">
        <v>75</v>
      </c>
      <c r="T1232" s="35">
        <v>5.93</v>
      </c>
      <c r="U1232" s="21">
        <v>0.29685599999999995</v>
      </c>
      <c r="V1232" s="37">
        <v>2.94</v>
      </c>
      <c r="W1232" s="37">
        <v>1.82</v>
      </c>
      <c r="X1232" s="35">
        <v>100</v>
      </c>
      <c r="Y1232" s="23" t="s">
        <v>6</v>
      </c>
      <c r="Z1232" s="21">
        <v>32</v>
      </c>
      <c r="AA1232" s="35">
        <v>8</v>
      </c>
      <c r="AB1232" s="35" t="s">
        <v>6</v>
      </c>
      <c r="AC1232" s="27" t="s">
        <v>206</v>
      </c>
    </row>
    <row r="1233" spans="1:29">
      <c r="A1233" s="35" t="s">
        <v>227</v>
      </c>
      <c r="B1233" s="38" t="s">
        <v>29</v>
      </c>
      <c r="C1233" s="49" t="s">
        <v>71</v>
      </c>
      <c r="D1233" s="35">
        <v>189</v>
      </c>
      <c r="E1233" s="12">
        <v>75</v>
      </c>
      <c r="F1233" s="21">
        <v>19.841269841269842</v>
      </c>
      <c r="G1233" s="35">
        <v>0</v>
      </c>
      <c r="H1233" s="35">
        <v>0</v>
      </c>
      <c r="I1233" s="35">
        <v>0</v>
      </c>
      <c r="J1233" s="35">
        <v>0</v>
      </c>
      <c r="K1233" s="35">
        <v>0</v>
      </c>
      <c r="L1233" s="35">
        <v>1072</v>
      </c>
      <c r="M1233" s="35">
        <v>5.7</v>
      </c>
      <c r="N1233" s="35">
        <v>45</v>
      </c>
      <c r="O1233" s="12">
        <v>20</v>
      </c>
      <c r="P1233" s="35">
        <v>10</v>
      </c>
      <c r="Q1233" s="35">
        <v>200</v>
      </c>
      <c r="R1233" s="35">
        <v>30</v>
      </c>
      <c r="S1233" s="35">
        <v>75</v>
      </c>
      <c r="T1233" s="35">
        <v>6.53</v>
      </c>
      <c r="U1233" s="21">
        <v>0.32911200000000002</v>
      </c>
      <c r="V1233" s="37">
        <v>3.26</v>
      </c>
      <c r="W1233" s="37">
        <v>5.33</v>
      </c>
      <c r="X1233" s="35">
        <v>100</v>
      </c>
      <c r="Y1233" s="23" t="s">
        <v>6</v>
      </c>
      <c r="Z1233" s="21">
        <v>12</v>
      </c>
      <c r="AA1233" s="35">
        <v>8</v>
      </c>
      <c r="AB1233" s="35" t="s">
        <v>6</v>
      </c>
      <c r="AC1233" s="27" t="s">
        <v>206</v>
      </c>
    </row>
    <row r="1234" spans="1:29">
      <c r="A1234" s="35" t="s">
        <v>227</v>
      </c>
      <c r="B1234" s="38" t="s">
        <v>29</v>
      </c>
      <c r="C1234" s="49" t="s">
        <v>71</v>
      </c>
      <c r="D1234" s="35">
        <v>189</v>
      </c>
      <c r="E1234" s="12">
        <v>75</v>
      </c>
      <c r="F1234" s="21">
        <v>19.841269841269842</v>
      </c>
      <c r="G1234" s="35">
        <v>0</v>
      </c>
      <c r="H1234" s="35">
        <v>0</v>
      </c>
      <c r="I1234" s="35">
        <v>0</v>
      </c>
      <c r="J1234" s="35">
        <v>0</v>
      </c>
      <c r="K1234" s="35">
        <v>0</v>
      </c>
      <c r="L1234" s="35">
        <v>1072</v>
      </c>
      <c r="M1234" s="35">
        <v>5.7</v>
      </c>
      <c r="N1234" s="35">
        <v>45</v>
      </c>
      <c r="O1234" s="12">
        <v>0</v>
      </c>
      <c r="P1234" s="35">
        <v>20</v>
      </c>
      <c r="Q1234" s="35">
        <v>200</v>
      </c>
      <c r="R1234" s="35">
        <v>30</v>
      </c>
      <c r="S1234" s="35">
        <v>75</v>
      </c>
      <c r="T1234" s="65">
        <v>6.3146715408118697</v>
      </c>
      <c r="U1234" s="21">
        <v>0.31825944565691822</v>
      </c>
      <c r="V1234" s="37" t="s">
        <v>6</v>
      </c>
      <c r="W1234" s="37" t="s">
        <v>6</v>
      </c>
      <c r="X1234" s="35" t="s">
        <v>6</v>
      </c>
      <c r="Y1234" s="23" t="s">
        <v>6</v>
      </c>
      <c r="Z1234" s="21" t="s">
        <v>6</v>
      </c>
      <c r="AA1234" s="35" t="s">
        <v>6</v>
      </c>
      <c r="AB1234" s="35" t="s">
        <v>6</v>
      </c>
      <c r="AC1234" s="27" t="s">
        <v>206</v>
      </c>
    </row>
    <row r="1235" spans="1:29">
      <c r="A1235" s="35" t="s">
        <v>227</v>
      </c>
      <c r="B1235" s="38" t="s">
        <v>29</v>
      </c>
      <c r="C1235" s="49" t="s">
        <v>71</v>
      </c>
      <c r="D1235" s="35">
        <v>189</v>
      </c>
      <c r="E1235" s="12">
        <v>75</v>
      </c>
      <c r="F1235" s="21">
        <v>19.841269841269842</v>
      </c>
      <c r="G1235" s="35">
        <v>0</v>
      </c>
      <c r="H1235" s="35">
        <v>0</v>
      </c>
      <c r="I1235" s="35">
        <v>0</v>
      </c>
      <c r="J1235" s="35">
        <v>0</v>
      </c>
      <c r="K1235" s="35">
        <v>0</v>
      </c>
      <c r="L1235" s="35">
        <v>1072</v>
      </c>
      <c r="M1235" s="35">
        <v>5.7</v>
      </c>
      <c r="N1235" s="35">
        <v>45</v>
      </c>
      <c r="O1235" s="12">
        <v>0</v>
      </c>
      <c r="P1235" s="35">
        <v>30</v>
      </c>
      <c r="Q1235" s="35">
        <v>200</v>
      </c>
      <c r="R1235" s="35">
        <v>30</v>
      </c>
      <c r="S1235" s="35">
        <v>75</v>
      </c>
      <c r="T1235" s="65">
        <v>6.7155254255783499</v>
      </c>
      <c r="U1235" s="21">
        <v>0.33846248144914881</v>
      </c>
      <c r="V1235" s="37" t="s">
        <v>6</v>
      </c>
      <c r="W1235" s="37" t="s">
        <v>6</v>
      </c>
      <c r="X1235" s="35" t="s">
        <v>6</v>
      </c>
      <c r="Y1235" s="23" t="s">
        <v>6</v>
      </c>
      <c r="Z1235" s="21" t="s">
        <v>6</v>
      </c>
      <c r="AA1235" s="35" t="s">
        <v>6</v>
      </c>
      <c r="AB1235" s="35" t="s">
        <v>6</v>
      </c>
      <c r="AC1235" s="27" t="s">
        <v>206</v>
      </c>
    </row>
    <row r="1236" spans="1:29">
      <c r="A1236" s="35" t="s">
        <v>227</v>
      </c>
      <c r="B1236" s="38" t="s">
        <v>29</v>
      </c>
      <c r="C1236" s="49" t="s">
        <v>71</v>
      </c>
      <c r="D1236" s="35">
        <v>189</v>
      </c>
      <c r="E1236" s="12">
        <v>75</v>
      </c>
      <c r="F1236" s="21">
        <v>19.841269841269842</v>
      </c>
      <c r="G1236" s="35">
        <v>0</v>
      </c>
      <c r="H1236" s="35">
        <v>0</v>
      </c>
      <c r="I1236" s="35">
        <v>0</v>
      </c>
      <c r="J1236" s="35">
        <v>0</v>
      </c>
      <c r="K1236" s="35">
        <v>0</v>
      </c>
      <c r="L1236" s="35">
        <v>1072</v>
      </c>
      <c r="M1236" s="35">
        <v>5.7</v>
      </c>
      <c r="N1236" s="35">
        <v>45</v>
      </c>
      <c r="O1236" s="12">
        <v>0</v>
      </c>
      <c r="P1236" s="35">
        <v>50</v>
      </c>
      <c r="Q1236" s="35">
        <v>200</v>
      </c>
      <c r="R1236" s="35">
        <v>30</v>
      </c>
      <c r="S1236" s="35">
        <v>75</v>
      </c>
      <c r="T1236" s="65">
        <v>6.7543185290266203</v>
      </c>
      <c r="U1236" s="21">
        <v>0.34041765386294165</v>
      </c>
      <c r="V1236" s="37" t="s">
        <v>6</v>
      </c>
      <c r="W1236" s="37" t="s">
        <v>6</v>
      </c>
      <c r="X1236" s="35" t="s">
        <v>6</v>
      </c>
      <c r="Y1236" s="23" t="s">
        <v>6</v>
      </c>
      <c r="Z1236" s="21" t="s">
        <v>6</v>
      </c>
      <c r="AA1236" s="35" t="s">
        <v>6</v>
      </c>
      <c r="AB1236" s="35" t="s">
        <v>6</v>
      </c>
      <c r="AC1236" s="27" t="s">
        <v>206</v>
      </c>
    </row>
    <row r="1237" spans="1:29">
      <c r="A1237" s="35" t="s">
        <v>227</v>
      </c>
      <c r="B1237" s="38" t="s">
        <v>29</v>
      </c>
      <c r="C1237" s="49" t="s">
        <v>71</v>
      </c>
      <c r="D1237" s="35">
        <v>189</v>
      </c>
      <c r="E1237" s="12">
        <v>75</v>
      </c>
      <c r="F1237" s="21">
        <v>19.841269841269842</v>
      </c>
      <c r="G1237" s="35">
        <v>0</v>
      </c>
      <c r="H1237" s="35">
        <v>0</v>
      </c>
      <c r="I1237" s="35">
        <v>0</v>
      </c>
      <c r="J1237" s="35">
        <v>0</v>
      </c>
      <c r="K1237" s="35">
        <v>0</v>
      </c>
      <c r="L1237" s="35">
        <v>1072</v>
      </c>
      <c r="M1237" s="35">
        <v>5.7</v>
      </c>
      <c r="N1237" s="35">
        <v>45</v>
      </c>
      <c r="O1237" s="12">
        <v>0</v>
      </c>
      <c r="P1237" s="35">
        <v>70</v>
      </c>
      <c r="Q1237" s="35">
        <v>200</v>
      </c>
      <c r="R1237" s="35">
        <v>30</v>
      </c>
      <c r="S1237" s="35">
        <v>75</v>
      </c>
      <c r="T1237" s="65">
        <v>6.7672495635093801</v>
      </c>
      <c r="U1237" s="21">
        <v>0.34106937800087272</v>
      </c>
      <c r="V1237" s="37" t="s">
        <v>6</v>
      </c>
      <c r="W1237" s="37" t="s">
        <v>6</v>
      </c>
      <c r="X1237" s="35" t="s">
        <v>6</v>
      </c>
      <c r="Y1237" s="23" t="s">
        <v>6</v>
      </c>
      <c r="Z1237" s="21" t="s">
        <v>6</v>
      </c>
      <c r="AA1237" s="35" t="s">
        <v>6</v>
      </c>
      <c r="AB1237" s="35" t="s">
        <v>6</v>
      </c>
      <c r="AC1237" s="27" t="s">
        <v>206</v>
      </c>
    </row>
    <row r="1238" spans="1:29">
      <c r="A1238" s="35" t="s">
        <v>227</v>
      </c>
      <c r="B1238" s="38" t="s">
        <v>29</v>
      </c>
      <c r="C1238" s="49" t="s">
        <v>71</v>
      </c>
      <c r="D1238" s="35">
        <v>189</v>
      </c>
      <c r="E1238" s="12">
        <v>80</v>
      </c>
      <c r="F1238" s="21">
        <v>21.164021164021165</v>
      </c>
      <c r="G1238" s="35">
        <v>0</v>
      </c>
      <c r="H1238" s="35">
        <v>0</v>
      </c>
      <c r="I1238" s="35">
        <v>0</v>
      </c>
      <c r="J1238" s="35">
        <v>0</v>
      </c>
      <c r="K1238" s="35">
        <v>0</v>
      </c>
      <c r="L1238" s="35">
        <v>1072</v>
      </c>
      <c r="M1238" s="35">
        <v>5.7</v>
      </c>
      <c r="N1238" s="35">
        <v>45</v>
      </c>
      <c r="O1238" s="12">
        <v>0</v>
      </c>
      <c r="P1238" s="35">
        <v>10</v>
      </c>
      <c r="Q1238" s="35">
        <v>200</v>
      </c>
      <c r="R1238" s="35">
        <v>30</v>
      </c>
      <c r="S1238" s="35">
        <v>75</v>
      </c>
      <c r="T1238" s="35">
        <v>4.05</v>
      </c>
      <c r="U1238" s="21">
        <v>0.19136249999999999</v>
      </c>
      <c r="V1238" s="37" t="s">
        <v>6</v>
      </c>
      <c r="W1238" s="37" t="s">
        <v>6</v>
      </c>
      <c r="X1238" s="35" t="s">
        <v>6</v>
      </c>
      <c r="Y1238" s="23" t="s">
        <v>6</v>
      </c>
      <c r="Z1238" s="21" t="s">
        <v>6</v>
      </c>
      <c r="AA1238" s="35" t="s">
        <v>6</v>
      </c>
      <c r="AB1238" s="35" t="s">
        <v>6</v>
      </c>
      <c r="AC1238" s="27" t="s">
        <v>206</v>
      </c>
    </row>
    <row r="1239" spans="1:29">
      <c r="A1239" s="35" t="s">
        <v>227</v>
      </c>
      <c r="B1239" s="38" t="s">
        <v>161</v>
      </c>
      <c r="C1239" s="35" t="s">
        <v>60</v>
      </c>
      <c r="D1239" s="35">
        <v>600</v>
      </c>
      <c r="E1239" s="12">
        <v>65</v>
      </c>
      <c r="F1239" s="21">
        <v>15.17</v>
      </c>
      <c r="G1239" s="35">
        <v>0</v>
      </c>
      <c r="H1239" s="35">
        <v>0</v>
      </c>
      <c r="I1239" s="35">
        <v>0</v>
      </c>
      <c r="J1239" s="35">
        <v>0</v>
      </c>
      <c r="K1239" s="35">
        <v>0</v>
      </c>
      <c r="L1239" s="35">
        <v>1072</v>
      </c>
      <c r="M1239" s="35">
        <v>5.7</v>
      </c>
      <c r="N1239" s="35">
        <v>45</v>
      </c>
      <c r="O1239" s="12">
        <v>0</v>
      </c>
      <c r="P1239" s="35">
        <v>10</v>
      </c>
      <c r="Q1239" s="35">
        <v>200</v>
      </c>
      <c r="R1239" s="35">
        <v>30</v>
      </c>
      <c r="S1239" s="35">
        <v>75</v>
      </c>
      <c r="T1239" s="35">
        <v>4.0599999999999996</v>
      </c>
      <c r="U1239" s="26">
        <v>0.26769999999999999</v>
      </c>
      <c r="V1239" s="37" t="s">
        <v>6</v>
      </c>
      <c r="W1239" s="37" t="s">
        <v>6</v>
      </c>
      <c r="X1239" s="35" t="s">
        <v>6</v>
      </c>
      <c r="Y1239" s="23" t="s">
        <v>6</v>
      </c>
      <c r="Z1239" s="21" t="s">
        <v>6</v>
      </c>
      <c r="AA1239" s="35" t="s">
        <v>6</v>
      </c>
      <c r="AB1239" s="35" t="s">
        <v>6</v>
      </c>
      <c r="AC1239" s="27" t="s">
        <v>206</v>
      </c>
    </row>
    <row r="1240" spans="1:29">
      <c r="A1240" s="35" t="s">
        <v>227</v>
      </c>
      <c r="B1240" s="38" t="s">
        <v>161</v>
      </c>
      <c r="C1240" s="35" t="s">
        <v>60</v>
      </c>
      <c r="D1240" s="35">
        <v>600</v>
      </c>
      <c r="E1240" s="12">
        <v>70</v>
      </c>
      <c r="F1240" s="21">
        <v>16.329999999999998</v>
      </c>
      <c r="G1240" s="35">
        <v>0</v>
      </c>
      <c r="H1240" s="35">
        <v>0</v>
      </c>
      <c r="I1240" s="35">
        <v>0</v>
      </c>
      <c r="J1240" s="35">
        <v>0</v>
      </c>
      <c r="K1240" s="35">
        <v>0</v>
      </c>
      <c r="L1240" s="35">
        <v>1072</v>
      </c>
      <c r="M1240" s="35">
        <v>5.7</v>
      </c>
      <c r="N1240" s="35">
        <v>45</v>
      </c>
      <c r="O1240" s="12">
        <v>0</v>
      </c>
      <c r="P1240" s="35">
        <v>10</v>
      </c>
      <c r="Q1240" s="35">
        <v>200</v>
      </c>
      <c r="R1240" s="35">
        <v>30</v>
      </c>
      <c r="S1240" s="35">
        <v>75</v>
      </c>
      <c r="T1240" s="35">
        <v>4.26</v>
      </c>
      <c r="U1240" s="26">
        <v>0.26079999999999998</v>
      </c>
      <c r="V1240" s="37" t="s">
        <v>6</v>
      </c>
      <c r="W1240" s="37" t="s">
        <v>6</v>
      </c>
      <c r="X1240" s="35" t="s">
        <v>6</v>
      </c>
      <c r="Y1240" s="23" t="s">
        <v>6</v>
      </c>
      <c r="Z1240" s="21" t="s">
        <v>6</v>
      </c>
      <c r="AA1240" s="35" t="s">
        <v>6</v>
      </c>
      <c r="AB1240" s="35" t="s">
        <v>6</v>
      </c>
      <c r="AC1240" s="27" t="s">
        <v>206</v>
      </c>
    </row>
    <row r="1241" spans="1:29">
      <c r="A1241" s="35" t="s">
        <v>227</v>
      </c>
      <c r="B1241" s="38" t="s">
        <v>161</v>
      </c>
      <c r="C1241" s="35" t="s">
        <v>60</v>
      </c>
      <c r="D1241" s="35">
        <v>600</v>
      </c>
      <c r="E1241" s="12">
        <v>75</v>
      </c>
      <c r="F1241" s="21">
        <v>17.5</v>
      </c>
      <c r="G1241" s="35">
        <v>0</v>
      </c>
      <c r="H1241" s="35">
        <v>0</v>
      </c>
      <c r="I1241" s="35">
        <v>0</v>
      </c>
      <c r="J1241" s="35">
        <v>0</v>
      </c>
      <c r="K1241" s="35">
        <v>0</v>
      </c>
      <c r="L1241" s="35">
        <v>1072</v>
      </c>
      <c r="M1241" s="35">
        <v>5.7</v>
      </c>
      <c r="N1241" s="35">
        <v>45</v>
      </c>
      <c r="O1241" s="12">
        <v>0</v>
      </c>
      <c r="P1241" s="35">
        <v>5</v>
      </c>
      <c r="Q1241" s="35">
        <v>200</v>
      </c>
      <c r="R1241" s="35">
        <v>30</v>
      </c>
      <c r="S1241" s="35">
        <v>75</v>
      </c>
      <c r="T1241" s="35">
        <v>4.93</v>
      </c>
      <c r="U1241" s="26">
        <v>0.2331</v>
      </c>
      <c r="V1241" s="37">
        <v>1.9750000000000001</v>
      </c>
      <c r="W1241" s="37">
        <v>3.5</v>
      </c>
      <c r="X1241" s="35" t="s">
        <v>6</v>
      </c>
      <c r="Y1241" s="23" t="s">
        <v>6</v>
      </c>
      <c r="Z1241" s="21" t="s">
        <v>6</v>
      </c>
      <c r="AA1241" s="35" t="s">
        <v>6</v>
      </c>
      <c r="AB1241" s="35" t="s">
        <v>6</v>
      </c>
      <c r="AC1241" s="27" t="s">
        <v>206</v>
      </c>
    </row>
    <row r="1242" spans="1:29">
      <c r="A1242" s="35" t="s">
        <v>227</v>
      </c>
      <c r="B1242" s="38" t="s">
        <v>161</v>
      </c>
      <c r="C1242" s="35" t="s">
        <v>60</v>
      </c>
      <c r="D1242" s="35">
        <v>600</v>
      </c>
      <c r="E1242" s="12">
        <v>75</v>
      </c>
      <c r="F1242" s="21">
        <v>17.5</v>
      </c>
      <c r="G1242" s="35">
        <v>0</v>
      </c>
      <c r="H1242" s="35">
        <v>0</v>
      </c>
      <c r="I1242" s="35">
        <v>0</v>
      </c>
      <c r="J1242" s="35">
        <v>0</v>
      </c>
      <c r="K1242" s="35">
        <v>0</v>
      </c>
      <c r="L1242" s="35">
        <v>1072</v>
      </c>
      <c r="M1242" s="35">
        <v>5.7</v>
      </c>
      <c r="N1242" s="35">
        <v>45</v>
      </c>
      <c r="O1242" s="12">
        <v>20</v>
      </c>
      <c r="P1242" s="35">
        <v>5</v>
      </c>
      <c r="Q1242" s="35">
        <v>200</v>
      </c>
      <c r="R1242" s="35">
        <v>30</v>
      </c>
      <c r="S1242" s="35">
        <v>75</v>
      </c>
      <c r="T1242" s="35">
        <v>3.84</v>
      </c>
      <c r="U1242" s="26">
        <v>0.21940000000000001</v>
      </c>
      <c r="V1242" s="37">
        <v>1.92</v>
      </c>
      <c r="W1242" s="37">
        <v>3.45</v>
      </c>
      <c r="X1242" s="35" t="s">
        <v>6</v>
      </c>
      <c r="Y1242" s="23" t="s">
        <v>6</v>
      </c>
      <c r="Z1242" s="21" t="s">
        <v>6</v>
      </c>
      <c r="AA1242" s="35" t="s">
        <v>6</v>
      </c>
      <c r="AB1242" s="35" t="s">
        <v>6</v>
      </c>
      <c r="AC1242" s="27" t="s">
        <v>206</v>
      </c>
    </row>
    <row r="1243" spans="1:29">
      <c r="A1243" s="35" t="s">
        <v>227</v>
      </c>
      <c r="B1243" s="38" t="s">
        <v>161</v>
      </c>
      <c r="C1243" s="35" t="s">
        <v>60</v>
      </c>
      <c r="D1243" s="35">
        <v>600</v>
      </c>
      <c r="E1243" s="12">
        <v>75</v>
      </c>
      <c r="F1243" s="21">
        <v>17.5</v>
      </c>
      <c r="G1243" s="35">
        <v>0</v>
      </c>
      <c r="H1243" s="35">
        <v>0</v>
      </c>
      <c r="I1243" s="35">
        <v>0</v>
      </c>
      <c r="J1243" s="35">
        <v>0</v>
      </c>
      <c r="K1243" s="35">
        <v>0</v>
      </c>
      <c r="L1243" s="35">
        <v>1072</v>
      </c>
      <c r="M1243" s="35">
        <v>5.7</v>
      </c>
      <c r="N1243" s="35">
        <v>45</v>
      </c>
      <c r="O1243" s="12">
        <v>0</v>
      </c>
      <c r="P1243" s="35">
        <v>10</v>
      </c>
      <c r="Q1243" s="35">
        <v>200</v>
      </c>
      <c r="R1243" s="35">
        <v>30</v>
      </c>
      <c r="S1243" s="35">
        <v>75</v>
      </c>
      <c r="T1243" s="35">
        <v>4.7</v>
      </c>
      <c r="U1243" s="26">
        <v>0.26629999999999998</v>
      </c>
      <c r="V1243" s="37">
        <v>2.33</v>
      </c>
      <c r="W1243" s="37">
        <v>3.68</v>
      </c>
      <c r="X1243" s="35">
        <v>100</v>
      </c>
      <c r="Y1243" s="23" t="s">
        <v>6</v>
      </c>
      <c r="Z1243" s="21">
        <v>3.7186897880539425</v>
      </c>
      <c r="AA1243" s="35">
        <v>8</v>
      </c>
      <c r="AB1243" s="35" t="s">
        <v>6</v>
      </c>
      <c r="AC1243" s="27" t="s">
        <v>206</v>
      </c>
    </row>
    <row r="1244" spans="1:29">
      <c r="A1244" s="35" t="s">
        <v>227</v>
      </c>
      <c r="B1244" s="38" t="s">
        <v>161</v>
      </c>
      <c r="C1244" s="35" t="s">
        <v>60</v>
      </c>
      <c r="D1244" s="35">
        <v>600</v>
      </c>
      <c r="E1244" s="12">
        <v>75</v>
      </c>
      <c r="F1244" s="21">
        <v>17.5</v>
      </c>
      <c r="G1244" s="35">
        <v>0</v>
      </c>
      <c r="H1244" s="35">
        <v>0</v>
      </c>
      <c r="I1244" s="35">
        <v>0</v>
      </c>
      <c r="J1244" s="35">
        <v>0</v>
      </c>
      <c r="K1244" s="35">
        <v>0</v>
      </c>
      <c r="L1244" s="35">
        <v>1072</v>
      </c>
      <c r="M1244" s="35">
        <v>5.7</v>
      </c>
      <c r="N1244" s="35">
        <v>45</v>
      </c>
      <c r="O1244" s="12">
        <v>20</v>
      </c>
      <c r="P1244" s="35">
        <v>10</v>
      </c>
      <c r="Q1244" s="35">
        <v>200</v>
      </c>
      <c r="R1244" s="35">
        <v>30</v>
      </c>
      <c r="S1244" s="35">
        <v>75</v>
      </c>
      <c r="T1244" s="35">
        <v>5.21</v>
      </c>
      <c r="U1244" s="26">
        <v>0.29770000000000002</v>
      </c>
      <c r="V1244" s="37">
        <v>2.605</v>
      </c>
      <c r="W1244" s="37">
        <v>5.53</v>
      </c>
      <c r="X1244" s="35">
        <v>100</v>
      </c>
      <c r="Y1244" s="23" t="s">
        <v>6</v>
      </c>
      <c r="Z1244" s="21">
        <v>3.5132819194515976</v>
      </c>
      <c r="AA1244" s="35">
        <v>8</v>
      </c>
      <c r="AB1244" s="35" t="s">
        <v>6</v>
      </c>
      <c r="AC1244" s="27" t="s">
        <v>206</v>
      </c>
    </row>
    <row r="1245" spans="1:29">
      <c r="A1245" s="35" t="s">
        <v>227</v>
      </c>
      <c r="B1245" s="38" t="s">
        <v>161</v>
      </c>
      <c r="C1245" s="35" t="s">
        <v>60</v>
      </c>
      <c r="D1245" s="35">
        <v>600</v>
      </c>
      <c r="E1245" s="12">
        <v>75</v>
      </c>
      <c r="F1245" s="21">
        <v>17.5</v>
      </c>
      <c r="G1245" s="35">
        <v>0</v>
      </c>
      <c r="H1245" s="35">
        <v>0</v>
      </c>
      <c r="I1245" s="35">
        <v>0</v>
      </c>
      <c r="J1245" s="35">
        <v>0</v>
      </c>
      <c r="K1245" s="35">
        <v>0</v>
      </c>
      <c r="L1245" s="35">
        <v>1072</v>
      </c>
      <c r="M1245" s="35">
        <v>5.7</v>
      </c>
      <c r="N1245" s="35">
        <v>45</v>
      </c>
      <c r="O1245" s="12">
        <v>0</v>
      </c>
      <c r="P1245" s="35">
        <v>20</v>
      </c>
      <c r="Q1245" s="35">
        <v>200</v>
      </c>
      <c r="R1245" s="35">
        <v>30</v>
      </c>
      <c r="S1245" s="35">
        <v>75</v>
      </c>
      <c r="T1245" s="65">
        <v>4.9569129201222104</v>
      </c>
      <c r="U1245" s="26">
        <v>0.2833</v>
      </c>
      <c r="V1245" s="37" t="s">
        <v>6</v>
      </c>
      <c r="W1245" s="37" t="s">
        <v>6</v>
      </c>
      <c r="X1245" s="35" t="s">
        <v>6</v>
      </c>
      <c r="Y1245" s="23" t="s">
        <v>6</v>
      </c>
      <c r="Z1245" s="21" t="s">
        <v>6</v>
      </c>
      <c r="AA1245" s="35" t="s">
        <v>6</v>
      </c>
      <c r="AB1245" s="35" t="s">
        <v>6</v>
      </c>
      <c r="AC1245" s="27" t="s">
        <v>206</v>
      </c>
    </row>
    <row r="1246" spans="1:29">
      <c r="A1246" s="35" t="s">
        <v>227</v>
      </c>
      <c r="B1246" s="38" t="s">
        <v>161</v>
      </c>
      <c r="C1246" s="35" t="s">
        <v>60</v>
      </c>
      <c r="D1246" s="35">
        <v>600</v>
      </c>
      <c r="E1246" s="12">
        <v>75</v>
      </c>
      <c r="F1246" s="21">
        <v>17.5</v>
      </c>
      <c r="G1246" s="35">
        <v>0</v>
      </c>
      <c r="H1246" s="35">
        <v>0</v>
      </c>
      <c r="I1246" s="35">
        <v>0</v>
      </c>
      <c r="J1246" s="35">
        <v>0</v>
      </c>
      <c r="K1246" s="35">
        <v>0</v>
      </c>
      <c r="L1246" s="35">
        <v>1072</v>
      </c>
      <c r="M1246" s="35">
        <v>5.7</v>
      </c>
      <c r="N1246" s="35">
        <v>45</v>
      </c>
      <c r="O1246" s="12">
        <v>0</v>
      </c>
      <c r="P1246" s="35">
        <v>30</v>
      </c>
      <c r="Q1246" s="35">
        <v>200</v>
      </c>
      <c r="R1246" s="35">
        <v>30</v>
      </c>
      <c r="S1246" s="35">
        <v>75</v>
      </c>
      <c r="T1246" s="65">
        <v>5.22524006983849</v>
      </c>
      <c r="U1246" s="26">
        <v>0.29859999999999998</v>
      </c>
      <c r="V1246" s="37" t="s">
        <v>6</v>
      </c>
      <c r="W1246" s="37" t="s">
        <v>6</v>
      </c>
      <c r="X1246" s="35" t="s">
        <v>6</v>
      </c>
      <c r="Y1246" s="23" t="s">
        <v>6</v>
      </c>
      <c r="Z1246" s="21" t="s">
        <v>6</v>
      </c>
      <c r="AA1246" s="35" t="s">
        <v>6</v>
      </c>
      <c r="AB1246" s="35" t="s">
        <v>6</v>
      </c>
      <c r="AC1246" s="27" t="s">
        <v>206</v>
      </c>
    </row>
    <row r="1247" spans="1:29">
      <c r="A1247" s="35" t="s">
        <v>227</v>
      </c>
      <c r="B1247" s="38" t="s">
        <v>161</v>
      </c>
      <c r="C1247" s="35" t="s">
        <v>60</v>
      </c>
      <c r="D1247" s="35">
        <v>600</v>
      </c>
      <c r="E1247" s="12">
        <v>75</v>
      </c>
      <c r="F1247" s="21">
        <v>17.5</v>
      </c>
      <c r="G1247" s="35">
        <v>0</v>
      </c>
      <c r="H1247" s="35">
        <v>0</v>
      </c>
      <c r="I1247" s="35">
        <v>0</v>
      </c>
      <c r="J1247" s="35">
        <v>0</v>
      </c>
      <c r="K1247" s="35">
        <v>0</v>
      </c>
      <c r="L1247" s="35">
        <v>1072</v>
      </c>
      <c r="M1247" s="35">
        <v>5.7</v>
      </c>
      <c r="N1247" s="35">
        <v>45</v>
      </c>
      <c r="O1247" s="12">
        <v>0</v>
      </c>
      <c r="P1247" s="35">
        <v>50</v>
      </c>
      <c r="Q1247" s="35">
        <v>200</v>
      </c>
      <c r="R1247" s="35">
        <v>30</v>
      </c>
      <c r="S1247" s="35">
        <v>75</v>
      </c>
      <c r="T1247" s="65">
        <v>5.3319047359231702</v>
      </c>
      <c r="U1247" s="26">
        <v>0.30470000000000003</v>
      </c>
      <c r="V1247" s="37" t="s">
        <v>6</v>
      </c>
      <c r="W1247" s="37" t="s">
        <v>6</v>
      </c>
      <c r="X1247" s="35" t="s">
        <v>6</v>
      </c>
      <c r="Y1247" s="23" t="s">
        <v>6</v>
      </c>
      <c r="Z1247" s="21" t="s">
        <v>6</v>
      </c>
      <c r="AA1247" s="35" t="s">
        <v>6</v>
      </c>
      <c r="AB1247" s="35" t="s">
        <v>6</v>
      </c>
      <c r="AC1247" s="27" t="s">
        <v>206</v>
      </c>
    </row>
    <row r="1248" spans="1:29">
      <c r="A1248" s="35" t="s">
        <v>227</v>
      </c>
      <c r="B1248" s="38" t="s">
        <v>161</v>
      </c>
      <c r="C1248" s="35" t="s">
        <v>60</v>
      </c>
      <c r="D1248" s="35">
        <v>600</v>
      </c>
      <c r="E1248" s="12">
        <v>75</v>
      </c>
      <c r="F1248" s="21">
        <v>17.5</v>
      </c>
      <c r="G1248" s="35">
        <v>0</v>
      </c>
      <c r="H1248" s="35">
        <v>0</v>
      </c>
      <c r="I1248" s="35">
        <v>0</v>
      </c>
      <c r="J1248" s="35">
        <v>0</v>
      </c>
      <c r="K1248" s="35">
        <v>0</v>
      </c>
      <c r="L1248" s="35">
        <v>1072</v>
      </c>
      <c r="M1248" s="35">
        <v>5.7</v>
      </c>
      <c r="N1248" s="35">
        <v>45</v>
      </c>
      <c r="O1248" s="12">
        <v>0</v>
      </c>
      <c r="P1248" s="35">
        <v>70</v>
      </c>
      <c r="Q1248" s="35">
        <v>200</v>
      </c>
      <c r="R1248" s="35">
        <v>30</v>
      </c>
      <c r="S1248" s="35">
        <v>75</v>
      </c>
      <c r="T1248" s="65">
        <v>5.3351374945438597</v>
      </c>
      <c r="U1248" s="26">
        <v>0.3049</v>
      </c>
      <c r="V1248" s="37" t="s">
        <v>6</v>
      </c>
      <c r="W1248" s="37" t="s">
        <v>6</v>
      </c>
      <c r="X1248" s="35" t="s">
        <v>6</v>
      </c>
      <c r="Y1248" s="23" t="s">
        <v>6</v>
      </c>
      <c r="Z1248" s="21" t="s">
        <v>6</v>
      </c>
      <c r="AA1248" s="35" t="s">
        <v>6</v>
      </c>
      <c r="AB1248" s="35" t="s">
        <v>6</v>
      </c>
      <c r="AC1248" s="27" t="s">
        <v>206</v>
      </c>
    </row>
    <row r="1249" spans="1:29">
      <c r="A1249" s="35" t="s">
        <v>227</v>
      </c>
      <c r="B1249" s="38" t="s">
        <v>161</v>
      </c>
      <c r="C1249" s="35" t="s">
        <v>60</v>
      </c>
      <c r="D1249" s="35">
        <v>600</v>
      </c>
      <c r="E1249" s="12">
        <v>80</v>
      </c>
      <c r="F1249" s="21">
        <v>18.670000000000002</v>
      </c>
      <c r="G1249" s="35">
        <v>0</v>
      </c>
      <c r="H1249" s="35">
        <v>0</v>
      </c>
      <c r="I1249" s="35">
        <v>0</v>
      </c>
      <c r="J1249" s="35">
        <v>0</v>
      </c>
      <c r="K1249" s="35">
        <v>0</v>
      </c>
      <c r="L1249" s="35">
        <v>1072</v>
      </c>
      <c r="M1249" s="35">
        <v>5.7</v>
      </c>
      <c r="N1249" s="35">
        <v>45</v>
      </c>
      <c r="O1249" s="12">
        <v>0</v>
      </c>
      <c r="P1249" s="35">
        <v>10</v>
      </c>
      <c r="Q1249" s="35">
        <v>200</v>
      </c>
      <c r="R1249" s="35">
        <v>30</v>
      </c>
      <c r="S1249" s="35">
        <v>75</v>
      </c>
      <c r="T1249" s="35">
        <v>3.67</v>
      </c>
      <c r="U1249" s="26">
        <v>0.1966</v>
      </c>
      <c r="V1249" s="37" t="s">
        <v>6</v>
      </c>
      <c r="W1249" s="37" t="s">
        <v>6</v>
      </c>
      <c r="X1249" s="35" t="s">
        <v>6</v>
      </c>
      <c r="Y1249" s="23" t="s">
        <v>6</v>
      </c>
      <c r="Z1249" s="21" t="s">
        <v>6</v>
      </c>
      <c r="AA1249" s="35" t="s">
        <v>6</v>
      </c>
      <c r="AB1249" s="35" t="s">
        <v>6</v>
      </c>
      <c r="AC1249" s="27" t="s">
        <v>206</v>
      </c>
    </row>
    <row r="1250" spans="1:29" ht="14.55" customHeight="1">
      <c r="A1250" s="35" t="s">
        <v>99</v>
      </c>
      <c r="B1250" s="38" t="s">
        <v>29</v>
      </c>
      <c r="C1250" s="49" t="s">
        <v>71</v>
      </c>
      <c r="D1250" s="35">
        <v>189</v>
      </c>
      <c r="E1250" s="12">
        <v>30</v>
      </c>
      <c r="F1250" s="21">
        <v>6.3492063492063489</v>
      </c>
      <c r="G1250" s="35">
        <v>0</v>
      </c>
      <c r="H1250" s="35">
        <v>0</v>
      </c>
      <c r="I1250" s="35">
        <v>0</v>
      </c>
      <c r="J1250" s="35">
        <v>0</v>
      </c>
      <c r="K1250" s="35">
        <v>0</v>
      </c>
      <c r="L1250" s="35">
        <v>854</v>
      </c>
      <c r="M1250" s="35">
        <v>1.98</v>
      </c>
      <c r="N1250" s="35">
        <v>8.4</v>
      </c>
      <c r="O1250" s="12">
        <v>0</v>
      </c>
      <c r="P1250" s="35">
        <v>100</v>
      </c>
      <c r="Q1250" s="35">
        <v>80</v>
      </c>
      <c r="R1250" s="35">
        <v>60</v>
      </c>
      <c r="S1250" s="35">
        <v>75</v>
      </c>
      <c r="T1250" s="65">
        <v>1.81</v>
      </c>
      <c r="U1250" s="21">
        <v>0.28507500000000002</v>
      </c>
      <c r="V1250" s="21">
        <v>0.8</v>
      </c>
      <c r="W1250" s="37">
        <v>1.07</v>
      </c>
      <c r="X1250" s="35" t="s">
        <v>6</v>
      </c>
      <c r="Y1250" s="23" t="s">
        <v>6</v>
      </c>
      <c r="Z1250" s="21" t="s">
        <v>6</v>
      </c>
      <c r="AA1250" s="35" t="s">
        <v>6</v>
      </c>
      <c r="AB1250" s="35" t="s">
        <v>6</v>
      </c>
      <c r="AC1250" s="27" t="s">
        <v>228</v>
      </c>
    </row>
    <row r="1251" spans="1:29">
      <c r="A1251" s="35" t="s">
        <v>99</v>
      </c>
      <c r="B1251" s="38" t="s">
        <v>29</v>
      </c>
      <c r="C1251" s="49" t="s">
        <v>71</v>
      </c>
      <c r="D1251" s="35">
        <v>189</v>
      </c>
      <c r="E1251" s="12">
        <v>40</v>
      </c>
      <c r="F1251" s="21">
        <v>8.4656084656084651</v>
      </c>
      <c r="G1251" s="35">
        <v>0</v>
      </c>
      <c r="H1251" s="35">
        <v>0</v>
      </c>
      <c r="I1251" s="35">
        <v>0</v>
      </c>
      <c r="J1251" s="35">
        <v>0</v>
      </c>
      <c r="K1251" s="35">
        <v>0</v>
      </c>
      <c r="L1251" s="35">
        <v>854</v>
      </c>
      <c r="M1251" s="35">
        <v>1.98</v>
      </c>
      <c r="N1251" s="35">
        <v>8.4</v>
      </c>
      <c r="O1251" s="12">
        <v>0</v>
      </c>
      <c r="P1251" s="35">
        <v>100</v>
      </c>
      <c r="Q1251" s="35">
        <v>80</v>
      </c>
      <c r="R1251" s="35">
        <v>60</v>
      </c>
      <c r="S1251" s="35">
        <v>75</v>
      </c>
      <c r="T1251" s="65">
        <v>3.27</v>
      </c>
      <c r="U1251" s="21">
        <v>0.38626875000000005</v>
      </c>
      <c r="V1251" s="21">
        <v>0.98</v>
      </c>
      <c r="W1251" s="37">
        <v>1.35</v>
      </c>
      <c r="X1251" s="35" t="s">
        <v>6</v>
      </c>
      <c r="Y1251" s="23" t="s">
        <v>6</v>
      </c>
      <c r="Z1251" s="21" t="s">
        <v>6</v>
      </c>
      <c r="AA1251" s="35" t="s">
        <v>6</v>
      </c>
      <c r="AB1251" s="35" t="s">
        <v>6</v>
      </c>
      <c r="AC1251" s="27" t="s">
        <v>228</v>
      </c>
    </row>
    <row r="1252" spans="1:29">
      <c r="A1252" s="35" t="s">
        <v>99</v>
      </c>
      <c r="B1252" s="38" t="s">
        <v>29</v>
      </c>
      <c r="C1252" s="49" t="s">
        <v>71</v>
      </c>
      <c r="D1252" s="35">
        <v>189</v>
      </c>
      <c r="E1252" s="12">
        <v>50</v>
      </c>
      <c r="F1252" s="21">
        <v>10.582010582010582</v>
      </c>
      <c r="G1252" s="35">
        <v>0</v>
      </c>
      <c r="H1252" s="35">
        <v>0</v>
      </c>
      <c r="I1252" s="35">
        <v>0</v>
      </c>
      <c r="J1252" s="35">
        <v>0</v>
      </c>
      <c r="K1252" s="35">
        <v>0</v>
      </c>
      <c r="L1252" s="35">
        <v>854</v>
      </c>
      <c r="M1252" s="35">
        <v>1.98</v>
      </c>
      <c r="N1252" s="35">
        <v>8.4</v>
      </c>
      <c r="O1252" s="12">
        <v>0</v>
      </c>
      <c r="P1252" s="35">
        <v>100</v>
      </c>
      <c r="Q1252" s="35">
        <v>80</v>
      </c>
      <c r="R1252" s="35">
        <v>60</v>
      </c>
      <c r="S1252" s="35">
        <v>75</v>
      </c>
      <c r="T1252" s="65">
        <v>4.12</v>
      </c>
      <c r="U1252" s="21">
        <v>0.38934000000000002</v>
      </c>
      <c r="V1252" s="21">
        <v>0.92</v>
      </c>
      <c r="W1252" s="37">
        <v>2.0699999999999998</v>
      </c>
      <c r="X1252" s="35" t="s">
        <v>6</v>
      </c>
      <c r="Y1252" s="23" t="s">
        <v>6</v>
      </c>
      <c r="Z1252" s="21" t="s">
        <v>6</v>
      </c>
      <c r="AA1252" s="35" t="s">
        <v>6</v>
      </c>
      <c r="AB1252" s="35" t="s">
        <v>6</v>
      </c>
      <c r="AC1252" s="1" t="s">
        <v>255</v>
      </c>
    </row>
    <row r="1253" spans="1:29">
      <c r="A1253" s="35" t="s">
        <v>99</v>
      </c>
      <c r="B1253" s="38" t="s">
        <v>29</v>
      </c>
      <c r="C1253" s="49" t="s">
        <v>71</v>
      </c>
      <c r="D1253" s="35">
        <v>189</v>
      </c>
      <c r="E1253" s="12">
        <v>60</v>
      </c>
      <c r="F1253" s="21">
        <v>12.698412698412698</v>
      </c>
      <c r="G1253" s="35">
        <v>0</v>
      </c>
      <c r="H1253" s="35">
        <v>0</v>
      </c>
      <c r="I1253" s="35">
        <v>0</v>
      </c>
      <c r="J1253" s="35">
        <v>0</v>
      </c>
      <c r="K1253" s="35">
        <v>0</v>
      </c>
      <c r="L1253" s="35">
        <v>854</v>
      </c>
      <c r="M1253" s="35">
        <v>1.98</v>
      </c>
      <c r="N1253" s="35">
        <v>8.4</v>
      </c>
      <c r="O1253" s="12">
        <v>0</v>
      </c>
      <c r="P1253" s="35">
        <v>100</v>
      </c>
      <c r="Q1253" s="35">
        <v>80</v>
      </c>
      <c r="R1253" s="35">
        <v>60</v>
      </c>
      <c r="S1253" s="35">
        <v>35</v>
      </c>
      <c r="T1253" s="65">
        <v>3.66</v>
      </c>
      <c r="U1253" s="21">
        <v>0.32445000000000002</v>
      </c>
      <c r="V1253" s="35" t="s">
        <v>6</v>
      </c>
      <c r="W1253" s="35" t="s">
        <v>6</v>
      </c>
      <c r="X1253" s="35" t="s">
        <v>6</v>
      </c>
      <c r="Y1253" s="23" t="s">
        <v>6</v>
      </c>
      <c r="Z1253" s="21" t="s">
        <v>6</v>
      </c>
      <c r="AA1253" s="35" t="s">
        <v>6</v>
      </c>
      <c r="AB1253" s="35" t="s">
        <v>6</v>
      </c>
      <c r="AC1253" s="1" t="s">
        <v>255</v>
      </c>
    </row>
    <row r="1254" spans="1:29">
      <c r="A1254" s="35" t="s">
        <v>99</v>
      </c>
      <c r="B1254" s="38" t="s">
        <v>29</v>
      </c>
      <c r="C1254" s="49" t="s">
        <v>71</v>
      </c>
      <c r="D1254" s="35">
        <v>189</v>
      </c>
      <c r="E1254" s="12">
        <v>60</v>
      </c>
      <c r="F1254" s="21">
        <v>12.698412698412698</v>
      </c>
      <c r="G1254" s="35">
        <v>0</v>
      </c>
      <c r="H1254" s="35">
        <v>0</v>
      </c>
      <c r="I1254" s="35">
        <v>0</v>
      </c>
      <c r="J1254" s="35">
        <v>0</v>
      </c>
      <c r="K1254" s="35">
        <v>0</v>
      </c>
      <c r="L1254" s="35">
        <v>854</v>
      </c>
      <c r="M1254" s="35">
        <v>1.98</v>
      </c>
      <c r="N1254" s="35">
        <v>8.4</v>
      </c>
      <c r="O1254" s="12">
        <v>0</v>
      </c>
      <c r="P1254" s="35">
        <v>100</v>
      </c>
      <c r="Q1254" s="35">
        <v>80</v>
      </c>
      <c r="R1254" s="35">
        <v>60</v>
      </c>
      <c r="S1254" s="35">
        <v>75</v>
      </c>
      <c r="T1254" s="65">
        <v>5.17</v>
      </c>
      <c r="U1254" s="21">
        <v>0.28822500000000001</v>
      </c>
      <c r="V1254" s="21">
        <v>0.70499999999999996</v>
      </c>
      <c r="W1254" s="37">
        <v>1.75</v>
      </c>
      <c r="X1254" s="35">
        <v>120</v>
      </c>
      <c r="Y1254" s="23" t="s">
        <v>6</v>
      </c>
      <c r="Z1254" s="21">
        <v>12</v>
      </c>
      <c r="AA1254" s="35">
        <v>30</v>
      </c>
      <c r="AB1254" s="35" t="s">
        <v>6</v>
      </c>
      <c r="AC1254" s="27" t="s">
        <v>228</v>
      </c>
    </row>
    <row r="1255" spans="1:29">
      <c r="A1255" s="35" t="s">
        <v>99</v>
      </c>
      <c r="B1255" s="38" t="s">
        <v>29</v>
      </c>
      <c r="C1255" s="49" t="s">
        <v>71</v>
      </c>
      <c r="D1255" s="35">
        <v>189</v>
      </c>
      <c r="E1255" s="12">
        <v>60</v>
      </c>
      <c r="F1255" s="21">
        <v>12.698412698412698</v>
      </c>
      <c r="G1255" s="35">
        <v>0</v>
      </c>
      <c r="H1255" s="35">
        <v>0</v>
      </c>
      <c r="I1255" s="35">
        <v>0</v>
      </c>
      <c r="J1255" s="35">
        <v>0</v>
      </c>
      <c r="K1255" s="35">
        <v>0</v>
      </c>
      <c r="L1255" s="35">
        <v>854</v>
      </c>
      <c r="M1255" s="35">
        <v>1.98</v>
      </c>
      <c r="N1255" s="35">
        <v>8.4</v>
      </c>
      <c r="O1255" s="12">
        <v>0</v>
      </c>
      <c r="P1255" s="35">
        <v>100</v>
      </c>
      <c r="Q1255" s="35">
        <v>80</v>
      </c>
      <c r="R1255" s="35">
        <v>60</v>
      </c>
      <c r="S1255" s="35">
        <v>95</v>
      </c>
      <c r="T1255" s="65">
        <v>4.9800000000000004</v>
      </c>
      <c r="U1255" s="21">
        <v>0.40713750000000004</v>
      </c>
      <c r="V1255" s="35" t="s">
        <v>6</v>
      </c>
      <c r="W1255" s="35" t="s">
        <v>6</v>
      </c>
      <c r="X1255" s="35" t="s">
        <v>6</v>
      </c>
      <c r="Y1255" s="23" t="s">
        <v>6</v>
      </c>
      <c r="Z1255" s="21" t="s">
        <v>6</v>
      </c>
      <c r="AA1255" s="35" t="s">
        <v>6</v>
      </c>
      <c r="AB1255" s="35" t="s">
        <v>6</v>
      </c>
      <c r="AC1255" s="27" t="s">
        <v>228</v>
      </c>
    </row>
    <row r="1256" spans="1:29">
      <c r="A1256" s="35" t="s">
        <v>99</v>
      </c>
      <c r="B1256" s="38" t="s">
        <v>29</v>
      </c>
      <c r="C1256" s="49" t="s">
        <v>71</v>
      </c>
      <c r="D1256" s="35">
        <v>189</v>
      </c>
      <c r="E1256" s="12">
        <v>60</v>
      </c>
      <c r="F1256" s="21">
        <v>12.698412698412698</v>
      </c>
      <c r="G1256" s="35">
        <v>0</v>
      </c>
      <c r="H1256" s="35">
        <v>0</v>
      </c>
      <c r="I1256" s="35">
        <v>0</v>
      </c>
      <c r="J1256" s="35">
        <v>0</v>
      </c>
      <c r="K1256" s="35">
        <v>0</v>
      </c>
      <c r="L1256" s="35">
        <v>854</v>
      </c>
      <c r="M1256" s="35">
        <v>1.98</v>
      </c>
      <c r="N1256" s="35">
        <v>8.4</v>
      </c>
      <c r="O1256" s="12">
        <v>0</v>
      </c>
      <c r="P1256" s="35">
        <v>100</v>
      </c>
      <c r="Q1256" s="35">
        <v>80</v>
      </c>
      <c r="R1256" s="35">
        <v>60</v>
      </c>
      <c r="S1256" s="35">
        <v>105</v>
      </c>
      <c r="T1256" s="65">
        <v>4.1900000000000004</v>
      </c>
      <c r="U1256" s="21">
        <v>0.38666250000000002</v>
      </c>
      <c r="V1256" s="35" t="s">
        <v>6</v>
      </c>
      <c r="W1256" s="35" t="s">
        <v>6</v>
      </c>
      <c r="X1256" s="35" t="s">
        <v>6</v>
      </c>
      <c r="Y1256" s="23" t="s">
        <v>6</v>
      </c>
      <c r="Z1256" s="21" t="s">
        <v>6</v>
      </c>
      <c r="AA1256" s="35" t="s">
        <v>6</v>
      </c>
      <c r="AB1256" s="35" t="s">
        <v>6</v>
      </c>
      <c r="AC1256" s="27" t="s">
        <v>228</v>
      </c>
    </row>
    <row r="1257" spans="1:29">
      <c r="A1257" s="35" t="s">
        <v>99</v>
      </c>
      <c r="B1257" s="38" t="s">
        <v>29</v>
      </c>
      <c r="C1257" s="49" t="s">
        <v>71</v>
      </c>
      <c r="D1257" s="35">
        <v>189</v>
      </c>
      <c r="E1257" s="12">
        <v>65</v>
      </c>
      <c r="F1257" s="21">
        <v>13.756613756613756</v>
      </c>
      <c r="G1257" s="35">
        <v>0</v>
      </c>
      <c r="H1257" s="35">
        <v>0</v>
      </c>
      <c r="I1257" s="35">
        <v>0</v>
      </c>
      <c r="J1257" s="35">
        <v>0</v>
      </c>
      <c r="K1257" s="35">
        <v>0</v>
      </c>
      <c r="L1257" s="35">
        <v>854</v>
      </c>
      <c r="M1257" s="35">
        <v>1.98</v>
      </c>
      <c r="N1257" s="35">
        <v>8.4</v>
      </c>
      <c r="O1257" s="12">
        <v>0</v>
      </c>
      <c r="P1257" s="35">
        <v>100</v>
      </c>
      <c r="Q1257" s="35">
        <v>80</v>
      </c>
      <c r="R1257" s="35">
        <v>60</v>
      </c>
      <c r="S1257" s="35">
        <v>75</v>
      </c>
      <c r="T1257" s="65">
        <v>4.16</v>
      </c>
      <c r="U1257" s="21">
        <v>0.3024</v>
      </c>
      <c r="V1257" s="21">
        <v>2.12</v>
      </c>
      <c r="W1257" s="37">
        <v>26.6</v>
      </c>
      <c r="X1257" s="35" t="s">
        <v>6</v>
      </c>
      <c r="Y1257" s="23" t="s">
        <v>6</v>
      </c>
      <c r="Z1257" s="21" t="s">
        <v>6</v>
      </c>
      <c r="AA1257" s="35" t="s">
        <v>6</v>
      </c>
      <c r="AB1257" s="35" t="s">
        <v>6</v>
      </c>
      <c r="AC1257" s="27" t="s">
        <v>228</v>
      </c>
    </row>
    <row r="1258" spans="1:29">
      <c r="A1258" s="35" t="s">
        <v>99</v>
      </c>
      <c r="B1258" s="38" t="s">
        <v>29</v>
      </c>
      <c r="C1258" s="49" t="s">
        <v>71</v>
      </c>
      <c r="D1258" s="35">
        <v>189</v>
      </c>
      <c r="E1258" s="12">
        <v>50</v>
      </c>
      <c r="F1258" s="21">
        <v>10.582010582010582</v>
      </c>
      <c r="G1258" s="35">
        <v>0</v>
      </c>
      <c r="H1258" s="35">
        <v>0</v>
      </c>
      <c r="I1258" s="35">
        <v>0</v>
      </c>
      <c r="J1258" s="35">
        <v>0</v>
      </c>
      <c r="K1258" s="35">
        <v>0</v>
      </c>
      <c r="L1258" s="35">
        <v>854</v>
      </c>
      <c r="M1258" s="35">
        <v>1.98</v>
      </c>
      <c r="N1258" s="35">
        <v>8.4</v>
      </c>
      <c r="O1258" s="12">
        <v>0</v>
      </c>
      <c r="P1258" s="35">
        <v>100</v>
      </c>
      <c r="Q1258" s="35">
        <v>80</v>
      </c>
      <c r="R1258" s="35">
        <v>60</v>
      </c>
      <c r="S1258" s="35">
        <v>75</v>
      </c>
      <c r="T1258" s="65">
        <v>4.03</v>
      </c>
      <c r="U1258" s="21">
        <v>0.38083500000000003</v>
      </c>
      <c r="V1258" s="37" t="s">
        <v>6</v>
      </c>
      <c r="W1258" s="37" t="s">
        <v>6</v>
      </c>
      <c r="X1258" s="35" t="s">
        <v>6</v>
      </c>
      <c r="Y1258" s="23" t="s">
        <v>6</v>
      </c>
      <c r="Z1258" s="21" t="s">
        <v>6</v>
      </c>
      <c r="AA1258" s="35" t="s">
        <v>6</v>
      </c>
      <c r="AB1258" s="35" t="s">
        <v>6</v>
      </c>
      <c r="AC1258" s="27" t="s">
        <v>228</v>
      </c>
    </row>
    <row r="1259" spans="1:29">
      <c r="A1259" s="35" t="s">
        <v>99</v>
      </c>
      <c r="B1259" s="38" t="s">
        <v>29</v>
      </c>
      <c r="C1259" s="49" t="s">
        <v>71</v>
      </c>
      <c r="D1259" s="35">
        <v>189</v>
      </c>
      <c r="E1259" s="12">
        <v>60</v>
      </c>
      <c r="F1259" s="21">
        <v>12.910052910052899</v>
      </c>
      <c r="G1259" s="35">
        <v>0</v>
      </c>
      <c r="H1259" s="35">
        <v>0</v>
      </c>
      <c r="I1259" s="35">
        <v>0</v>
      </c>
      <c r="J1259" s="35">
        <v>0</v>
      </c>
      <c r="K1259" s="35">
        <v>0</v>
      </c>
      <c r="L1259" s="35">
        <v>854</v>
      </c>
      <c r="M1259" s="35">
        <v>1.98</v>
      </c>
      <c r="N1259" s="35">
        <v>8.4</v>
      </c>
      <c r="O1259" s="12">
        <v>0</v>
      </c>
      <c r="P1259" s="35">
        <v>100</v>
      </c>
      <c r="Q1259" s="35">
        <v>80</v>
      </c>
      <c r="R1259" s="35">
        <v>60</v>
      </c>
      <c r="S1259" s="35">
        <v>75</v>
      </c>
      <c r="T1259" s="65">
        <v>4.6500000000000004</v>
      </c>
      <c r="U1259" s="21">
        <v>0.36018442622950853</v>
      </c>
      <c r="V1259" s="37" t="s">
        <v>6</v>
      </c>
      <c r="W1259" s="37" t="s">
        <v>6</v>
      </c>
      <c r="X1259" s="35" t="s">
        <v>6</v>
      </c>
      <c r="Y1259" s="23" t="s">
        <v>6</v>
      </c>
      <c r="Z1259" s="21" t="s">
        <v>6</v>
      </c>
      <c r="AA1259" s="35" t="s">
        <v>6</v>
      </c>
      <c r="AB1259" s="35" t="s">
        <v>6</v>
      </c>
      <c r="AC1259" s="27" t="s">
        <v>228</v>
      </c>
    </row>
    <row r="1260" spans="1:29">
      <c r="A1260" s="35" t="s">
        <v>99</v>
      </c>
      <c r="B1260" s="38" t="s">
        <v>29</v>
      </c>
      <c r="C1260" s="49" t="s">
        <v>71</v>
      </c>
      <c r="D1260" s="35">
        <v>189</v>
      </c>
      <c r="E1260" s="12">
        <v>50</v>
      </c>
      <c r="F1260" s="21">
        <v>10.582010582010582</v>
      </c>
      <c r="G1260" s="35">
        <v>0</v>
      </c>
      <c r="H1260" s="35">
        <v>0</v>
      </c>
      <c r="I1260" s="35">
        <v>0</v>
      </c>
      <c r="J1260" s="35">
        <v>0</v>
      </c>
      <c r="K1260" s="35">
        <v>0</v>
      </c>
      <c r="L1260" s="35">
        <v>854</v>
      </c>
      <c r="M1260" s="35">
        <v>1.98</v>
      </c>
      <c r="N1260" s="35">
        <v>8.4</v>
      </c>
      <c r="O1260" s="12">
        <v>0</v>
      </c>
      <c r="P1260" s="35">
        <v>100</v>
      </c>
      <c r="Q1260" s="35">
        <v>80</v>
      </c>
      <c r="R1260" s="35">
        <v>60</v>
      </c>
      <c r="S1260" s="35">
        <v>75</v>
      </c>
      <c r="T1260" s="65">
        <v>3.57</v>
      </c>
      <c r="U1260" s="21">
        <v>0.33736499999999997</v>
      </c>
      <c r="V1260" s="37" t="s">
        <v>6</v>
      </c>
      <c r="W1260" s="37" t="s">
        <v>6</v>
      </c>
      <c r="X1260" s="35" t="s">
        <v>6</v>
      </c>
      <c r="Y1260" s="23" t="s">
        <v>6</v>
      </c>
      <c r="Z1260" s="21" t="s">
        <v>6</v>
      </c>
      <c r="AA1260" s="35" t="s">
        <v>6</v>
      </c>
      <c r="AB1260" s="35" t="s">
        <v>6</v>
      </c>
      <c r="AC1260" s="27" t="s">
        <v>228</v>
      </c>
    </row>
    <row r="1261" spans="1:29">
      <c r="A1261" s="35" t="s">
        <v>99</v>
      </c>
      <c r="B1261" s="38" t="s">
        <v>29</v>
      </c>
      <c r="C1261" s="49" t="s">
        <v>71</v>
      </c>
      <c r="D1261" s="35">
        <v>189</v>
      </c>
      <c r="E1261" s="12">
        <v>60</v>
      </c>
      <c r="F1261" s="21">
        <v>12.275132275132275</v>
      </c>
      <c r="G1261" s="35">
        <v>0</v>
      </c>
      <c r="H1261" s="35">
        <v>0</v>
      </c>
      <c r="I1261" s="35">
        <v>0</v>
      </c>
      <c r="J1261" s="35">
        <v>0</v>
      </c>
      <c r="K1261" s="35">
        <v>0</v>
      </c>
      <c r="L1261" s="35">
        <v>854</v>
      </c>
      <c r="M1261" s="35">
        <v>1.98</v>
      </c>
      <c r="N1261" s="35">
        <v>8.4</v>
      </c>
      <c r="O1261" s="12">
        <v>0</v>
      </c>
      <c r="P1261" s="35">
        <v>100</v>
      </c>
      <c r="Q1261" s="35">
        <v>80</v>
      </c>
      <c r="R1261" s="35">
        <v>60</v>
      </c>
      <c r="S1261" s="35">
        <v>75</v>
      </c>
      <c r="T1261" s="65">
        <v>4.51</v>
      </c>
      <c r="U1261" s="21">
        <v>0.36740948275862068</v>
      </c>
      <c r="V1261" s="37" t="s">
        <v>6</v>
      </c>
      <c r="W1261" s="37" t="s">
        <v>6</v>
      </c>
      <c r="X1261" s="35" t="s">
        <v>6</v>
      </c>
      <c r="Y1261" s="23" t="s">
        <v>6</v>
      </c>
      <c r="Z1261" s="21" t="s">
        <v>6</v>
      </c>
      <c r="AA1261" s="35" t="s">
        <v>6</v>
      </c>
      <c r="AB1261" s="35" t="s">
        <v>6</v>
      </c>
      <c r="AC1261" s="27" t="s">
        <v>228</v>
      </c>
    </row>
    <row r="1262" spans="1:29">
      <c r="A1262" s="35" t="s">
        <v>99</v>
      </c>
      <c r="B1262" s="38" t="s">
        <v>29</v>
      </c>
      <c r="C1262" s="49" t="s">
        <v>71</v>
      </c>
      <c r="D1262" s="35">
        <v>189</v>
      </c>
      <c r="E1262" s="12">
        <v>50</v>
      </c>
      <c r="F1262" s="21">
        <v>10.582010582010582</v>
      </c>
      <c r="G1262" s="35">
        <v>0</v>
      </c>
      <c r="H1262" s="35">
        <v>0</v>
      </c>
      <c r="I1262" s="35">
        <v>0</v>
      </c>
      <c r="J1262" s="35">
        <v>0</v>
      </c>
      <c r="K1262" s="35">
        <v>0</v>
      </c>
      <c r="L1262" s="35">
        <v>854</v>
      </c>
      <c r="M1262" s="35">
        <v>1.98</v>
      </c>
      <c r="N1262" s="35">
        <v>8.4</v>
      </c>
      <c r="O1262" s="12">
        <v>0</v>
      </c>
      <c r="P1262" s="35">
        <v>100</v>
      </c>
      <c r="Q1262" s="35">
        <v>80</v>
      </c>
      <c r="R1262" s="35">
        <v>60</v>
      </c>
      <c r="S1262" s="35">
        <v>75</v>
      </c>
      <c r="T1262" s="65">
        <v>3.39</v>
      </c>
      <c r="U1262" s="21">
        <v>0.320355</v>
      </c>
      <c r="V1262" s="37" t="s">
        <v>6</v>
      </c>
      <c r="W1262" s="37" t="s">
        <v>6</v>
      </c>
      <c r="X1262" s="35" t="s">
        <v>6</v>
      </c>
      <c r="Y1262" s="23" t="s">
        <v>6</v>
      </c>
      <c r="Z1262" s="21" t="s">
        <v>6</v>
      </c>
      <c r="AA1262" s="35" t="s">
        <v>6</v>
      </c>
      <c r="AB1262" s="35" t="s">
        <v>6</v>
      </c>
      <c r="AC1262" s="27" t="s">
        <v>228</v>
      </c>
    </row>
    <row r="1263" spans="1:29">
      <c r="A1263" s="35" t="s">
        <v>99</v>
      </c>
      <c r="B1263" s="38" t="s">
        <v>29</v>
      </c>
      <c r="C1263" s="49" t="s">
        <v>71</v>
      </c>
      <c r="D1263" s="35">
        <v>189</v>
      </c>
      <c r="E1263" s="12">
        <v>50</v>
      </c>
      <c r="F1263" s="21">
        <v>10.582010582010582</v>
      </c>
      <c r="G1263" s="35">
        <v>0</v>
      </c>
      <c r="H1263" s="35">
        <v>0</v>
      </c>
      <c r="I1263" s="35">
        <v>0</v>
      </c>
      <c r="J1263" s="35">
        <v>0</v>
      </c>
      <c r="K1263" s="35">
        <v>0</v>
      </c>
      <c r="L1263" s="35">
        <v>854</v>
      </c>
      <c r="M1263" s="35">
        <v>1.98</v>
      </c>
      <c r="N1263" s="35">
        <v>8.4</v>
      </c>
      <c r="O1263" s="12">
        <v>0</v>
      </c>
      <c r="P1263" s="35">
        <v>100</v>
      </c>
      <c r="Q1263" s="35">
        <v>80</v>
      </c>
      <c r="R1263" s="35">
        <v>60</v>
      </c>
      <c r="S1263" s="35">
        <v>75</v>
      </c>
      <c r="T1263" s="65">
        <v>2.61</v>
      </c>
      <c r="U1263" s="21">
        <v>0.24664499999999998</v>
      </c>
      <c r="V1263" s="37" t="s">
        <v>6</v>
      </c>
      <c r="W1263" s="37" t="s">
        <v>6</v>
      </c>
      <c r="X1263" s="35" t="s">
        <v>6</v>
      </c>
      <c r="Y1263" s="23" t="s">
        <v>6</v>
      </c>
      <c r="Z1263" s="21" t="s">
        <v>6</v>
      </c>
      <c r="AA1263" s="35" t="s">
        <v>6</v>
      </c>
      <c r="AB1263" s="35" t="s">
        <v>6</v>
      </c>
      <c r="AC1263" s="27" t="s">
        <v>228</v>
      </c>
    </row>
    <row r="1264" spans="1:29">
      <c r="A1264" s="35" t="s">
        <v>7</v>
      </c>
      <c r="B1264" s="38" t="s">
        <v>29</v>
      </c>
      <c r="C1264" s="49" t="s">
        <v>71</v>
      </c>
      <c r="D1264" s="35">
        <v>189</v>
      </c>
      <c r="E1264" s="12">
        <v>50</v>
      </c>
      <c r="F1264" s="21">
        <v>10.582010582010582</v>
      </c>
      <c r="G1264" s="35">
        <v>0</v>
      </c>
      <c r="H1264" s="35">
        <v>0</v>
      </c>
      <c r="I1264" s="35">
        <v>0</v>
      </c>
      <c r="J1264" s="35">
        <v>0</v>
      </c>
      <c r="K1264" s="35">
        <v>0</v>
      </c>
      <c r="L1264" s="35">
        <v>854</v>
      </c>
      <c r="M1264" s="35">
        <v>1.98</v>
      </c>
      <c r="N1264" s="35">
        <v>8.4</v>
      </c>
      <c r="O1264" s="12">
        <v>0</v>
      </c>
      <c r="P1264" s="35">
        <v>100</v>
      </c>
      <c r="Q1264" s="35">
        <v>80</v>
      </c>
      <c r="R1264" s="35">
        <v>60</v>
      </c>
      <c r="S1264" s="35">
        <v>75</v>
      </c>
      <c r="T1264" s="65">
        <v>2.95</v>
      </c>
      <c r="U1264" s="21">
        <v>0.278775</v>
      </c>
      <c r="V1264" s="37" t="s">
        <v>6</v>
      </c>
      <c r="W1264" s="37" t="s">
        <v>6</v>
      </c>
      <c r="X1264" s="35" t="s">
        <v>6</v>
      </c>
      <c r="Y1264" s="23" t="s">
        <v>6</v>
      </c>
      <c r="Z1264" s="21" t="s">
        <v>6</v>
      </c>
      <c r="AA1264" s="35" t="s">
        <v>6</v>
      </c>
      <c r="AB1264" s="35" t="s">
        <v>6</v>
      </c>
      <c r="AC1264" s="27" t="s">
        <v>228</v>
      </c>
    </row>
    <row r="1265" spans="1:29">
      <c r="A1265" s="35" t="s">
        <v>99</v>
      </c>
      <c r="B1265" s="38" t="s">
        <v>161</v>
      </c>
      <c r="C1265" s="35" t="s">
        <v>211</v>
      </c>
      <c r="D1265" s="35">
        <v>305</v>
      </c>
      <c r="E1265" s="12">
        <v>60</v>
      </c>
      <c r="F1265" s="21">
        <f>6.86*10*E1265/D1265</f>
        <v>13.495081967213117</v>
      </c>
      <c r="G1265" s="35">
        <v>0</v>
      </c>
      <c r="H1265" s="35">
        <v>0</v>
      </c>
      <c r="I1265" s="35">
        <v>0</v>
      </c>
      <c r="J1265" s="35">
        <v>0</v>
      </c>
      <c r="K1265" s="35">
        <v>0</v>
      </c>
      <c r="L1265" s="35">
        <v>854</v>
      </c>
      <c r="M1265" s="35">
        <v>1.98</v>
      </c>
      <c r="N1265" s="35">
        <v>8.4</v>
      </c>
      <c r="O1265" s="12">
        <v>0</v>
      </c>
      <c r="P1265" s="35">
        <v>100</v>
      </c>
      <c r="Q1265" s="35">
        <v>80</v>
      </c>
      <c r="R1265" s="35">
        <v>60</v>
      </c>
      <c r="S1265" s="35">
        <v>75</v>
      </c>
      <c r="T1265" s="65">
        <v>3.87</v>
      </c>
      <c r="U1265" s="21">
        <v>0.27642857142857141</v>
      </c>
      <c r="V1265" s="37">
        <v>5.93</v>
      </c>
      <c r="W1265" s="37">
        <v>9.84</v>
      </c>
      <c r="X1265" s="35" t="s">
        <v>6</v>
      </c>
      <c r="Y1265" s="23" t="s">
        <v>6</v>
      </c>
      <c r="Z1265" s="21" t="s">
        <v>6</v>
      </c>
      <c r="AA1265" s="35" t="s">
        <v>6</v>
      </c>
      <c r="AB1265" s="35" t="s">
        <v>6</v>
      </c>
      <c r="AC1265" s="27" t="s">
        <v>228</v>
      </c>
    </row>
    <row r="1266" spans="1:29">
      <c r="A1266" s="35" t="s">
        <v>264</v>
      </c>
      <c r="B1266" s="38" t="s">
        <v>180</v>
      </c>
      <c r="C1266" s="35" t="s">
        <v>211</v>
      </c>
      <c r="D1266" s="35">
        <v>305</v>
      </c>
      <c r="E1266" s="12">
        <v>13.68</v>
      </c>
      <c r="F1266" s="37">
        <v>3.2114624505928866</v>
      </c>
      <c r="G1266" s="35">
        <v>0</v>
      </c>
      <c r="H1266" s="35">
        <v>0</v>
      </c>
      <c r="I1266" s="35">
        <v>0</v>
      </c>
      <c r="J1266" s="35">
        <v>0</v>
      </c>
      <c r="K1266" s="35">
        <v>0</v>
      </c>
      <c r="L1266" s="37">
        <v>649.35</v>
      </c>
      <c r="M1266" s="35">
        <v>1.8</v>
      </c>
      <c r="N1266" s="37">
        <v>25.6</v>
      </c>
      <c r="O1266" s="12">
        <v>0</v>
      </c>
      <c r="P1266" s="35">
        <v>15</v>
      </c>
      <c r="Q1266" s="35">
        <v>25</v>
      </c>
      <c r="R1266" s="35">
        <v>30</v>
      </c>
      <c r="S1266" s="35">
        <v>25</v>
      </c>
      <c r="T1266" s="21">
        <v>0.58169584743556402</v>
      </c>
      <c r="U1266" s="21">
        <v>0.18113113772455094</v>
      </c>
      <c r="V1266" s="37" t="s">
        <v>6</v>
      </c>
      <c r="W1266" s="37" t="s">
        <v>6</v>
      </c>
      <c r="X1266" s="35" t="s">
        <v>6</v>
      </c>
      <c r="Y1266" s="23" t="s">
        <v>6</v>
      </c>
      <c r="Z1266" s="21" t="s">
        <v>6</v>
      </c>
      <c r="AA1266" s="35" t="s">
        <v>6</v>
      </c>
      <c r="AB1266" s="35" t="s">
        <v>6</v>
      </c>
      <c r="AC1266" s="27" t="s">
        <v>207</v>
      </c>
    </row>
    <row r="1267" spans="1:29">
      <c r="A1267" s="35" t="s">
        <v>264</v>
      </c>
      <c r="B1267" s="38" t="s">
        <v>180</v>
      </c>
      <c r="C1267" s="35" t="s">
        <v>211</v>
      </c>
      <c r="D1267" s="35">
        <v>305</v>
      </c>
      <c r="E1267" s="12">
        <v>13.68</v>
      </c>
      <c r="F1267" s="37">
        <v>3.2114624505928866</v>
      </c>
      <c r="G1267" s="35">
        <v>0</v>
      </c>
      <c r="H1267" s="35">
        <v>0</v>
      </c>
      <c r="I1267" s="35">
        <v>0</v>
      </c>
      <c r="J1267" s="35">
        <v>0</v>
      </c>
      <c r="K1267" s="35">
        <v>0</v>
      </c>
      <c r="L1267" s="37">
        <v>649.35</v>
      </c>
      <c r="M1267" s="35">
        <v>1.8</v>
      </c>
      <c r="N1267" s="37">
        <v>25.6</v>
      </c>
      <c r="O1267" s="12">
        <v>0</v>
      </c>
      <c r="P1267" s="35">
        <v>15</v>
      </c>
      <c r="Q1267" s="35">
        <v>25</v>
      </c>
      <c r="R1267" s="35">
        <v>30</v>
      </c>
      <c r="S1267" s="35">
        <v>50</v>
      </c>
      <c r="T1267" s="21">
        <v>1.5982198646185799</v>
      </c>
      <c r="U1267" s="21">
        <v>0.49766107784430841</v>
      </c>
      <c r="V1267" s="37" t="s">
        <v>6</v>
      </c>
      <c r="W1267" s="37" t="s">
        <v>6</v>
      </c>
      <c r="X1267" s="35" t="s">
        <v>6</v>
      </c>
      <c r="Y1267" s="23" t="s">
        <v>6</v>
      </c>
      <c r="Z1267" s="21" t="s">
        <v>6</v>
      </c>
      <c r="AA1267" s="35" t="s">
        <v>6</v>
      </c>
      <c r="AB1267" s="35" t="s">
        <v>6</v>
      </c>
      <c r="AC1267" s="27" t="s">
        <v>207</v>
      </c>
    </row>
    <row r="1268" spans="1:29">
      <c r="A1268" s="35" t="s">
        <v>264</v>
      </c>
      <c r="B1268" s="38" t="s">
        <v>180</v>
      </c>
      <c r="C1268" s="35" t="s">
        <v>211</v>
      </c>
      <c r="D1268" s="35">
        <v>305</v>
      </c>
      <c r="E1268" s="12">
        <v>13.68</v>
      </c>
      <c r="F1268" s="37">
        <v>3.2114624505928866</v>
      </c>
      <c r="G1268" s="35">
        <v>0</v>
      </c>
      <c r="H1268" s="35">
        <v>0</v>
      </c>
      <c r="I1268" s="35">
        <v>0</v>
      </c>
      <c r="J1268" s="35">
        <v>0</v>
      </c>
      <c r="K1268" s="35">
        <v>0</v>
      </c>
      <c r="L1268" s="37">
        <v>649.35</v>
      </c>
      <c r="M1268" s="35">
        <v>1.8</v>
      </c>
      <c r="N1268" s="37">
        <v>25.6</v>
      </c>
      <c r="O1268" s="12">
        <v>0</v>
      </c>
      <c r="P1268" s="35">
        <v>15</v>
      </c>
      <c r="Q1268" s="35">
        <v>25</v>
      </c>
      <c r="R1268" s="35">
        <v>30</v>
      </c>
      <c r="S1268" s="35">
        <v>75</v>
      </c>
      <c r="T1268" s="21">
        <v>1.42</v>
      </c>
      <c r="U1268" s="21">
        <v>0.44</v>
      </c>
      <c r="V1268" s="37" t="s">
        <v>6</v>
      </c>
      <c r="W1268" s="37" t="s">
        <v>6</v>
      </c>
      <c r="X1268" s="35" t="s">
        <v>6</v>
      </c>
      <c r="Y1268" s="23" t="s">
        <v>6</v>
      </c>
      <c r="Z1268" s="21" t="s">
        <v>6</v>
      </c>
      <c r="AA1268" s="35" t="s">
        <v>6</v>
      </c>
      <c r="AB1268" s="35">
        <v>62.34</v>
      </c>
      <c r="AC1268" s="27" t="s">
        <v>207</v>
      </c>
    </row>
    <row r="1269" spans="1:29">
      <c r="A1269" s="35" t="s">
        <v>267</v>
      </c>
      <c r="B1269" s="38" t="s">
        <v>180</v>
      </c>
      <c r="C1269" s="35" t="s">
        <v>211</v>
      </c>
      <c r="D1269" s="35">
        <v>305</v>
      </c>
      <c r="E1269" s="12">
        <v>36.08</v>
      </c>
      <c r="F1269" s="37">
        <v>8.3318494997582384</v>
      </c>
      <c r="G1269" s="35">
        <v>0</v>
      </c>
      <c r="H1269" s="35">
        <v>0</v>
      </c>
      <c r="I1269" s="35">
        <v>0</v>
      </c>
      <c r="J1269" s="35">
        <v>0</v>
      </c>
      <c r="K1269" s="35">
        <v>0</v>
      </c>
      <c r="L1269" s="37">
        <v>649.35</v>
      </c>
      <c r="M1269" s="35">
        <v>1.8</v>
      </c>
      <c r="N1269" s="37">
        <v>25.6</v>
      </c>
      <c r="O1269" s="12">
        <v>0</v>
      </c>
      <c r="P1269" s="35">
        <v>15</v>
      </c>
      <c r="Q1269" s="35">
        <v>25</v>
      </c>
      <c r="R1269" s="35">
        <v>30</v>
      </c>
      <c r="S1269" s="35">
        <v>25</v>
      </c>
      <c r="T1269" s="21">
        <v>3.7669031502212902</v>
      </c>
      <c r="U1269" s="21">
        <v>0.45210888054694132</v>
      </c>
      <c r="V1269" s="37" t="s">
        <v>6</v>
      </c>
      <c r="W1269" s="37" t="s">
        <v>6</v>
      </c>
      <c r="X1269" s="35" t="s">
        <v>6</v>
      </c>
      <c r="Y1269" s="23" t="s">
        <v>6</v>
      </c>
      <c r="Z1269" s="21" t="s">
        <v>6</v>
      </c>
      <c r="AA1269" s="35" t="s">
        <v>6</v>
      </c>
      <c r="AB1269" s="35" t="s">
        <v>6</v>
      </c>
      <c r="AC1269" s="27" t="s">
        <v>207</v>
      </c>
    </row>
    <row r="1270" spans="1:29">
      <c r="A1270" s="35" t="s">
        <v>267</v>
      </c>
      <c r="B1270" s="38" t="s">
        <v>180</v>
      </c>
      <c r="C1270" s="35" t="s">
        <v>211</v>
      </c>
      <c r="D1270" s="35">
        <v>305</v>
      </c>
      <c r="E1270" s="12">
        <v>36.08</v>
      </c>
      <c r="F1270" s="37">
        <v>8.3318494997582384</v>
      </c>
      <c r="G1270" s="35">
        <v>0</v>
      </c>
      <c r="H1270" s="35">
        <v>0</v>
      </c>
      <c r="I1270" s="35">
        <v>0</v>
      </c>
      <c r="J1270" s="35">
        <v>0</v>
      </c>
      <c r="K1270" s="35">
        <v>0</v>
      </c>
      <c r="L1270" s="37">
        <v>649.35</v>
      </c>
      <c r="M1270" s="35">
        <v>1.8</v>
      </c>
      <c r="N1270" s="37">
        <v>25.6</v>
      </c>
      <c r="O1270" s="12">
        <v>0</v>
      </c>
      <c r="P1270" s="35">
        <v>15</v>
      </c>
      <c r="Q1270" s="35">
        <v>25</v>
      </c>
      <c r="R1270" s="35">
        <v>30</v>
      </c>
      <c r="S1270" s="35">
        <v>50</v>
      </c>
      <c r="T1270" s="21">
        <v>3.7419422025514102</v>
      </c>
      <c r="U1270" s="21">
        <v>0.44911303338592329</v>
      </c>
      <c r="V1270" s="37" t="s">
        <v>6</v>
      </c>
      <c r="W1270" s="37" t="s">
        <v>6</v>
      </c>
      <c r="X1270" s="35" t="s">
        <v>6</v>
      </c>
      <c r="Y1270" s="23" t="s">
        <v>6</v>
      </c>
      <c r="Z1270" s="21" t="s">
        <v>6</v>
      </c>
      <c r="AA1270" s="35" t="s">
        <v>6</v>
      </c>
      <c r="AB1270" s="35" t="s">
        <v>6</v>
      </c>
      <c r="AC1270" s="27" t="s">
        <v>207</v>
      </c>
    </row>
    <row r="1271" spans="1:29">
      <c r="A1271" s="35" t="s">
        <v>267</v>
      </c>
      <c r="B1271" s="38" t="s">
        <v>180</v>
      </c>
      <c r="C1271" s="35" t="s">
        <v>211</v>
      </c>
      <c r="D1271" s="35">
        <v>305</v>
      </c>
      <c r="E1271" s="12">
        <v>36.08</v>
      </c>
      <c r="F1271" s="37">
        <v>8.4047619047619051</v>
      </c>
      <c r="G1271" s="35">
        <v>0</v>
      </c>
      <c r="H1271" s="35">
        <v>0</v>
      </c>
      <c r="I1271" s="35">
        <v>0</v>
      </c>
      <c r="J1271" s="35">
        <v>0</v>
      </c>
      <c r="K1271" s="35">
        <v>0</v>
      </c>
      <c r="L1271" s="37">
        <v>649.35</v>
      </c>
      <c r="M1271" s="35">
        <v>1.8</v>
      </c>
      <c r="N1271" s="37">
        <v>25.6</v>
      </c>
      <c r="O1271" s="12">
        <v>0</v>
      </c>
      <c r="P1271" s="35">
        <v>15</v>
      </c>
      <c r="Q1271" s="35">
        <v>25</v>
      </c>
      <c r="R1271" s="35">
        <v>30</v>
      </c>
      <c r="S1271" s="35">
        <v>75</v>
      </c>
      <c r="T1271" s="21">
        <v>3.53</v>
      </c>
      <c r="U1271" s="21">
        <v>0.42</v>
      </c>
      <c r="V1271" s="37" t="s">
        <v>6</v>
      </c>
      <c r="W1271" s="37" t="s">
        <v>6</v>
      </c>
      <c r="X1271" s="35" t="s">
        <v>6</v>
      </c>
      <c r="Y1271" s="23" t="s">
        <v>6</v>
      </c>
      <c r="Z1271" s="21" t="s">
        <v>6</v>
      </c>
      <c r="AA1271" s="35" t="s">
        <v>6</v>
      </c>
      <c r="AB1271" s="35">
        <v>59.42</v>
      </c>
      <c r="AC1271" s="1" t="s">
        <v>207</v>
      </c>
    </row>
    <row r="1272" spans="1:29">
      <c r="A1272" s="35" t="s">
        <v>267</v>
      </c>
      <c r="B1272" s="38" t="s">
        <v>180</v>
      </c>
      <c r="C1272" s="35" t="s">
        <v>211</v>
      </c>
      <c r="D1272" s="35">
        <v>305</v>
      </c>
      <c r="E1272" s="12">
        <v>45.62</v>
      </c>
      <c r="F1272" s="37">
        <v>10.520666741052048</v>
      </c>
      <c r="G1272" s="35">
        <v>0</v>
      </c>
      <c r="H1272" s="35">
        <v>0</v>
      </c>
      <c r="I1272" s="35">
        <v>0</v>
      </c>
      <c r="J1272" s="35">
        <v>0</v>
      </c>
      <c r="K1272" s="35">
        <v>0</v>
      </c>
      <c r="L1272" s="37">
        <v>649.35</v>
      </c>
      <c r="M1272" s="35">
        <v>1.8</v>
      </c>
      <c r="N1272" s="37">
        <v>25.6</v>
      </c>
      <c r="O1272" s="12">
        <v>0</v>
      </c>
      <c r="P1272" s="35">
        <v>15</v>
      </c>
      <c r="Q1272" s="35">
        <v>25</v>
      </c>
      <c r="R1272" s="35">
        <v>30</v>
      </c>
      <c r="S1272" s="35">
        <v>25</v>
      </c>
      <c r="T1272" s="21">
        <v>3.1181300442593001</v>
      </c>
      <c r="U1272" s="21">
        <v>0.29638141013365971</v>
      </c>
      <c r="V1272" s="37" t="s">
        <v>6</v>
      </c>
      <c r="W1272" s="37" t="s">
        <v>6</v>
      </c>
      <c r="X1272" s="35" t="s">
        <v>6</v>
      </c>
      <c r="Y1272" s="23" t="s">
        <v>6</v>
      </c>
      <c r="Z1272" s="21" t="s">
        <v>6</v>
      </c>
      <c r="AA1272" s="35" t="s">
        <v>6</v>
      </c>
      <c r="AB1272" s="35" t="s">
        <v>6</v>
      </c>
      <c r="AC1272" s="27" t="s">
        <v>207</v>
      </c>
    </row>
    <row r="1273" spans="1:29">
      <c r="A1273" s="35" t="s">
        <v>267</v>
      </c>
      <c r="B1273" s="38" t="s">
        <v>180</v>
      </c>
      <c r="C1273" s="35" t="s">
        <v>211</v>
      </c>
      <c r="D1273" s="35">
        <v>305</v>
      </c>
      <c r="E1273" s="12">
        <v>45.62</v>
      </c>
      <c r="F1273" s="37">
        <v>10.520666741052048</v>
      </c>
      <c r="G1273" s="35">
        <v>0</v>
      </c>
      <c r="H1273" s="35">
        <v>0</v>
      </c>
      <c r="I1273" s="35">
        <v>0</v>
      </c>
      <c r="J1273" s="35">
        <v>0</v>
      </c>
      <c r="K1273" s="35">
        <v>0</v>
      </c>
      <c r="L1273" s="37">
        <v>649.35</v>
      </c>
      <c r="M1273" s="35">
        <v>1.8</v>
      </c>
      <c r="N1273" s="37">
        <v>25.6</v>
      </c>
      <c r="O1273" s="12">
        <v>0</v>
      </c>
      <c r="P1273" s="35">
        <v>15</v>
      </c>
      <c r="Q1273" s="35">
        <v>25</v>
      </c>
      <c r="R1273" s="35">
        <v>30</v>
      </c>
      <c r="S1273" s="35">
        <v>50</v>
      </c>
      <c r="T1273" s="21">
        <v>3.8602105571465701</v>
      </c>
      <c r="U1273" s="21">
        <v>0.36691691241239294</v>
      </c>
      <c r="V1273" s="37" t="s">
        <v>6</v>
      </c>
      <c r="W1273" s="37" t="s">
        <v>6</v>
      </c>
      <c r="X1273" s="35" t="s">
        <v>6</v>
      </c>
      <c r="Y1273" s="23" t="s">
        <v>6</v>
      </c>
      <c r="Z1273" s="21" t="s">
        <v>6</v>
      </c>
      <c r="AA1273" s="35" t="s">
        <v>6</v>
      </c>
      <c r="AB1273" s="35" t="s">
        <v>6</v>
      </c>
      <c r="AC1273" s="27" t="s">
        <v>207</v>
      </c>
    </row>
    <row r="1274" spans="1:29">
      <c r="A1274" s="35" t="s">
        <v>267</v>
      </c>
      <c r="B1274" s="38" t="s">
        <v>180</v>
      </c>
      <c r="C1274" s="35" t="s">
        <v>211</v>
      </c>
      <c r="D1274" s="35">
        <v>305</v>
      </c>
      <c r="E1274" s="12">
        <v>45.62</v>
      </c>
      <c r="F1274" s="37">
        <v>10.571428571428573</v>
      </c>
      <c r="G1274" s="35">
        <v>0</v>
      </c>
      <c r="H1274" s="35">
        <v>0</v>
      </c>
      <c r="I1274" s="35">
        <v>0</v>
      </c>
      <c r="J1274" s="35">
        <v>0</v>
      </c>
      <c r="K1274" s="35">
        <v>0</v>
      </c>
      <c r="L1274" s="37">
        <v>649.35</v>
      </c>
      <c r="M1274" s="35">
        <v>1.8</v>
      </c>
      <c r="N1274" s="37">
        <v>25.6</v>
      </c>
      <c r="O1274" s="12">
        <v>0</v>
      </c>
      <c r="P1274" s="35">
        <v>15</v>
      </c>
      <c r="Q1274" s="35">
        <v>25</v>
      </c>
      <c r="R1274" s="35">
        <v>30</v>
      </c>
      <c r="S1274" s="35">
        <v>75</v>
      </c>
      <c r="T1274" s="21">
        <v>4.4400000000000004</v>
      </c>
      <c r="U1274" s="21">
        <v>0.42</v>
      </c>
      <c r="V1274" s="37" t="s">
        <v>6</v>
      </c>
      <c r="W1274" s="37" t="s">
        <v>6</v>
      </c>
      <c r="X1274" s="35">
        <v>120</v>
      </c>
      <c r="Y1274" s="23" t="s">
        <v>6</v>
      </c>
      <c r="Z1274" s="21">
        <v>1.6</v>
      </c>
      <c r="AA1274" s="35">
        <v>90</v>
      </c>
      <c r="AB1274" s="35">
        <v>55.77</v>
      </c>
      <c r="AC1274" s="27" t="s">
        <v>207</v>
      </c>
    </row>
    <row r="1275" spans="1:29">
      <c r="A1275" s="35" t="s">
        <v>267</v>
      </c>
      <c r="B1275" s="38" t="s">
        <v>180</v>
      </c>
      <c r="C1275" s="35" t="s">
        <v>211</v>
      </c>
      <c r="D1275" s="35">
        <v>305</v>
      </c>
      <c r="E1275" s="12">
        <v>53.49</v>
      </c>
      <c r="F1275" s="37">
        <v>12.234224007228498</v>
      </c>
      <c r="G1275" s="35">
        <v>0</v>
      </c>
      <c r="H1275" s="35">
        <v>0</v>
      </c>
      <c r="I1275" s="35">
        <v>0</v>
      </c>
      <c r="J1275" s="35">
        <v>0</v>
      </c>
      <c r="K1275" s="35">
        <v>0</v>
      </c>
      <c r="L1275" s="37">
        <v>649.35</v>
      </c>
      <c r="M1275" s="35">
        <v>1.8</v>
      </c>
      <c r="N1275" s="37">
        <v>25.6</v>
      </c>
      <c r="O1275" s="12">
        <v>0</v>
      </c>
      <c r="P1275" s="35">
        <v>15</v>
      </c>
      <c r="Q1275" s="35">
        <v>25</v>
      </c>
      <c r="R1275" s="35">
        <v>30</v>
      </c>
      <c r="S1275" s="35">
        <v>25</v>
      </c>
      <c r="T1275" s="21">
        <v>2.0806430617026801</v>
      </c>
      <c r="U1275" s="21">
        <v>0.17006743218640985</v>
      </c>
      <c r="V1275" s="37" t="s">
        <v>6</v>
      </c>
      <c r="W1275" s="37" t="s">
        <v>6</v>
      </c>
      <c r="X1275" s="35" t="s">
        <v>6</v>
      </c>
      <c r="Y1275" s="23" t="s">
        <v>6</v>
      </c>
      <c r="Z1275" s="21" t="s">
        <v>6</v>
      </c>
      <c r="AA1275" s="35" t="s">
        <v>6</v>
      </c>
      <c r="AB1275" s="35" t="s">
        <v>6</v>
      </c>
      <c r="AC1275" s="27" t="s">
        <v>207</v>
      </c>
    </row>
    <row r="1276" spans="1:29">
      <c r="A1276" s="35" t="s">
        <v>267</v>
      </c>
      <c r="B1276" s="38" t="s">
        <v>180</v>
      </c>
      <c r="C1276" s="35" t="s">
        <v>211</v>
      </c>
      <c r="D1276" s="35">
        <v>305</v>
      </c>
      <c r="E1276" s="12">
        <v>53.49</v>
      </c>
      <c r="F1276" s="37">
        <v>12.234224007228498</v>
      </c>
      <c r="G1276" s="35">
        <v>0</v>
      </c>
      <c r="H1276" s="35">
        <v>0</v>
      </c>
      <c r="I1276" s="35">
        <v>0</v>
      </c>
      <c r="J1276" s="35">
        <v>0</v>
      </c>
      <c r="K1276" s="35">
        <v>0</v>
      </c>
      <c r="L1276" s="37">
        <v>649.35</v>
      </c>
      <c r="M1276" s="35">
        <v>1.8</v>
      </c>
      <c r="N1276" s="37">
        <v>25.6</v>
      </c>
      <c r="O1276" s="12">
        <v>0</v>
      </c>
      <c r="P1276" s="35">
        <v>15</v>
      </c>
      <c r="Q1276" s="35">
        <v>25</v>
      </c>
      <c r="R1276" s="35">
        <v>30</v>
      </c>
      <c r="S1276" s="35">
        <v>50</v>
      </c>
      <c r="T1276" s="21">
        <v>2.8569285342358701</v>
      </c>
      <c r="U1276" s="21">
        <v>0.23351939056763024</v>
      </c>
      <c r="V1276" s="37" t="s">
        <v>6</v>
      </c>
      <c r="W1276" s="37" t="s">
        <v>6</v>
      </c>
      <c r="X1276" s="35" t="s">
        <v>6</v>
      </c>
      <c r="Y1276" s="23" t="s">
        <v>6</v>
      </c>
      <c r="Z1276" s="21" t="s">
        <v>6</v>
      </c>
      <c r="AA1276" s="35" t="s">
        <v>6</v>
      </c>
      <c r="AB1276" s="35" t="s">
        <v>6</v>
      </c>
      <c r="AC1276" s="27" t="s">
        <v>207</v>
      </c>
    </row>
    <row r="1277" spans="1:29">
      <c r="A1277" s="35" t="s">
        <v>267</v>
      </c>
      <c r="B1277" s="38" t="s">
        <v>180</v>
      </c>
      <c r="C1277" s="35" t="s">
        <v>211</v>
      </c>
      <c r="D1277" s="35">
        <v>305</v>
      </c>
      <c r="E1277" s="12">
        <v>53.49</v>
      </c>
      <c r="F1277" s="37">
        <v>12.323529411764707</v>
      </c>
      <c r="G1277" s="35">
        <v>0</v>
      </c>
      <c r="H1277" s="35">
        <v>0</v>
      </c>
      <c r="I1277" s="35">
        <v>0</v>
      </c>
      <c r="J1277" s="35">
        <v>0</v>
      </c>
      <c r="K1277" s="35">
        <v>0</v>
      </c>
      <c r="L1277" s="37">
        <v>649.35</v>
      </c>
      <c r="M1277" s="35">
        <v>1.8</v>
      </c>
      <c r="N1277" s="37">
        <v>25.6</v>
      </c>
      <c r="O1277" s="12">
        <v>0</v>
      </c>
      <c r="P1277" s="35">
        <v>15</v>
      </c>
      <c r="Q1277" s="35">
        <v>25</v>
      </c>
      <c r="R1277" s="35">
        <v>30</v>
      </c>
      <c r="S1277" s="35">
        <v>75</v>
      </c>
      <c r="T1277" s="21">
        <v>4.1900000000000004</v>
      </c>
      <c r="U1277" s="21">
        <v>0.34</v>
      </c>
      <c r="V1277" s="37" t="s">
        <v>6</v>
      </c>
      <c r="W1277" s="37" t="s">
        <v>6</v>
      </c>
      <c r="X1277" s="35" t="s">
        <v>6</v>
      </c>
      <c r="Y1277" s="23" t="s">
        <v>6</v>
      </c>
      <c r="Z1277" s="21" t="s">
        <v>6</v>
      </c>
      <c r="AA1277" s="35" t="s">
        <v>6</v>
      </c>
      <c r="AB1277" s="35">
        <v>52.57</v>
      </c>
      <c r="AC1277" s="27" t="s">
        <v>207</v>
      </c>
    </row>
    <row r="1278" spans="1:29">
      <c r="A1278" s="35" t="s">
        <v>238</v>
      </c>
      <c r="B1278" s="38" t="s">
        <v>221</v>
      </c>
      <c r="C1278" s="49" t="s">
        <v>222</v>
      </c>
      <c r="D1278" s="35">
        <v>232</v>
      </c>
      <c r="E1278" s="12">
        <v>56.521739130434788</v>
      </c>
      <c r="F1278" s="37">
        <v>14.4</v>
      </c>
      <c r="G1278" s="35">
        <v>0</v>
      </c>
      <c r="H1278" s="35">
        <v>0</v>
      </c>
      <c r="I1278" s="35">
        <v>0</v>
      </c>
      <c r="J1278" s="35">
        <v>0</v>
      </c>
      <c r="K1278" s="35">
        <v>0</v>
      </c>
      <c r="L1278" s="37">
        <v>871</v>
      </c>
      <c r="M1278" s="37">
        <v>3.04</v>
      </c>
      <c r="N1278" s="37">
        <v>18.399999999999999</v>
      </c>
      <c r="O1278" s="12">
        <v>0</v>
      </c>
      <c r="P1278" s="35">
        <v>100</v>
      </c>
      <c r="Q1278" s="35">
        <v>50</v>
      </c>
      <c r="R1278" s="35">
        <v>180</v>
      </c>
      <c r="S1278" s="35">
        <v>25</v>
      </c>
      <c r="T1278" s="21">
        <v>1.6856478849074299</v>
      </c>
      <c r="U1278" s="21">
        <v>0.116379911</v>
      </c>
      <c r="V1278" s="37">
        <v>5.97</v>
      </c>
      <c r="W1278" s="37">
        <v>81.599999999999994</v>
      </c>
      <c r="X1278" s="35" t="s">
        <v>6</v>
      </c>
      <c r="Y1278" s="23" t="s">
        <v>6</v>
      </c>
      <c r="Z1278" s="21" t="s">
        <v>6</v>
      </c>
      <c r="AA1278" s="35" t="s">
        <v>6</v>
      </c>
      <c r="AB1278" s="35" t="s">
        <v>6</v>
      </c>
      <c r="AC1278" s="27" t="s">
        <v>283</v>
      </c>
    </row>
    <row r="1279" spans="1:29">
      <c r="A1279" s="35" t="s">
        <v>238</v>
      </c>
      <c r="B1279" s="38" t="s">
        <v>221</v>
      </c>
      <c r="C1279" s="49" t="s">
        <v>222</v>
      </c>
      <c r="D1279" s="35">
        <v>232</v>
      </c>
      <c r="E1279" s="12">
        <v>56.521739130434788</v>
      </c>
      <c r="F1279" s="37">
        <v>14.4</v>
      </c>
      <c r="G1279" s="35">
        <v>0</v>
      </c>
      <c r="H1279" s="35">
        <v>0</v>
      </c>
      <c r="I1279" s="35">
        <v>0</v>
      </c>
      <c r="J1279" s="35">
        <v>0</v>
      </c>
      <c r="K1279" s="35">
        <v>0</v>
      </c>
      <c r="L1279" s="37">
        <v>871</v>
      </c>
      <c r="M1279" s="37">
        <v>3.04</v>
      </c>
      <c r="N1279" s="37">
        <v>18.399999999999999</v>
      </c>
      <c r="O1279" s="12">
        <v>0</v>
      </c>
      <c r="P1279" s="35">
        <v>100</v>
      </c>
      <c r="Q1279" s="35">
        <v>50</v>
      </c>
      <c r="R1279" s="35">
        <v>180</v>
      </c>
      <c r="S1279" s="35">
        <v>50</v>
      </c>
      <c r="T1279" s="21">
        <v>1.32130151253259</v>
      </c>
      <c r="U1279" s="21">
        <v>9.1445174000000004E-2</v>
      </c>
      <c r="V1279" s="37">
        <v>5.0199999999999996</v>
      </c>
      <c r="W1279" s="37">
        <v>71.400000000000006</v>
      </c>
      <c r="X1279" s="35" t="s">
        <v>6</v>
      </c>
      <c r="Y1279" s="23" t="s">
        <v>6</v>
      </c>
      <c r="Z1279" s="21" t="s">
        <v>6</v>
      </c>
      <c r="AA1279" s="35" t="s">
        <v>6</v>
      </c>
      <c r="AB1279" s="35" t="s">
        <v>6</v>
      </c>
      <c r="AC1279" s="27" t="s">
        <v>283</v>
      </c>
    </row>
    <row r="1280" spans="1:29">
      <c r="A1280" s="35" t="s">
        <v>238</v>
      </c>
      <c r="B1280" s="38" t="s">
        <v>221</v>
      </c>
      <c r="C1280" s="49" t="s">
        <v>222</v>
      </c>
      <c r="D1280" s="35">
        <v>232</v>
      </c>
      <c r="E1280" s="12">
        <v>56.521739130434788</v>
      </c>
      <c r="F1280" s="37">
        <v>14.4</v>
      </c>
      <c r="G1280" s="35">
        <v>0</v>
      </c>
      <c r="H1280" s="35">
        <v>0</v>
      </c>
      <c r="I1280" s="35">
        <v>0</v>
      </c>
      <c r="J1280" s="35">
        <v>0</v>
      </c>
      <c r="K1280" s="35">
        <v>0</v>
      </c>
      <c r="L1280" s="37">
        <v>871</v>
      </c>
      <c r="M1280" s="37">
        <v>3.04</v>
      </c>
      <c r="N1280" s="37">
        <v>18.399999999999999</v>
      </c>
      <c r="O1280" s="12">
        <v>0</v>
      </c>
      <c r="P1280" s="35">
        <v>100</v>
      </c>
      <c r="Q1280" s="35">
        <v>50</v>
      </c>
      <c r="R1280" s="35">
        <v>180</v>
      </c>
      <c r="S1280" s="35">
        <v>75</v>
      </c>
      <c r="T1280" s="21">
        <v>0.85324591168125596</v>
      </c>
      <c r="U1280" s="21">
        <v>5.9452252999999997E-2</v>
      </c>
      <c r="V1280" s="37">
        <v>8.64</v>
      </c>
      <c r="W1280" s="37">
        <v>71.5</v>
      </c>
      <c r="X1280" s="35" t="s">
        <v>6</v>
      </c>
      <c r="Y1280" s="23" t="s">
        <v>6</v>
      </c>
      <c r="Z1280" s="21" t="s">
        <v>6</v>
      </c>
      <c r="AA1280" s="35" t="s">
        <v>6</v>
      </c>
      <c r="AB1280" s="35" t="s">
        <v>6</v>
      </c>
      <c r="AC1280" s="27" t="s">
        <v>283</v>
      </c>
    </row>
    <row r="1281" spans="1:29">
      <c r="A1281" s="35" t="s">
        <v>238</v>
      </c>
      <c r="B1281" s="38" t="s">
        <v>221</v>
      </c>
      <c r="C1281" s="49" t="s">
        <v>222</v>
      </c>
      <c r="D1281" s="35">
        <v>232</v>
      </c>
      <c r="E1281" s="12">
        <v>56.521739130434788</v>
      </c>
      <c r="F1281" s="37">
        <v>14.4</v>
      </c>
      <c r="G1281" s="35">
        <v>0</v>
      </c>
      <c r="H1281" s="35">
        <v>0</v>
      </c>
      <c r="I1281" s="35">
        <v>0</v>
      </c>
      <c r="J1281" s="35">
        <v>0</v>
      </c>
      <c r="K1281" s="35">
        <v>0</v>
      </c>
      <c r="L1281" s="37">
        <v>871</v>
      </c>
      <c r="M1281" s="37">
        <v>3.04</v>
      </c>
      <c r="N1281" s="37">
        <v>18.399999999999999</v>
      </c>
      <c r="O1281" s="12">
        <v>0</v>
      </c>
      <c r="P1281" s="35">
        <v>100</v>
      </c>
      <c r="Q1281" s="35">
        <v>50</v>
      </c>
      <c r="R1281" s="35">
        <v>180</v>
      </c>
      <c r="S1281" s="35">
        <v>100</v>
      </c>
      <c r="T1281" s="21">
        <v>0.43334406252614399</v>
      </c>
      <c r="U1281" s="21">
        <v>3.0724817000000001E-2</v>
      </c>
      <c r="V1281" s="37">
        <v>44.3</v>
      </c>
      <c r="W1281" s="37">
        <v>146</v>
      </c>
      <c r="X1281" s="35" t="s">
        <v>6</v>
      </c>
      <c r="Y1281" s="23" t="s">
        <v>6</v>
      </c>
      <c r="Z1281" s="21" t="s">
        <v>6</v>
      </c>
      <c r="AA1281" s="35" t="s">
        <v>6</v>
      </c>
      <c r="AB1281" s="35" t="s">
        <v>6</v>
      </c>
      <c r="AC1281" s="27" t="s">
        <v>283</v>
      </c>
    </row>
    <row r="1282" spans="1:29">
      <c r="A1282" s="35" t="s">
        <v>238</v>
      </c>
      <c r="B1282" s="38" t="s">
        <v>221</v>
      </c>
      <c r="C1282" s="49" t="s">
        <v>222</v>
      </c>
      <c r="D1282" s="35">
        <v>232</v>
      </c>
      <c r="E1282" s="12">
        <v>66.666666666666657</v>
      </c>
      <c r="F1282" s="35">
        <v>17.100000000000001</v>
      </c>
      <c r="G1282" s="35">
        <v>0</v>
      </c>
      <c r="H1282" s="35">
        <v>0</v>
      </c>
      <c r="I1282" s="35">
        <v>0</v>
      </c>
      <c r="J1282" s="35">
        <v>0</v>
      </c>
      <c r="K1282" s="35">
        <v>0</v>
      </c>
      <c r="L1282" s="37">
        <v>871</v>
      </c>
      <c r="M1282" s="37">
        <v>3.04</v>
      </c>
      <c r="N1282" s="37">
        <v>18.399999999999999</v>
      </c>
      <c r="O1282" s="12">
        <v>0</v>
      </c>
      <c r="P1282" s="35">
        <v>100</v>
      </c>
      <c r="Q1282" s="35">
        <v>50</v>
      </c>
      <c r="R1282" s="35">
        <v>180</v>
      </c>
      <c r="S1282" s="35">
        <v>25</v>
      </c>
      <c r="T1282" s="21">
        <v>2.48934477717546</v>
      </c>
      <c r="U1282" s="21">
        <v>0.14553933899999999</v>
      </c>
      <c r="V1282" s="37">
        <v>4.7699999999999996</v>
      </c>
      <c r="W1282" s="37">
        <v>82.5</v>
      </c>
      <c r="X1282" s="35" t="s">
        <v>6</v>
      </c>
      <c r="Y1282" s="23" t="s">
        <v>6</v>
      </c>
      <c r="Z1282" s="21" t="s">
        <v>6</v>
      </c>
      <c r="AA1282" s="35" t="s">
        <v>6</v>
      </c>
      <c r="AB1282" s="35" t="s">
        <v>6</v>
      </c>
      <c r="AC1282" s="27" t="s">
        <v>283</v>
      </c>
    </row>
    <row r="1283" spans="1:29">
      <c r="A1283" s="35" t="s">
        <v>238</v>
      </c>
      <c r="B1283" s="38" t="s">
        <v>221</v>
      </c>
      <c r="C1283" s="49" t="s">
        <v>222</v>
      </c>
      <c r="D1283" s="35">
        <v>232</v>
      </c>
      <c r="E1283" s="12">
        <v>66.666666666666657</v>
      </c>
      <c r="F1283" s="35">
        <v>17.100000000000001</v>
      </c>
      <c r="G1283" s="35">
        <v>0</v>
      </c>
      <c r="H1283" s="35">
        <v>0</v>
      </c>
      <c r="I1283" s="35">
        <v>0</v>
      </c>
      <c r="J1283" s="35">
        <v>0</v>
      </c>
      <c r="K1283" s="35">
        <v>0</v>
      </c>
      <c r="L1283" s="37">
        <v>871</v>
      </c>
      <c r="M1283" s="37">
        <v>3.04</v>
      </c>
      <c r="N1283" s="37">
        <v>18.399999999999999</v>
      </c>
      <c r="O1283" s="12">
        <v>0</v>
      </c>
      <c r="P1283" s="35">
        <v>100</v>
      </c>
      <c r="Q1283" s="35">
        <v>50</v>
      </c>
      <c r="R1283" s="35">
        <v>180</v>
      </c>
      <c r="S1283" s="35">
        <v>50</v>
      </c>
      <c r="T1283" s="21">
        <v>2.6953736382314601</v>
      </c>
      <c r="U1283" s="21">
        <v>0.15594197400000001</v>
      </c>
      <c r="V1283" s="37">
        <v>2.97</v>
      </c>
      <c r="W1283" s="37">
        <v>64</v>
      </c>
      <c r="X1283" s="35" t="s">
        <v>6</v>
      </c>
      <c r="Y1283" s="23" t="s">
        <v>6</v>
      </c>
      <c r="Z1283" s="21" t="s">
        <v>6</v>
      </c>
      <c r="AA1283" s="35" t="s">
        <v>6</v>
      </c>
      <c r="AB1283" s="35" t="s">
        <v>6</v>
      </c>
      <c r="AC1283" s="27" t="s">
        <v>283</v>
      </c>
    </row>
    <row r="1284" spans="1:29" ht="13.2" customHeight="1">
      <c r="A1284" s="35" t="s">
        <v>238</v>
      </c>
      <c r="B1284" s="38" t="s">
        <v>221</v>
      </c>
      <c r="C1284" s="49" t="s">
        <v>222</v>
      </c>
      <c r="D1284" s="35">
        <v>232</v>
      </c>
      <c r="E1284" s="12">
        <v>66.666666666666657</v>
      </c>
      <c r="F1284" s="35">
        <v>17.100000000000001</v>
      </c>
      <c r="G1284" s="35">
        <v>0</v>
      </c>
      <c r="H1284" s="35">
        <v>0</v>
      </c>
      <c r="I1284" s="35">
        <v>0</v>
      </c>
      <c r="J1284" s="35">
        <v>0</v>
      </c>
      <c r="K1284" s="35">
        <v>0</v>
      </c>
      <c r="L1284" s="37">
        <v>871</v>
      </c>
      <c r="M1284" s="37">
        <v>3.04</v>
      </c>
      <c r="N1284" s="37">
        <v>18.399999999999999</v>
      </c>
      <c r="O1284" s="12">
        <v>0</v>
      </c>
      <c r="P1284" s="35">
        <v>100</v>
      </c>
      <c r="Q1284" s="35">
        <v>50</v>
      </c>
      <c r="R1284" s="35">
        <v>180</v>
      </c>
      <c r="S1284" s="35">
        <v>75</v>
      </c>
      <c r="T1284" s="21">
        <v>3.1754648410968702</v>
      </c>
      <c r="U1284" s="21">
        <v>0.183738074</v>
      </c>
      <c r="V1284" s="37">
        <v>3.84</v>
      </c>
      <c r="W1284" s="37">
        <v>42.5</v>
      </c>
      <c r="X1284" s="35" t="s">
        <v>6</v>
      </c>
      <c r="Y1284" s="23" t="s">
        <v>6</v>
      </c>
      <c r="Z1284" s="21" t="s">
        <v>6</v>
      </c>
      <c r="AA1284" s="35" t="s">
        <v>6</v>
      </c>
      <c r="AB1284" s="35" t="s">
        <v>6</v>
      </c>
      <c r="AC1284" s="27" t="s">
        <v>283</v>
      </c>
    </row>
    <row r="1285" spans="1:29">
      <c r="A1285" s="35" t="s">
        <v>238</v>
      </c>
      <c r="B1285" s="38" t="s">
        <v>221</v>
      </c>
      <c r="C1285" s="49" t="s">
        <v>222</v>
      </c>
      <c r="D1285" s="35">
        <v>232</v>
      </c>
      <c r="E1285" s="12">
        <v>66.666666666666657</v>
      </c>
      <c r="F1285" s="35">
        <v>17.100000000000001</v>
      </c>
      <c r="G1285" s="35">
        <v>0</v>
      </c>
      <c r="H1285" s="35">
        <v>0</v>
      </c>
      <c r="I1285" s="35">
        <v>0</v>
      </c>
      <c r="J1285" s="35">
        <v>0</v>
      </c>
      <c r="K1285" s="35">
        <v>0</v>
      </c>
      <c r="L1285" s="37">
        <v>871</v>
      </c>
      <c r="M1285" s="37">
        <v>3.04</v>
      </c>
      <c r="N1285" s="37">
        <v>18.399999999999999</v>
      </c>
      <c r="O1285" s="12">
        <v>0</v>
      </c>
      <c r="P1285" s="35">
        <v>100</v>
      </c>
      <c r="Q1285" s="35">
        <v>50</v>
      </c>
      <c r="R1285" s="35">
        <v>180</v>
      </c>
      <c r="S1285" s="35">
        <v>100</v>
      </c>
      <c r="T1285" s="21">
        <v>1.59631672009993</v>
      </c>
      <c r="U1285" s="21">
        <v>9.4123056999999996E-2</v>
      </c>
      <c r="V1285" s="37">
        <v>6.48</v>
      </c>
      <c r="W1285" s="37">
        <v>25.1</v>
      </c>
      <c r="X1285" s="35" t="s">
        <v>6</v>
      </c>
      <c r="Y1285" s="23" t="s">
        <v>6</v>
      </c>
      <c r="Z1285" s="21" t="s">
        <v>6</v>
      </c>
      <c r="AA1285" s="35" t="s">
        <v>6</v>
      </c>
      <c r="AB1285" s="35" t="s">
        <v>6</v>
      </c>
      <c r="AC1285" s="27" t="s">
        <v>283</v>
      </c>
    </row>
    <row r="1286" spans="1:29">
      <c r="A1286" s="35" t="s">
        <v>238</v>
      </c>
      <c r="B1286" s="38" t="s">
        <v>221</v>
      </c>
      <c r="C1286" s="49" t="s">
        <v>222</v>
      </c>
      <c r="D1286" s="35">
        <v>232</v>
      </c>
      <c r="E1286" s="12">
        <v>75.786924939467312</v>
      </c>
      <c r="F1286" s="35">
        <v>19.3</v>
      </c>
      <c r="G1286" s="35">
        <v>0</v>
      </c>
      <c r="H1286" s="35">
        <v>0</v>
      </c>
      <c r="I1286" s="35">
        <v>0</v>
      </c>
      <c r="J1286" s="35">
        <v>0</v>
      </c>
      <c r="K1286" s="35">
        <v>0</v>
      </c>
      <c r="L1286" s="37">
        <v>871</v>
      </c>
      <c r="M1286" s="37">
        <v>3.04</v>
      </c>
      <c r="N1286" s="37">
        <v>18.399999999999999</v>
      </c>
      <c r="O1286" s="12">
        <v>0</v>
      </c>
      <c r="P1286" s="35">
        <v>100</v>
      </c>
      <c r="Q1286" s="35">
        <v>50</v>
      </c>
      <c r="R1286" s="35">
        <v>180</v>
      </c>
      <c r="S1286" s="35">
        <v>25</v>
      </c>
      <c r="T1286" s="21">
        <v>1.5560127672667901</v>
      </c>
      <c r="U1286" s="21">
        <v>8.0691837000000002E-2</v>
      </c>
      <c r="V1286" s="37">
        <v>19.3</v>
      </c>
      <c r="W1286" s="37">
        <v>108.9</v>
      </c>
      <c r="X1286" s="35">
        <v>75</v>
      </c>
      <c r="Y1286" s="23">
        <v>6.5499999999999892</v>
      </c>
      <c r="Z1286" s="21">
        <v>16.171617161716163</v>
      </c>
      <c r="AA1286" s="35">
        <v>10</v>
      </c>
      <c r="AB1286" s="35" t="s">
        <v>6</v>
      </c>
      <c r="AC1286" s="27" t="s">
        <v>283</v>
      </c>
    </row>
    <row r="1287" spans="1:29">
      <c r="A1287" s="35" t="s">
        <v>238</v>
      </c>
      <c r="B1287" s="38" t="s">
        <v>221</v>
      </c>
      <c r="C1287" s="49" t="s">
        <v>222</v>
      </c>
      <c r="D1287" s="35">
        <v>232</v>
      </c>
      <c r="E1287" s="12">
        <v>75.786924939467312</v>
      </c>
      <c r="F1287" s="35">
        <v>19.3</v>
      </c>
      <c r="G1287" s="35">
        <v>0</v>
      </c>
      <c r="H1287" s="35">
        <v>0</v>
      </c>
      <c r="I1287" s="35">
        <v>0</v>
      </c>
      <c r="J1287" s="35">
        <v>0</v>
      </c>
      <c r="K1287" s="35">
        <v>0</v>
      </c>
      <c r="L1287" s="37">
        <v>871</v>
      </c>
      <c r="M1287" s="37">
        <v>3.04</v>
      </c>
      <c r="N1287" s="37">
        <v>18.399999999999999</v>
      </c>
      <c r="O1287" s="12">
        <v>0</v>
      </c>
      <c r="P1287" s="35">
        <v>100</v>
      </c>
      <c r="Q1287" s="35">
        <v>50</v>
      </c>
      <c r="R1287" s="35">
        <v>180</v>
      </c>
      <c r="S1287" s="35">
        <v>50</v>
      </c>
      <c r="T1287" s="21">
        <v>2.00647438251604</v>
      </c>
      <c r="U1287" s="21">
        <v>0.10412853800000001</v>
      </c>
      <c r="V1287" s="37">
        <v>3.87</v>
      </c>
      <c r="W1287" s="37">
        <v>81.8</v>
      </c>
      <c r="X1287" s="35" t="s">
        <v>6</v>
      </c>
      <c r="Y1287" s="23" t="s">
        <v>6</v>
      </c>
      <c r="Z1287" s="21" t="s">
        <v>6</v>
      </c>
      <c r="AA1287" s="35" t="s">
        <v>6</v>
      </c>
      <c r="AB1287" s="35" t="s">
        <v>6</v>
      </c>
      <c r="AC1287" s="27" t="s">
        <v>283</v>
      </c>
    </row>
    <row r="1288" spans="1:29">
      <c r="A1288" s="35" t="s">
        <v>238</v>
      </c>
      <c r="B1288" s="38" t="s">
        <v>221</v>
      </c>
      <c r="C1288" s="49" t="s">
        <v>222</v>
      </c>
      <c r="D1288" s="35">
        <v>232</v>
      </c>
      <c r="E1288" s="12">
        <v>75.786924939467312</v>
      </c>
      <c r="F1288" s="35">
        <v>19.3</v>
      </c>
      <c r="G1288" s="35">
        <v>0</v>
      </c>
      <c r="H1288" s="35">
        <v>0</v>
      </c>
      <c r="I1288" s="35">
        <v>0</v>
      </c>
      <c r="J1288" s="35">
        <v>0</v>
      </c>
      <c r="K1288" s="35">
        <v>0</v>
      </c>
      <c r="L1288" s="37">
        <v>871</v>
      </c>
      <c r="M1288" s="37">
        <v>3.04</v>
      </c>
      <c r="N1288" s="37">
        <v>18.399999999999999</v>
      </c>
      <c r="O1288" s="12">
        <v>0</v>
      </c>
      <c r="P1288" s="35">
        <v>100</v>
      </c>
      <c r="Q1288" s="35">
        <v>50</v>
      </c>
      <c r="R1288" s="35">
        <v>180</v>
      </c>
      <c r="S1288" s="35">
        <v>75</v>
      </c>
      <c r="T1288" s="21">
        <v>3.3087866417295602</v>
      </c>
      <c r="U1288" s="21">
        <v>0.17050659100000001</v>
      </c>
      <c r="V1288" s="37">
        <v>3.85</v>
      </c>
      <c r="W1288" s="37">
        <v>73.099999999999994</v>
      </c>
      <c r="X1288" s="35" t="s">
        <v>6</v>
      </c>
      <c r="Y1288" s="23" t="s">
        <v>6</v>
      </c>
      <c r="Z1288" s="21" t="s">
        <v>6</v>
      </c>
      <c r="AA1288" s="35" t="s">
        <v>6</v>
      </c>
      <c r="AB1288" s="35" t="s">
        <v>6</v>
      </c>
      <c r="AC1288" s="27" t="s">
        <v>283</v>
      </c>
    </row>
    <row r="1289" spans="1:29">
      <c r="A1289" s="35" t="s">
        <v>238</v>
      </c>
      <c r="B1289" s="38" t="s">
        <v>221</v>
      </c>
      <c r="C1289" s="49" t="s">
        <v>222</v>
      </c>
      <c r="D1289" s="35">
        <v>232</v>
      </c>
      <c r="E1289" s="12">
        <v>75.786924939467312</v>
      </c>
      <c r="F1289" s="35">
        <v>19.3</v>
      </c>
      <c r="G1289" s="35">
        <v>0</v>
      </c>
      <c r="H1289" s="35">
        <v>0</v>
      </c>
      <c r="I1289" s="35">
        <v>0</v>
      </c>
      <c r="J1289" s="35">
        <v>0</v>
      </c>
      <c r="K1289" s="35">
        <v>0</v>
      </c>
      <c r="L1289" s="37">
        <v>871</v>
      </c>
      <c r="M1289" s="37">
        <v>3.04</v>
      </c>
      <c r="N1289" s="37">
        <v>18.399999999999999</v>
      </c>
      <c r="O1289" s="12">
        <v>0</v>
      </c>
      <c r="P1289" s="35">
        <v>100</v>
      </c>
      <c r="Q1289" s="35">
        <v>50</v>
      </c>
      <c r="R1289" s="35">
        <v>180</v>
      </c>
      <c r="S1289" s="35">
        <v>100</v>
      </c>
      <c r="T1289" s="21">
        <v>3.37037693497683</v>
      </c>
      <c r="U1289" s="21">
        <v>0.17383710699999999</v>
      </c>
      <c r="V1289" s="37">
        <v>7.41</v>
      </c>
      <c r="W1289" s="37">
        <v>37.4</v>
      </c>
      <c r="X1289" s="35" t="s">
        <v>6</v>
      </c>
      <c r="Y1289" s="23" t="s">
        <v>6</v>
      </c>
      <c r="Z1289" s="21" t="s">
        <v>6</v>
      </c>
      <c r="AA1289" s="35" t="s">
        <v>6</v>
      </c>
      <c r="AB1289" s="35" t="s">
        <v>6</v>
      </c>
      <c r="AC1289" s="27" t="s">
        <v>283</v>
      </c>
    </row>
    <row r="1290" spans="1:29">
      <c r="A1290" s="35" t="s">
        <v>238</v>
      </c>
      <c r="B1290" s="38" t="s">
        <v>221</v>
      </c>
      <c r="C1290" s="49" t="s">
        <v>222</v>
      </c>
      <c r="D1290" s="35">
        <v>232</v>
      </c>
      <c r="E1290" s="12">
        <v>79.591836734693871</v>
      </c>
      <c r="F1290" s="35">
        <v>20.399999999999999</v>
      </c>
      <c r="G1290" s="35">
        <v>0</v>
      </c>
      <c r="H1290" s="35">
        <v>0</v>
      </c>
      <c r="I1290" s="35">
        <v>0</v>
      </c>
      <c r="J1290" s="35">
        <v>0</v>
      </c>
      <c r="K1290" s="35">
        <v>0</v>
      </c>
      <c r="L1290" s="37">
        <v>871</v>
      </c>
      <c r="M1290" s="37">
        <v>3.04</v>
      </c>
      <c r="N1290" s="37">
        <v>18.399999999999999</v>
      </c>
      <c r="O1290" s="12">
        <v>0</v>
      </c>
      <c r="P1290" s="35">
        <v>100</v>
      </c>
      <c r="Q1290" s="35">
        <v>50</v>
      </c>
      <c r="R1290" s="35">
        <v>180</v>
      </c>
      <c r="S1290" s="35">
        <v>25</v>
      </c>
      <c r="T1290" s="21">
        <v>1.3300928335136499</v>
      </c>
      <c r="U1290" s="21">
        <v>6.5836902000000003E-2</v>
      </c>
      <c r="V1290" s="37">
        <v>17.399999999999999</v>
      </c>
      <c r="W1290" s="37">
        <v>110.5</v>
      </c>
      <c r="X1290" s="35" t="s">
        <v>6</v>
      </c>
      <c r="Y1290" s="23" t="s">
        <v>6</v>
      </c>
      <c r="Z1290" s="21" t="s">
        <v>6</v>
      </c>
      <c r="AA1290" s="35" t="s">
        <v>6</v>
      </c>
      <c r="AB1290" s="35" t="s">
        <v>6</v>
      </c>
      <c r="AC1290" s="27" t="s">
        <v>283</v>
      </c>
    </row>
    <row r="1291" spans="1:29">
      <c r="A1291" s="35" t="s">
        <v>238</v>
      </c>
      <c r="B1291" s="38" t="s">
        <v>221</v>
      </c>
      <c r="C1291" s="49" t="s">
        <v>222</v>
      </c>
      <c r="D1291" s="35">
        <v>232</v>
      </c>
      <c r="E1291" s="12">
        <v>79.591836734693871</v>
      </c>
      <c r="F1291" s="35">
        <v>20.399999999999999</v>
      </c>
      <c r="G1291" s="35">
        <v>0</v>
      </c>
      <c r="H1291" s="35">
        <v>0</v>
      </c>
      <c r="I1291" s="35">
        <v>0</v>
      </c>
      <c r="J1291" s="35">
        <v>0</v>
      </c>
      <c r="K1291" s="35">
        <v>0</v>
      </c>
      <c r="L1291" s="37">
        <v>871</v>
      </c>
      <c r="M1291" s="37">
        <v>3.04</v>
      </c>
      <c r="N1291" s="37">
        <v>18.399999999999999</v>
      </c>
      <c r="O1291" s="12">
        <v>0</v>
      </c>
      <c r="P1291" s="35">
        <v>100</v>
      </c>
      <c r="Q1291" s="35">
        <v>50</v>
      </c>
      <c r="R1291" s="35">
        <v>180</v>
      </c>
      <c r="S1291" s="35">
        <v>50</v>
      </c>
      <c r="T1291" s="21">
        <v>1.9435228524717001</v>
      </c>
      <c r="U1291" s="21">
        <v>9.4708336000000004E-2</v>
      </c>
      <c r="V1291" s="37">
        <v>4.41</v>
      </c>
      <c r="W1291" s="37">
        <v>89</v>
      </c>
      <c r="X1291" s="35" t="s">
        <v>6</v>
      </c>
      <c r="Y1291" s="23" t="s">
        <v>6</v>
      </c>
      <c r="Z1291" s="21" t="s">
        <v>6</v>
      </c>
      <c r="AA1291" s="35" t="s">
        <v>6</v>
      </c>
      <c r="AB1291" s="35" t="s">
        <v>6</v>
      </c>
      <c r="AC1291" s="27" t="s">
        <v>283</v>
      </c>
    </row>
    <row r="1292" spans="1:29">
      <c r="A1292" s="35" t="s">
        <v>238</v>
      </c>
      <c r="B1292" s="38" t="s">
        <v>221</v>
      </c>
      <c r="C1292" s="49" t="s">
        <v>222</v>
      </c>
      <c r="D1292" s="35">
        <v>232</v>
      </c>
      <c r="E1292" s="12">
        <v>79.591836734693871</v>
      </c>
      <c r="F1292" s="35">
        <v>20.399999999999999</v>
      </c>
      <c r="G1292" s="35">
        <v>0</v>
      </c>
      <c r="H1292" s="35">
        <v>0</v>
      </c>
      <c r="I1292" s="35">
        <v>0</v>
      </c>
      <c r="J1292" s="35">
        <v>0</v>
      </c>
      <c r="K1292" s="35">
        <v>0</v>
      </c>
      <c r="L1292" s="37">
        <v>871</v>
      </c>
      <c r="M1292" s="37">
        <v>3.04</v>
      </c>
      <c r="N1292" s="37">
        <v>18.399999999999999</v>
      </c>
      <c r="O1292" s="12">
        <v>0</v>
      </c>
      <c r="P1292" s="35">
        <v>100</v>
      </c>
      <c r="Q1292" s="35">
        <v>50</v>
      </c>
      <c r="R1292" s="35">
        <v>180</v>
      </c>
      <c r="S1292" s="35">
        <v>75</v>
      </c>
      <c r="T1292" s="21">
        <v>3.5643531785588101</v>
      </c>
      <c r="U1292" s="21">
        <v>0.174127424</v>
      </c>
      <c r="V1292" s="37">
        <v>3.86</v>
      </c>
      <c r="W1292" s="37">
        <v>72.599999999999994</v>
      </c>
      <c r="X1292" s="35" t="s">
        <v>6</v>
      </c>
      <c r="Y1292" s="23" t="s">
        <v>6</v>
      </c>
      <c r="Z1292" s="21" t="s">
        <v>6</v>
      </c>
      <c r="AA1292" s="35" t="s">
        <v>6</v>
      </c>
      <c r="AB1292" s="35" t="s">
        <v>6</v>
      </c>
      <c r="AC1292" s="27" t="s">
        <v>283</v>
      </c>
    </row>
    <row r="1293" spans="1:29">
      <c r="A1293" s="35" t="s">
        <v>238</v>
      </c>
      <c r="B1293" s="38" t="s">
        <v>221</v>
      </c>
      <c r="C1293" s="49" t="s">
        <v>222</v>
      </c>
      <c r="D1293" s="35">
        <v>232</v>
      </c>
      <c r="E1293" s="12">
        <v>79.591836734693871</v>
      </c>
      <c r="F1293" s="35">
        <v>20.399999999999999</v>
      </c>
      <c r="G1293" s="35">
        <v>0</v>
      </c>
      <c r="H1293" s="35">
        <v>0</v>
      </c>
      <c r="I1293" s="35">
        <v>0</v>
      </c>
      <c r="J1293" s="35">
        <v>0</v>
      </c>
      <c r="K1293" s="35">
        <v>0</v>
      </c>
      <c r="L1293" s="37">
        <v>871</v>
      </c>
      <c r="M1293" s="37">
        <v>3.04</v>
      </c>
      <c r="N1293" s="37">
        <v>18.399999999999999</v>
      </c>
      <c r="O1293" s="12">
        <v>0</v>
      </c>
      <c r="P1293" s="35">
        <v>100</v>
      </c>
      <c r="Q1293" s="35">
        <v>50</v>
      </c>
      <c r="R1293" s="35">
        <v>180</v>
      </c>
      <c r="S1293" s="35">
        <v>100</v>
      </c>
      <c r="T1293" s="21">
        <v>3.7259376581905999</v>
      </c>
      <c r="U1293" s="21">
        <v>0.182897316</v>
      </c>
      <c r="V1293" s="37">
        <v>8.17</v>
      </c>
      <c r="W1293" s="37">
        <v>49.2</v>
      </c>
      <c r="X1293" s="35" t="s">
        <v>6</v>
      </c>
      <c r="Y1293" s="23" t="s">
        <v>6</v>
      </c>
      <c r="Z1293" s="21" t="s">
        <v>6</v>
      </c>
      <c r="AA1293" s="35" t="s">
        <v>6</v>
      </c>
      <c r="AB1293" s="35" t="s">
        <v>6</v>
      </c>
      <c r="AC1293" s="27" t="s">
        <v>283</v>
      </c>
    </row>
    <row r="1294" spans="1:29">
      <c r="A1294" s="35" t="s">
        <v>238</v>
      </c>
      <c r="B1294" s="38" t="s">
        <v>221</v>
      </c>
      <c r="C1294" s="49" t="s">
        <v>222</v>
      </c>
      <c r="D1294" s="35">
        <v>232</v>
      </c>
      <c r="E1294" s="12">
        <v>56.521739130434788</v>
      </c>
      <c r="F1294" s="37">
        <v>14.4</v>
      </c>
      <c r="G1294" s="35">
        <v>0</v>
      </c>
      <c r="H1294" s="35">
        <v>0</v>
      </c>
      <c r="I1294" s="35">
        <v>0</v>
      </c>
      <c r="J1294" s="35">
        <v>0</v>
      </c>
      <c r="K1294" s="35">
        <v>0</v>
      </c>
      <c r="L1294" s="37">
        <v>871</v>
      </c>
      <c r="M1294" s="37">
        <v>3.04</v>
      </c>
      <c r="N1294" s="37">
        <v>18.399999999999999</v>
      </c>
      <c r="O1294" s="12">
        <v>0</v>
      </c>
      <c r="P1294" s="35">
        <v>10</v>
      </c>
      <c r="Q1294" s="35">
        <v>50</v>
      </c>
      <c r="R1294" s="35">
        <v>180</v>
      </c>
      <c r="S1294" s="35">
        <v>25</v>
      </c>
      <c r="T1294" s="21">
        <v>1.27</v>
      </c>
      <c r="U1294" s="21">
        <v>8.819444444444445E-2</v>
      </c>
      <c r="V1294" s="37" t="s">
        <v>6</v>
      </c>
      <c r="W1294" s="37" t="s">
        <v>6</v>
      </c>
      <c r="X1294" s="35" t="s">
        <v>6</v>
      </c>
      <c r="Y1294" s="23" t="s">
        <v>6</v>
      </c>
      <c r="Z1294" s="21" t="s">
        <v>6</v>
      </c>
      <c r="AA1294" s="35" t="s">
        <v>6</v>
      </c>
      <c r="AB1294" s="35" t="s">
        <v>6</v>
      </c>
      <c r="AC1294" s="27" t="s">
        <v>283</v>
      </c>
    </row>
    <row r="1295" spans="1:29">
      <c r="A1295" s="35" t="s">
        <v>238</v>
      </c>
      <c r="B1295" s="38" t="s">
        <v>221</v>
      </c>
      <c r="C1295" s="49" t="s">
        <v>222</v>
      </c>
      <c r="D1295" s="35">
        <v>232</v>
      </c>
      <c r="E1295" s="12">
        <v>66.666666666666657</v>
      </c>
      <c r="F1295" s="35">
        <v>17.100000000000001</v>
      </c>
      <c r="G1295" s="35">
        <v>0</v>
      </c>
      <c r="H1295" s="35">
        <v>0</v>
      </c>
      <c r="I1295" s="35">
        <v>0</v>
      </c>
      <c r="J1295" s="35">
        <v>0</v>
      </c>
      <c r="K1295" s="35">
        <v>0</v>
      </c>
      <c r="L1295" s="37">
        <v>871</v>
      </c>
      <c r="M1295" s="37">
        <v>3.04</v>
      </c>
      <c r="N1295" s="37">
        <v>18.399999999999999</v>
      </c>
      <c r="O1295" s="12">
        <v>0</v>
      </c>
      <c r="P1295" s="35">
        <v>10</v>
      </c>
      <c r="Q1295" s="35">
        <v>50</v>
      </c>
      <c r="R1295" s="35">
        <v>180</v>
      </c>
      <c r="S1295" s="35">
        <v>50</v>
      </c>
      <c r="T1295" s="21">
        <v>1.82</v>
      </c>
      <c r="U1295" s="21">
        <v>0.10643274853801168</v>
      </c>
      <c r="V1295" s="37" t="s">
        <v>6</v>
      </c>
      <c r="W1295" s="37" t="s">
        <v>6</v>
      </c>
      <c r="X1295" s="35" t="s">
        <v>6</v>
      </c>
      <c r="Y1295" s="23" t="s">
        <v>6</v>
      </c>
      <c r="Z1295" s="21" t="s">
        <v>6</v>
      </c>
      <c r="AA1295" s="35" t="s">
        <v>6</v>
      </c>
      <c r="AB1295" s="35" t="s">
        <v>6</v>
      </c>
      <c r="AC1295" s="27" t="s">
        <v>283</v>
      </c>
    </row>
    <row r="1296" spans="1:29">
      <c r="A1296" s="35" t="s">
        <v>238</v>
      </c>
      <c r="B1296" s="38" t="s">
        <v>221</v>
      </c>
      <c r="C1296" s="49" t="s">
        <v>222</v>
      </c>
      <c r="D1296" s="35">
        <v>232</v>
      </c>
      <c r="E1296" s="12">
        <v>75.786924939467312</v>
      </c>
      <c r="F1296" s="35">
        <v>19.3</v>
      </c>
      <c r="G1296" s="35">
        <v>0</v>
      </c>
      <c r="H1296" s="35">
        <v>0</v>
      </c>
      <c r="I1296" s="35">
        <v>0</v>
      </c>
      <c r="J1296" s="35">
        <v>0</v>
      </c>
      <c r="K1296" s="35">
        <v>0</v>
      </c>
      <c r="L1296" s="37">
        <v>871</v>
      </c>
      <c r="M1296" s="37">
        <v>3.04</v>
      </c>
      <c r="N1296" s="37">
        <v>18.399999999999999</v>
      </c>
      <c r="O1296" s="12">
        <v>0</v>
      </c>
      <c r="P1296" s="35">
        <v>10</v>
      </c>
      <c r="Q1296" s="35">
        <v>50</v>
      </c>
      <c r="R1296" s="35">
        <v>180</v>
      </c>
      <c r="S1296" s="35">
        <v>75</v>
      </c>
      <c r="T1296" s="21">
        <v>0.96</v>
      </c>
      <c r="U1296" s="21">
        <v>4.9740932642487044E-2</v>
      </c>
      <c r="V1296" s="37" t="s">
        <v>6</v>
      </c>
      <c r="W1296" s="37" t="s">
        <v>6</v>
      </c>
      <c r="X1296" s="35" t="s">
        <v>6</v>
      </c>
      <c r="Y1296" s="23" t="s">
        <v>6</v>
      </c>
      <c r="Z1296" s="21" t="s">
        <v>6</v>
      </c>
      <c r="AA1296" s="35" t="s">
        <v>6</v>
      </c>
      <c r="AB1296" s="35" t="s">
        <v>6</v>
      </c>
      <c r="AC1296" s="27" t="s">
        <v>283</v>
      </c>
    </row>
    <row r="1297" spans="1:30">
      <c r="A1297" s="35" t="s">
        <v>238</v>
      </c>
      <c r="B1297" s="38" t="s">
        <v>221</v>
      </c>
      <c r="C1297" s="49" t="s">
        <v>222</v>
      </c>
      <c r="D1297" s="35">
        <v>232</v>
      </c>
      <c r="E1297" s="12">
        <v>79.591836734693871</v>
      </c>
      <c r="F1297" s="35">
        <v>20.399999999999999</v>
      </c>
      <c r="G1297" s="35">
        <v>0</v>
      </c>
      <c r="H1297" s="35">
        <v>0</v>
      </c>
      <c r="I1297" s="35">
        <v>0</v>
      </c>
      <c r="J1297" s="35">
        <v>0</v>
      </c>
      <c r="K1297" s="35">
        <v>0</v>
      </c>
      <c r="L1297" s="37">
        <v>871</v>
      </c>
      <c r="M1297" s="37">
        <v>3.04</v>
      </c>
      <c r="N1297" s="37">
        <v>18.399999999999999</v>
      </c>
      <c r="O1297" s="12">
        <v>0</v>
      </c>
      <c r="P1297" s="35">
        <v>10</v>
      </c>
      <c r="Q1297" s="35">
        <v>50</v>
      </c>
      <c r="R1297" s="35">
        <v>180</v>
      </c>
      <c r="S1297" s="35">
        <v>100</v>
      </c>
      <c r="T1297" s="35">
        <v>0.82</v>
      </c>
      <c r="U1297" s="21">
        <v>4.0196078431372552E-2</v>
      </c>
      <c r="V1297" s="37" t="s">
        <v>6</v>
      </c>
      <c r="W1297" s="37" t="s">
        <v>6</v>
      </c>
      <c r="X1297" s="35" t="s">
        <v>6</v>
      </c>
      <c r="Y1297" s="23" t="s">
        <v>6</v>
      </c>
      <c r="Z1297" s="21" t="s">
        <v>6</v>
      </c>
      <c r="AA1297" s="35" t="s">
        <v>6</v>
      </c>
      <c r="AB1297" s="35" t="s">
        <v>6</v>
      </c>
      <c r="AC1297" s="27" t="s">
        <v>283</v>
      </c>
    </row>
    <row r="1298" spans="1:30" ht="13.2" customHeight="1">
      <c r="A1298" s="35" t="s">
        <v>241</v>
      </c>
      <c r="B1298" s="35" t="s">
        <v>229</v>
      </c>
      <c r="C1298" s="49" t="s">
        <v>65</v>
      </c>
      <c r="D1298" s="35">
        <v>189</v>
      </c>
      <c r="E1298" s="12">
        <v>41.914936708860751</v>
      </c>
      <c r="F1298" s="12">
        <v>11.088607594936708</v>
      </c>
      <c r="G1298" s="35">
        <v>0</v>
      </c>
      <c r="H1298" s="35">
        <v>0</v>
      </c>
      <c r="I1298" s="35">
        <v>0</v>
      </c>
      <c r="J1298" s="35">
        <v>0</v>
      </c>
      <c r="K1298" s="35">
        <v>0</v>
      </c>
      <c r="L1298" s="36">
        <v>500</v>
      </c>
      <c r="M1298" s="35">
        <v>1.2</v>
      </c>
      <c r="N1298" s="21">
        <v>17</v>
      </c>
      <c r="O1298" s="12">
        <v>0</v>
      </c>
      <c r="P1298" s="35">
        <v>100</v>
      </c>
      <c r="Q1298" s="35">
        <v>100</v>
      </c>
      <c r="R1298" s="35">
        <v>200</v>
      </c>
      <c r="S1298" s="35">
        <v>30</v>
      </c>
      <c r="T1298" s="21">
        <v>4.38</v>
      </c>
      <c r="U1298" s="21">
        <v>0.39500000000000002</v>
      </c>
      <c r="V1298" s="37">
        <v>0.65</v>
      </c>
      <c r="W1298" s="37">
        <v>98.8</v>
      </c>
      <c r="X1298" s="35">
        <v>70</v>
      </c>
      <c r="Y1298" s="23">
        <v>12.98</v>
      </c>
      <c r="Z1298" s="21">
        <v>16.381322957198439</v>
      </c>
      <c r="AA1298" s="35">
        <v>5</v>
      </c>
      <c r="AB1298" s="35" t="s">
        <v>6</v>
      </c>
      <c r="AC1298" s="1" t="s">
        <v>208</v>
      </c>
      <c r="AD1298" s="44"/>
    </row>
    <row r="1299" spans="1:30" ht="13.8">
      <c r="A1299" s="35" t="s">
        <v>241</v>
      </c>
      <c r="B1299" s="35" t="s">
        <v>229</v>
      </c>
      <c r="C1299" s="49" t="s">
        <v>230</v>
      </c>
      <c r="D1299" s="35">
        <v>242</v>
      </c>
      <c r="E1299" s="12">
        <v>35.751859364435425</v>
      </c>
      <c r="F1299" s="12">
        <v>8.8640973630831645</v>
      </c>
      <c r="G1299" s="35">
        <v>0</v>
      </c>
      <c r="H1299" s="35">
        <v>0</v>
      </c>
      <c r="I1299" s="35">
        <v>0</v>
      </c>
      <c r="J1299" s="35">
        <v>0</v>
      </c>
      <c r="K1299" s="35">
        <v>0</v>
      </c>
      <c r="L1299" s="36">
        <v>500</v>
      </c>
      <c r="M1299" s="35">
        <v>1.2</v>
      </c>
      <c r="N1299" s="21">
        <v>17</v>
      </c>
      <c r="O1299" s="12">
        <v>0</v>
      </c>
      <c r="P1299" s="35">
        <v>100</v>
      </c>
      <c r="Q1299" s="35">
        <v>100</v>
      </c>
      <c r="R1299" s="35">
        <v>200</v>
      </c>
      <c r="S1299" s="35">
        <v>30</v>
      </c>
      <c r="T1299" s="21">
        <v>4.37</v>
      </c>
      <c r="U1299" s="21">
        <v>0.49299999999999999</v>
      </c>
      <c r="V1299" s="37">
        <v>0.65</v>
      </c>
      <c r="W1299" s="37">
        <v>139.4</v>
      </c>
      <c r="X1299" s="35">
        <v>70</v>
      </c>
      <c r="Y1299" s="23">
        <v>6.99</v>
      </c>
      <c r="Z1299" s="21">
        <v>8.7318087318087301</v>
      </c>
      <c r="AA1299" s="35">
        <v>5</v>
      </c>
      <c r="AB1299" s="35" t="s">
        <v>6</v>
      </c>
      <c r="AC1299" s="1" t="s">
        <v>208</v>
      </c>
      <c r="AD1299" s="44"/>
    </row>
    <row r="1300" spans="1:30" ht="13.8">
      <c r="A1300" s="35" t="s">
        <v>241</v>
      </c>
      <c r="B1300" s="35" t="s">
        <v>229</v>
      </c>
      <c r="C1300" s="49" t="s">
        <v>231</v>
      </c>
      <c r="D1300" s="35">
        <v>295</v>
      </c>
      <c r="E1300" s="12">
        <v>30.223665223665218</v>
      </c>
      <c r="F1300" s="12">
        <v>7.1717171717171713</v>
      </c>
      <c r="G1300" s="35">
        <v>0</v>
      </c>
      <c r="H1300" s="35">
        <v>0</v>
      </c>
      <c r="I1300" s="35">
        <v>0</v>
      </c>
      <c r="J1300" s="35">
        <v>0</v>
      </c>
      <c r="K1300" s="35">
        <v>0</v>
      </c>
      <c r="L1300" s="36">
        <v>500</v>
      </c>
      <c r="M1300" s="35">
        <v>1.2</v>
      </c>
      <c r="N1300" s="21">
        <v>17</v>
      </c>
      <c r="O1300" s="12">
        <v>0</v>
      </c>
      <c r="P1300" s="35">
        <v>100</v>
      </c>
      <c r="Q1300" s="35">
        <v>100</v>
      </c>
      <c r="R1300" s="35">
        <v>200</v>
      </c>
      <c r="S1300" s="35">
        <v>30</v>
      </c>
      <c r="T1300" s="21">
        <v>3.55</v>
      </c>
      <c r="U1300" s="21">
        <v>0.495</v>
      </c>
      <c r="V1300" s="37">
        <v>0.84</v>
      </c>
      <c r="W1300" s="37">
        <v>66.900000000000006</v>
      </c>
      <c r="X1300" s="35">
        <v>70</v>
      </c>
      <c r="Y1300" s="23">
        <v>1.0999999999999999</v>
      </c>
      <c r="Z1300" s="21">
        <v>22.865013774104685</v>
      </c>
      <c r="AA1300" s="35">
        <v>5</v>
      </c>
      <c r="AB1300" s="35" t="s">
        <v>6</v>
      </c>
      <c r="AC1300" s="1" t="s">
        <v>208</v>
      </c>
      <c r="AD1300" s="44"/>
    </row>
    <row r="1301" spans="1:30" ht="13.8">
      <c r="A1301" s="35" t="s">
        <v>241</v>
      </c>
      <c r="B1301" s="35" t="s">
        <v>229</v>
      </c>
      <c r="C1301" s="49" t="s">
        <v>232</v>
      </c>
      <c r="D1301" s="35">
        <v>384</v>
      </c>
      <c r="E1301" s="12">
        <v>33.859459459459458</v>
      </c>
      <c r="F1301" s="12">
        <v>7.0540540540540535</v>
      </c>
      <c r="G1301" s="35">
        <v>0</v>
      </c>
      <c r="H1301" s="35">
        <v>0</v>
      </c>
      <c r="I1301" s="35">
        <v>0</v>
      </c>
      <c r="J1301" s="35">
        <v>0</v>
      </c>
      <c r="K1301" s="35">
        <v>0</v>
      </c>
      <c r="L1301" s="36">
        <v>500</v>
      </c>
      <c r="M1301" s="35">
        <v>1.2</v>
      </c>
      <c r="N1301" s="21">
        <v>17</v>
      </c>
      <c r="O1301" s="12">
        <v>0</v>
      </c>
      <c r="P1301" s="35">
        <v>100</v>
      </c>
      <c r="Q1301" s="35">
        <v>100</v>
      </c>
      <c r="R1301" s="35">
        <v>200</v>
      </c>
      <c r="S1301" s="35">
        <v>30</v>
      </c>
      <c r="T1301" s="21">
        <v>2.61</v>
      </c>
      <c r="U1301" s="21">
        <v>0.37</v>
      </c>
      <c r="V1301" s="37">
        <v>0.55000000000000004</v>
      </c>
      <c r="W1301" s="37">
        <v>42.1</v>
      </c>
      <c r="X1301" s="35">
        <v>70</v>
      </c>
      <c r="Y1301" s="23">
        <v>0.91</v>
      </c>
      <c r="Z1301" s="21">
        <v>4.285714285714274</v>
      </c>
      <c r="AA1301" s="35">
        <v>5</v>
      </c>
      <c r="AB1301" s="35" t="s">
        <v>6</v>
      </c>
      <c r="AC1301" s="2" t="s">
        <v>208</v>
      </c>
      <c r="AD1301" s="44"/>
    </row>
    <row r="1302" spans="1:30">
      <c r="A1302" s="35" t="s">
        <v>238</v>
      </c>
      <c r="B1302" s="35" t="s">
        <v>180</v>
      </c>
      <c r="C1302" s="35" t="s">
        <v>60</v>
      </c>
      <c r="D1302" s="35">
        <v>305</v>
      </c>
      <c r="E1302" s="12">
        <v>21.9</v>
      </c>
      <c r="F1302" s="12">
        <f t="shared" ref="F1302:F1337" si="70">E1302*7.36*10/D1302</f>
        <v>5.2847213114754092</v>
      </c>
      <c r="G1302" s="35">
        <v>0</v>
      </c>
      <c r="H1302" s="35">
        <v>0</v>
      </c>
      <c r="I1302" s="35">
        <v>0</v>
      </c>
      <c r="J1302" s="35">
        <v>0</v>
      </c>
      <c r="K1302" s="35">
        <v>0</v>
      </c>
      <c r="L1302" s="36">
        <v>1245</v>
      </c>
      <c r="M1302" s="35">
        <v>1.02</v>
      </c>
      <c r="N1302" s="21">
        <v>3.63</v>
      </c>
      <c r="O1302" s="12">
        <v>0</v>
      </c>
      <c r="P1302" s="35">
        <v>15</v>
      </c>
      <c r="Q1302" s="35">
        <v>50</v>
      </c>
      <c r="R1302" s="35">
        <v>60</v>
      </c>
      <c r="S1302" s="35">
        <v>30</v>
      </c>
      <c r="T1302" s="21">
        <v>0.55926430517711168</v>
      </c>
      <c r="U1302" s="21">
        <v>7.22E-2</v>
      </c>
      <c r="V1302" s="37">
        <v>9.2274757317388261</v>
      </c>
      <c r="W1302" s="37">
        <v>83.047281585649401</v>
      </c>
      <c r="X1302" s="35" t="s">
        <v>6</v>
      </c>
      <c r="Y1302" s="23" t="s">
        <v>6</v>
      </c>
      <c r="Z1302" s="21" t="s">
        <v>6</v>
      </c>
      <c r="AA1302" s="35" t="s">
        <v>6</v>
      </c>
      <c r="AB1302" s="35" t="s">
        <v>6</v>
      </c>
      <c r="AC1302" s="1" t="s">
        <v>209</v>
      </c>
    </row>
    <row r="1303" spans="1:30">
      <c r="A1303" s="35" t="s">
        <v>238</v>
      </c>
      <c r="B1303" s="35" t="s">
        <v>180</v>
      </c>
      <c r="C1303" s="35" t="s">
        <v>60</v>
      </c>
      <c r="D1303" s="35">
        <v>305</v>
      </c>
      <c r="E1303" s="12">
        <v>21.9</v>
      </c>
      <c r="F1303" s="12">
        <f t="shared" si="70"/>
        <v>5.2847213114754092</v>
      </c>
      <c r="G1303" s="35">
        <v>0</v>
      </c>
      <c r="H1303" s="35">
        <v>0</v>
      </c>
      <c r="I1303" s="35">
        <v>0</v>
      </c>
      <c r="J1303" s="35">
        <v>0</v>
      </c>
      <c r="K1303" s="35">
        <v>0</v>
      </c>
      <c r="L1303" s="36">
        <v>1245</v>
      </c>
      <c r="M1303" s="35">
        <v>1.02</v>
      </c>
      <c r="N1303" s="21">
        <v>3.63</v>
      </c>
      <c r="O1303" s="12">
        <v>0</v>
      </c>
      <c r="P1303" s="35">
        <v>15</v>
      </c>
      <c r="Q1303" s="35">
        <v>50</v>
      </c>
      <c r="R1303" s="35">
        <v>60</v>
      </c>
      <c r="S1303" s="35">
        <v>50</v>
      </c>
      <c r="T1303" s="21">
        <v>0.40315622161671205</v>
      </c>
      <c r="U1303" s="21">
        <v>5.2299999999999999E-2</v>
      </c>
      <c r="V1303" s="37">
        <v>9.3870271285084002</v>
      </c>
      <c r="W1303" s="37">
        <v>84.483244156575651</v>
      </c>
      <c r="X1303" s="35" t="s">
        <v>6</v>
      </c>
      <c r="Y1303" s="23" t="s">
        <v>6</v>
      </c>
      <c r="Z1303" s="21" t="s">
        <v>6</v>
      </c>
      <c r="AA1303" s="35" t="s">
        <v>6</v>
      </c>
      <c r="AB1303" s="35" t="s">
        <v>6</v>
      </c>
      <c r="AC1303" s="1" t="s">
        <v>209</v>
      </c>
    </row>
    <row r="1304" spans="1:30">
      <c r="A1304" s="35" t="s">
        <v>238</v>
      </c>
      <c r="B1304" s="35" t="s">
        <v>180</v>
      </c>
      <c r="C1304" s="35" t="s">
        <v>60</v>
      </c>
      <c r="D1304" s="35">
        <v>305</v>
      </c>
      <c r="E1304" s="12">
        <v>21.9</v>
      </c>
      <c r="F1304" s="12">
        <f t="shared" si="70"/>
        <v>5.2847213114754092</v>
      </c>
      <c r="G1304" s="35">
        <v>0</v>
      </c>
      <c r="H1304" s="35">
        <v>0</v>
      </c>
      <c r="I1304" s="35">
        <v>0</v>
      </c>
      <c r="J1304" s="35">
        <v>0</v>
      </c>
      <c r="K1304" s="35">
        <v>0</v>
      </c>
      <c r="L1304" s="36">
        <v>1245</v>
      </c>
      <c r="M1304" s="35">
        <v>1.02</v>
      </c>
      <c r="N1304" s="21">
        <v>3.63</v>
      </c>
      <c r="O1304" s="12">
        <v>0</v>
      </c>
      <c r="P1304" s="35">
        <v>15</v>
      </c>
      <c r="Q1304" s="35">
        <v>50</v>
      </c>
      <c r="R1304" s="35">
        <v>60</v>
      </c>
      <c r="S1304" s="35">
        <v>70</v>
      </c>
      <c r="T1304" s="21">
        <v>0.27327429609445958</v>
      </c>
      <c r="U1304" s="21">
        <v>3.61E-2</v>
      </c>
      <c r="V1304" s="37">
        <v>7.3531844803688369</v>
      </c>
      <c r="W1304" s="37">
        <v>66.178660323319519</v>
      </c>
      <c r="X1304" s="35" t="s">
        <v>6</v>
      </c>
      <c r="Y1304" s="23" t="s">
        <v>6</v>
      </c>
      <c r="Z1304" s="21" t="s">
        <v>6</v>
      </c>
      <c r="AA1304" s="35" t="s">
        <v>6</v>
      </c>
      <c r="AB1304" s="35" t="s">
        <v>6</v>
      </c>
      <c r="AC1304" s="1" t="s">
        <v>209</v>
      </c>
    </row>
    <row r="1305" spans="1:30">
      <c r="A1305" s="35" t="s">
        <v>238</v>
      </c>
      <c r="B1305" s="35" t="s">
        <v>180</v>
      </c>
      <c r="C1305" s="35" t="s">
        <v>60</v>
      </c>
      <c r="D1305" s="35">
        <v>305</v>
      </c>
      <c r="E1305" s="12">
        <v>32.5</v>
      </c>
      <c r="F1305" s="12">
        <f t="shared" si="70"/>
        <v>7.8426229508196723</v>
      </c>
      <c r="G1305" s="35">
        <v>0</v>
      </c>
      <c r="H1305" s="35">
        <v>0</v>
      </c>
      <c r="I1305" s="35">
        <v>0</v>
      </c>
      <c r="J1305" s="35">
        <v>0</v>
      </c>
      <c r="K1305" s="35">
        <v>0</v>
      </c>
      <c r="L1305" s="36">
        <v>1245</v>
      </c>
      <c r="M1305" s="35">
        <v>1.02</v>
      </c>
      <c r="N1305" s="21">
        <v>3.63</v>
      </c>
      <c r="O1305" s="12">
        <v>0</v>
      </c>
      <c r="P1305" s="35">
        <v>15</v>
      </c>
      <c r="Q1305" s="35">
        <v>50</v>
      </c>
      <c r="R1305" s="35">
        <v>60</v>
      </c>
      <c r="S1305" s="35">
        <v>30</v>
      </c>
      <c r="T1305" s="21">
        <v>0.6796548592188919</v>
      </c>
      <c r="U1305" s="21">
        <v>8.0299999999999996E-2</v>
      </c>
      <c r="V1305" s="37">
        <v>6.3879656858924845</v>
      </c>
      <c r="W1305" s="37">
        <v>57.4916911730324</v>
      </c>
      <c r="X1305" s="35" t="s">
        <v>6</v>
      </c>
      <c r="Y1305" s="23" t="s">
        <v>6</v>
      </c>
      <c r="Z1305" s="21" t="s">
        <v>6</v>
      </c>
      <c r="AA1305" s="35" t="s">
        <v>6</v>
      </c>
      <c r="AB1305" s="35" t="s">
        <v>6</v>
      </c>
      <c r="AC1305" s="1" t="s">
        <v>209</v>
      </c>
    </row>
    <row r="1306" spans="1:30">
      <c r="A1306" s="35" t="s">
        <v>238</v>
      </c>
      <c r="B1306" s="35" t="s">
        <v>180</v>
      </c>
      <c r="C1306" s="35" t="s">
        <v>60</v>
      </c>
      <c r="D1306" s="35">
        <v>305</v>
      </c>
      <c r="E1306" s="12">
        <v>32.5</v>
      </c>
      <c r="F1306" s="12">
        <f t="shared" si="70"/>
        <v>7.8426229508196723</v>
      </c>
      <c r="G1306" s="35">
        <v>0</v>
      </c>
      <c r="H1306" s="35">
        <v>0</v>
      </c>
      <c r="I1306" s="35">
        <v>0</v>
      </c>
      <c r="J1306" s="35">
        <v>0</v>
      </c>
      <c r="K1306" s="35">
        <v>0</v>
      </c>
      <c r="L1306" s="36">
        <v>1245</v>
      </c>
      <c r="M1306" s="35">
        <v>1.02</v>
      </c>
      <c r="N1306" s="21">
        <v>3.63</v>
      </c>
      <c r="O1306" s="12">
        <v>0</v>
      </c>
      <c r="P1306" s="35">
        <v>15</v>
      </c>
      <c r="Q1306" s="35">
        <v>50</v>
      </c>
      <c r="R1306" s="35">
        <v>60</v>
      </c>
      <c r="S1306" s="35">
        <v>50</v>
      </c>
      <c r="T1306" s="21">
        <v>0.71616712079927303</v>
      </c>
      <c r="U1306" s="21">
        <v>8.5400000000000004E-2</v>
      </c>
      <c r="V1306" s="37">
        <v>5.9042403073039003</v>
      </c>
      <c r="W1306" s="37">
        <v>53.138162765735103</v>
      </c>
      <c r="X1306" s="35" t="s">
        <v>6</v>
      </c>
      <c r="Y1306" s="23" t="s">
        <v>6</v>
      </c>
      <c r="Z1306" s="21" t="s">
        <v>6</v>
      </c>
      <c r="AA1306" s="35" t="s">
        <v>6</v>
      </c>
      <c r="AB1306" s="35" t="s">
        <v>6</v>
      </c>
      <c r="AC1306" s="1" t="s">
        <v>209</v>
      </c>
    </row>
    <row r="1307" spans="1:30">
      <c r="A1307" s="35" t="s">
        <v>238</v>
      </c>
      <c r="B1307" s="35" t="s">
        <v>180</v>
      </c>
      <c r="C1307" s="35" t="s">
        <v>60</v>
      </c>
      <c r="D1307" s="35">
        <v>305</v>
      </c>
      <c r="E1307" s="12">
        <v>32.5</v>
      </c>
      <c r="F1307" s="12">
        <f t="shared" si="70"/>
        <v>7.8426229508196723</v>
      </c>
      <c r="G1307" s="35">
        <v>0</v>
      </c>
      <c r="H1307" s="35">
        <v>0</v>
      </c>
      <c r="I1307" s="35">
        <v>0</v>
      </c>
      <c r="J1307" s="35">
        <v>0</v>
      </c>
      <c r="K1307" s="35">
        <v>0</v>
      </c>
      <c r="L1307" s="36">
        <v>1245</v>
      </c>
      <c r="M1307" s="35">
        <v>1.02</v>
      </c>
      <c r="N1307" s="21">
        <v>3.63</v>
      </c>
      <c r="O1307" s="12">
        <v>0</v>
      </c>
      <c r="P1307" s="35">
        <v>15</v>
      </c>
      <c r="Q1307" s="35">
        <v>50</v>
      </c>
      <c r="R1307" s="35">
        <v>60</v>
      </c>
      <c r="S1307" s="35">
        <v>70</v>
      </c>
      <c r="T1307" s="21">
        <v>0.42531789282470484</v>
      </c>
      <c r="U1307" s="21">
        <v>4.9399999999999999E-2</v>
      </c>
      <c r="V1307" s="37">
        <v>6.2441441635516188</v>
      </c>
      <c r="W1307" s="37">
        <v>56.197297471964539</v>
      </c>
      <c r="X1307" s="35" t="s">
        <v>6</v>
      </c>
      <c r="Y1307" s="23" t="s">
        <v>6</v>
      </c>
      <c r="Z1307" s="21" t="s">
        <v>6</v>
      </c>
      <c r="AA1307" s="35" t="s">
        <v>6</v>
      </c>
      <c r="AB1307" s="35" t="s">
        <v>6</v>
      </c>
      <c r="AC1307" s="1" t="s">
        <v>209</v>
      </c>
    </row>
    <row r="1308" spans="1:30">
      <c r="A1308" s="35" t="s">
        <v>238</v>
      </c>
      <c r="B1308" s="35" t="s">
        <v>180</v>
      </c>
      <c r="C1308" s="35" t="s">
        <v>60</v>
      </c>
      <c r="D1308" s="35">
        <v>305</v>
      </c>
      <c r="E1308" s="12">
        <v>40.799999999999997</v>
      </c>
      <c r="F1308" s="12">
        <f t="shared" si="70"/>
        <v>9.8455081967213118</v>
      </c>
      <c r="G1308" s="35">
        <v>0</v>
      </c>
      <c r="H1308" s="35">
        <v>0</v>
      </c>
      <c r="I1308" s="35">
        <v>0</v>
      </c>
      <c r="J1308" s="35">
        <v>0</v>
      </c>
      <c r="K1308" s="35">
        <v>0</v>
      </c>
      <c r="L1308" s="36">
        <v>1245</v>
      </c>
      <c r="M1308" s="35">
        <v>1.02</v>
      </c>
      <c r="N1308" s="21">
        <v>3.63</v>
      </c>
      <c r="O1308" s="12">
        <v>0</v>
      </c>
      <c r="P1308" s="35">
        <v>15</v>
      </c>
      <c r="Q1308" s="35">
        <v>50</v>
      </c>
      <c r="R1308" s="35">
        <v>60</v>
      </c>
      <c r="S1308" s="35">
        <v>30</v>
      </c>
      <c r="T1308" s="21">
        <v>1.1061080835603996</v>
      </c>
      <c r="U1308" s="21">
        <v>0.1045</v>
      </c>
      <c r="V1308" s="37">
        <v>6.5377073384849602</v>
      </c>
      <c r="W1308" s="37">
        <v>58.839366046364667</v>
      </c>
      <c r="X1308" s="35" t="s">
        <v>6</v>
      </c>
      <c r="Y1308" s="23" t="s">
        <v>6</v>
      </c>
      <c r="Z1308" s="21" t="s">
        <v>6</v>
      </c>
      <c r="AA1308" s="35" t="s">
        <v>6</v>
      </c>
      <c r="AB1308" s="35" t="s">
        <v>6</v>
      </c>
      <c r="AC1308" s="1" t="s">
        <v>209</v>
      </c>
    </row>
    <row r="1309" spans="1:30">
      <c r="A1309" s="35" t="s">
        <v>238</v>
      </c>
      <c r="B1309" s="35" t="s">
        <v>180</v>
      </c>
      <c r="C1309" s="35" t="s">
        <v>60</v>
      </c>
      <c r="D1309" s="35">
        <v>305</v>
      </c>
      <c r="E1309" s="12">
        <v>40.799999999999997</v>
      </c>
      <c r="F1309" s="12">
        <f t="shared" si="70"/>
        <v>9.8455081967213118</v>
      </c>
      <c r="G1309" s="35">
        <v>0</v>
      </c>
      <c r="H1309" s="35">
        <v>0</v>
      </c>
      <c r="I1309" s="35">
        <v>0</v>
      </c>
      <c r="J1309" s="35">
        <v>0</v>
      </c>
      <c r="K1309" s="35">
        <v>0</v>
      </c>
      <c r="L1309" s="36">
        <v>1245</v>
      </c>
      <c r="M1309" s="35">
        <v>1.02</v>
      </c>
      <c r="N1309" s="21">
        <v>3.63</v>
      </c>
      <c r="O1309" s="12">
        <v>0</v>
      </c>
      <c r="P1309" s="35">
        <v>15</v>
      </c>
      <c r="Q1309" s="35">
        <v>50</v>
      </c>
      <c r="R1309" s="35">
        <v>60</v>
      </c>
      <c r="S1309" s="35">
        <v>50</v>
      </c>
      <c r="T1309" s="21">
        <v>1.3828792007266122</v>
      </c>
      <c r="U1309" s="21">
        <v>0.13469999999999999</v>
      </c>
      <c r="V1309" s="37">
        <v>4.6647221616844936</v>
      </c>
      <c r="W1309" s="37">
        <v>41.982499455160479</v>
      </c>
      <c r="X1309" s="35" t="s">
        <v>6</v>
      </c>
      <c r="Y1309" s="23" t="s">
        <v>6</v>
      </c>
      <c r="Z1309" s="21" t="s">
        <v>6</v>
      </c>
      <c r="AA1309" s="35" t="s">
        <v>6</v>
      </c>
      <c r="AB1309" s="35" t="s">
        <v>6</v>
      </c>
      <c r="AC1309" s="1" t="s">
        <v>209</v>
      </c>
    </row>
    <row r="1310" spans="1:30" ht="13.2" customHeight="1">
      <c r="A1310" s="35" t="s">
        <v>238</v>
      </c>
      <c r="B1310" s="35" t="s">
        <v>180</v>
      </c>
      <c r="C1310" s="35" t="s">
        <v>60</v>
      </c>
      <c r="D1310" s="35">
        <v>305</v>
      </c>
      <c r="E1310" s="12">
        <v>40.799999999999997</v>
      </c>
      <c r="F1310" s="12">
        <f t="shared" si="70"/>
        <v>9.8455081967213118</v>
      </c>
      <c r="G1310" s="35">
        <v>0</v>
      </c>
      <c r="H1310" s="35">
        <v>0</v>
      </c>
      <c r="I1310" s="35">
        <v>0</v>
      </c>
      <c r="J1310" s="35">
        <v>0</v>
      </c>
      <c r="K1310" s="35">
        <v>0</v>
      </c>
      <c r="L1310" s="36">
        <v>1245</v>
      </c>
      <c r="M1310" s="35">
        <v>1.02</v>
      </c>
      <c r="N1310" s="21">
        <v>3.63</v>
      </c>
      <c r="O1310" s="12">
        <v>0</v>
      </c>
      <c r="P1310" s="35">
        <v>15</v>
      </c>
      <c r="Q1310" s="35">
        <v>50</v>
      </c>
      <c r="R1310" s="35">
        <v>60</v>
      </c>
      <c r="S1310" s="35">
        <v>70</v>
      </c>
      <c r="T1310" s="21">
        <v>0.96749318801089923</v>
      </c>
      <c r="U1310" s="21">
        <v>9.1499999999999998E-2</v>
      </c>
      <c r="V1310" s="37">
        <v>5.0910088080357951</v>
      </c>
      <c r="W1310" s="37">
        <v>45.819079272322128</v>
      </c>
      <c r="X1310" s="35" t="s">
        <v>6</v>
      </c>
      <c r="Y1310" s="23" t="s">
        <v>6</v>
      </c>
      <c r="Z1310" s="21" t="s">
        <v>6</v>
      </c>
      <c r="AA1310" s="35" t="s">
        <v>6</v>
      </c>
      <c r="AB1310" s="35" t="s">
        <v>6</v>
      </c>
      <c r="AC1310" s="2" t="s">
        <v>209</v>
      </c>
    </row>
    <row r="1311" spans="1:30">
      <c r="A1311" s="35" t="s">
        <v>238</v>
      </c>
      <c r="B1311" s="35" t="s">
        <v>180</v>
      </c>
      <c r="C1311" s="35" t="s">
        <v>60</v>
      </c>
      <c r="D1311" s="35">
        <v>305</v>
      </c>
      <c r="E1311" s="12">
        <v>21.9</v>
      </c>
      <c r="F1311" s="12">
        <f t="shared" si="70"/>
        <v>5.2847213114754092</v>
      </c>
      <c r="G1311" s="35">
        <v>0</v>
      </c>
      <c r="H1311" s="35">
        <v>0</v>
      </c>
      <c r="I1311" s="35">
        <v>0</v>
      </c>
      <c r="J1311" s="35">
        <v>0</v>
      </c>
      <c r="K1311" s="35">
        <v>0</v>
      </c>
      <c r="L1311" s="36">
        <v>1525</v>
      </c>
      <c r="M1311" s="35">
        <v>1.92</v>
      </c>
      <c r="N1311" s="21">
        <v>5.3</v>
      </c>
      <c r="O1311" s="12">
        <v>0</v>
      </c>
      <c r="P1311" s="35">
        <v>15</v>
      </c>
      <c r="Q1311" s="35">
        <v>50</v>
      </c>
      <c r="R1311" s="35">
        <v>60</v>
      </c>
      <c r="S1311" s="35">
        <v>30</v>
      </c>
      <c r="T1311" s="21">
        <v>0.22529518619436878</v>
      </c>
      <c r="U1311" s="21">
        <v>2.8899999999999999E-2</v>
      </c>
      <c r="V1311" s="37">
        <v>7.4656393946859572</v>
      </c>
      <c r="W1311" s="37">
        <v>67.190754552173587</v>
      </c>
      <c r="X1311" s="35" t="s">
        <v>6</v>
      </c>
      <c r="Y1311" s="23" t="s">
        <v>6</v>
      </c>
      <c r="Z1311" s="21" t="s">
        <v>6</v>
      </c>
      <c r="AA1311" s="35" t="s">
        <v>6</v>
      </c>
      <c r="AB1311" s="35" t="s">
        <v>6</v>
      </c>
      <c r="AC1311" s="1" t="s">
        <v>209</v>
      </c>
    </row>
    <row r="1312" spans="1:30">
      <c r="A1312" s="35" t="s">
        <v>238</v>
      </c>
      <c r="B1312" s="35" t="s">
        <v>180</v>
      </c>
      <c r="C1312" s="35" t="s">
        <v>60</v>
      </c>
      <c r="D1312" s="35">
        <v>305</v>
      </c>
      <c r="E1312" s="12">
        <v>21.9</v>
      </c>
      <c r="F1312" s="12">
        <f t="shared" si="70"/>
        <v>5.2847213114754092</v>
      </c>
      <c r="G1312" s="35">
        <v>0</v>
      </c>
      <c r="H1312" s="35">
        <v>0</v>
      </c>
      <c r="I1312" s="35">
        <v>0</v>
      </c>
      <c r="J1312" s="35">
        <v>0</v>
      </c>
      <c r="K1312" s="35">
        <v>0</v>
      </c>
      <c r="L1312" s="36">
        <v>1525</v>
      </c>
      <c r="M1312" s="35">
        <v>1.92</v>
      </c>
      <c r="N1312" s="21">
        <v>5.3</v>
      </c>
      <c r="O1312" s="12">
        <v>0</v>
      </c>
      <c r="P1312" s="35">
        <v>15</v>
      </c>
      <c r="Q1312" s="35">
        <v>50</v>
      </c>
      <c r="R1312" s="35">
        <v>60</v>
      </c>
      <c r="S1312" s="35">
        <v>50</v>
      </c>
      <c r="T1312" s="21">
        <v>0.25163487738419621</v>
      </c>
      <c r="U1312" s="21">
        <v>3.4799999999999998E-2</v>
      </c>
      <c r="V1312" s="37">
        <v>6.7340611506624963</v>
      </c>
      <c r="W1312" s="37">
        <v>60.606550355962462</v>
      </c>
      <c r="X1312" s="35" t="s">
        <v>6</v>
      </c>
      <c r="Y1312" s="23" t="s">
        <v>6</v>
      </c>
      <c r="Z1312" s="21" t="s">
        <v>6</v>
      </c>
      <c r="AA1312" s="35" t="s">
        <v>6</v>
      </c>
      <c r="AB1312" s="35" t="s">
        <v>6</v>
      </c>
      <c r="AC1312" s="1" t="s">
        <v>209</v>
      </c>
    </row>
    <row r="1313" spans="1:29">
      <c r="A1313" s="35" t="s">
        <v>238</v>
      </c>
      <c r="B1313" s="35" t="s">
        <v>180</v>
      </c>
      <c r="C1313" s="35" t="s">
        <v>60</v>
      </c>
      <c r="D1313" s="35">
        <v>305</v>
      </c>
      <c r="E1313" s="12">
        <v>21.9</v>
      </c>
      <c r="F1313" s="12">
        <f t="shared" si="70"/>
        <v>5.2847213114754092</v>
      </c>
      <c r="G1313" s="35">
        <v>0</v>
      </c>
      <c r="H1313" s="35">
        <v>0</v>
      </c>
      <c r="I1313" s="35">
        <v>0</v>
      </c>
      <c r="J1313" s="35">
        <v>0</v>
      </c>
      <c r="K1313" s="35">
        <v>0</v>
      </c>
      <c r="L1313" s="36">
        <v>1525</v>
      </c>
      <c r="M1313" s="35">
        <v>1.92</v>
      </c>
      <c r="N1313" s="21">
        <v>5.3</v>
      </c>
      <c r="O1313" s="12">
        <v>0</v>
      </c>
      <c r="P1313" s="35">
        <v>15</v>
      </c>
      <c r="Q1313" s="35">
        <v>50</v>
      </c>
      <c r="R1313" s="35">
        <v>60</v>
      </c>
      <c r="S1313" s="35">
        <v>70</v>
      </c>
      <c r="T1313" s="21">
        <v>0.41151226158038151</v>
      </c>
      <c r="U1313" s="21">
        <v>5.5500000000000001E-2</v>
      </c>
      <c r="V1313" s="37">
        <v>6.1309447172714844</v>
      </c>
      <c r="W1313" s="37">
        <v>55.178502455443343</v>
      </c>
      <c r="X1313" s="35" t="s">
        <v>6</v>
      </c>
      <c r="Y1313" s="23" t="s">
        <v>6</v>
      </c>
      <c r="Z1313" s="21" t="s">
        <v>6</v>
      </c>
      <c r="AA1313" s="35" t="s">
        <v>6</v>
      </c>
      <c r="AB1313" s="35" t="s">
        <v>6</v>
      </c>
      <c r="AC1313" s="1" t="s">
        <v>209</v>
      </c>
    </row>
    <row r="1314" spans="1:29">
      <c r="A1314" s="35" t="s">
        <v>238</v>
      </c>
      <c r="B1314" s="35" t="s">
        <v>180</v>
      </c>
      <c r="C1314" s="35" t="s">
        <v>60</v>
      </c>
      <c r="D1314" s="35">
        <v>305</v>
      </c>
      <c r="E1314" s="12">
        <v>32.5</v>
      </c>
      <c r="F1314" s="12">
        <f t="shared" si="70"/>
        <v>7.8426229508196723</v>
      </c>
      <c r="G1314" s="35">
        <v>0</v>
      </c>
      <c r="H1314" s="35">
        <v>0</v>
      </c>
      <c r="I1314" s="35">
        <v>0</v>
      </c>
      <c r="J1314" s="35">
        <v>0</v>
      </c>
      <c r="K1314" s="35">
        <v>0</v>
      </c>
      <c r="L1314" s="36">
        <v>1525</v>
      </c>
      <c r="M1314" s="35">
        <v>1.92</v>
      </c>
      <c r="N1314" s="21">
        <v>5.3</v>
      </c>
      <c r="O1314" s="12">
        <v>0</v>
      </c>
      <c r="P1314" s="35">
        <v>15</v>
      </c>
      <c r="Q1314" s="35">
        <v>50</v>
      </c>
      <c r="R1314" s="35">
        <v>60</v>
      </c>
      <c r="S1314" s="35">
        <v>30</v>
      </c>
      <c r="T1314" s="21">
        <v>0.27089009990917345</v>
      </c>
      <c r="U1314" s="21">
        <v>4.1799999999999997E-2</v>
      </c>
      <c r="V1314" s="37">
        <v>10.623865238394224</v>
      </c>
      <c r="W1314" s="37">
        <v>95.61478714554805</v>
      </c>
      <c r="X1314" s="35" t="s">
        <v>6</v>
      </c>
      <c r="Y1314" s="23" t="s">
        <v>6</v>
      </c>
      <c r="Z1314" s="21" t="s">
        <v>6</v>
      </c>
      <c r="AA1314" s="35" t="s">
        <v>6</v>
      </c>
      <c r="AB1314" s="35" t="s">
        <v>6</v>
      </c>
      <c r="AC1314" s="1" t="s">
        <v>209</v>
      </c>
    </row>
    <row r="1315" spans="1:29">
      <c r="A1315" s="35" t="s">
        <v>238</v>
      </c>
      <c r="B1315" s="35" t="s">
        <v>180</v>
      </c>
      <c r="C1315" s="35" t="s">
        <v>60</v>
      </c>
      <c r="D1315" s="35">
        <v>305</v>
      </c>
      <c r="E1315" s="12">
        <v>32.5</v>
      </c>
      <c r="F1315" s="12">
        <f t="shared" si="70"/>
        <v>7.8426229508196723</v>
      </c>
      <c r="G1315" s="35">
        <v>0</v>
      </c>
      <c r="H1315" s="35">
        <v>0</v>
      </c>
      <c r="I1315" s="35">
        <v>0</v>
      </c>
      <c r="J1315" s="35">
        <v>0</v>
      </c>
      <c r="K1315" s="35">
        <v>0</v>
      </c>
      <c r="L1315" s="36">
        <v>1525</v>
      </c>
      <c r="M1315" s="35">
        <v>1.92</v>
      </c>
      <c r="N1315" s="21">
        <v>5.3</v>
      </c>
      <c r="O1315" s="12">
        <v>0</v>
      </c>
      <c r="P1315" s="35">
        <v>15</v>
      </c>
      <c r="Q1315" s="35">
        <v>50</v>
      </c>
      <c r="R1315" s="35">
        <v>60</v>
      </c>
      <c r="S1315" s="35">
        <v>50</v>
      </c>
      <c r="T1315" s="21">
        <v>0.47749772933696638</v>
      </c>
      <c r="U1315" s="21">
        <v>5.79E-2</v>
      </c>
      <c r="V1315" s="37">
        <v>8.6934878734102963</v>
      </c>
      <c r="W1315" s="37">
        <v>78.241390860692746</v>
      </c>
      <c r="X1315" s="35" t="s">
        <v>6</v>
      </c>
      <c r="Y1315" s="23" t="s">
        <v>6</v>
      </c>
      <c r="Z1315" s="21" t="s">
        <v>6</v>
      </c>
      <c r="AA1315" s="35" t="s">
        <v>6</v>
      </c>
      <c r="AB1315" s="35" t="s">
        <v>6</v>
      </c>
      <c r="AC1315" s="1" t="s">
        <v>209</v>
      </c>
    </row>
    <row r="1316" spans="1:29">
      <c r="A1316" s="35" t="s">
        <v>238</v>
      </c>
      <c r="B1316" s="35" t="s">
        <v>180</v>
      </c>
      <c r="C1316" s="35" t="s">
        <v>60</v>
      </c>
      <c r="D1316" s="35">
        <v>305</v>
      </c>
      <c r="E1316" s="12">
        <v>32.5</v>
      </c>
      <c r="F1316" s="12">
        <f t="shared" si="70"/>
        <v>7.8426229508196723</v>
      </c>
      <c r="G1316" s="35">
        <v>0</v>
      </c>
      <c r="H1316" s="35">
        <v>0</v>
      </c>
      <c r="I1316" s="35">
        <v>0</v>
      </c>
      <c r="J1316" s="35">
        <v>0</v>
      </c>
      <c r="K1316" s="35">
        <v>0</v>
      </c>
      <c r="L1316" s="36">
        <v>1525</v>
      </c>
      <c r="M1316" s="35">
        <v>1.92</v>
      </c>
      <c r="N1316" s="21">
        <v>5.3</v>
      </c>
      <c r="O1316" s="12">
        <v>0</v>
      </c>
      <c r="P1316" s="35">
        <v>15</v>
      </c>
      <c r="Q1316" s="35">
        <v>50</v>
      </c>
      <c r="R1316" s="35">
        <v>60</v>
      </c>
      <c r="S1316" s="35">
        <v>70</v>
      </c>
      <c r="T1316" s="21">
        <v>0.56214804722979117</v>
      </c>
      <c r="U1316" s="21">
        <v>6.6799999999999998E-2</v>
      </c>
      <c r="V1316" s="37">
        <v>8.8001342548481905</v>
      </c>
      <c r="W1316" s="37">
        <v>79.201208293633726</v>
      </c>
      <c r="X1316" s="35" t="s">
        <v>6</v>
      </c>
      <c r="Y1316" s="23" t="s">
        <v>6</v>
      </c>
      <c r="Z1316" s="21" t="s">
        <v>6</v>
      </c>
      <c r="AA1316" s="35" t="s">
        <v>6</v>
      </c>
      <c r="AB1316" s="35" t="s">
        <v>6</v>
      </c>
      <c r="AC1316" s="7" t="s">
        <v>209</v>
      </c>
    </row>
    <row r="1317" spans="1:29">
      <c r="A1317" s="35" t="s">
        <v>238</v>
      </c>
      <c r="B1317" s="35" t="s">
        <v>180</v>
      </c>
      <c r="C1317" s="35" t="s">
        <v>60</v>
      </c>
      <c r="D1317" s="35">
        <v>305</v>
      </c>
      <c r="E1317" s="12">
        <v>40.799999999999997</v>
      </c>
      <c r="F1317" s="12">
        <f t="shared" si="70"/>
        <v>9.8455081967213118</v>
      </c>
      <c r="G1317" s="35">
        <v>0</v>
      </c>
      <c r="H1317" s="35">
        <v>0</v>
      </c>
      <c r="I1317" s="35">
        <v>0</v>
      </c>
      <c r="J1317" s="35">
        <v>0</v>
      </c>
      <c r="K1317" s="35">
        <v>0</v>
      </c>
      <c r="L1317" s="36">
        <v>1525</v>
      </c>
      <c r="M1317" s="35">
        <v>1.92</v>
      </c>
      <c r="N1317" s="21">
        <v>5.3</v>
      </c>
      <c r="O1317" s="12">
        <v>0</v>
      </c>
      <c r="P1317" s="35">
        <v>15</v>
      </c>
      <c r="Q1317" s="35">
        <v>50</v>
      </c>
      <c r="R1317" s="35">
        <v>60</v>
      </c>
      <c r="S1317" s="35">
        <v>30</v>
      </c>
      <c r="T1317" s="21">
        <v>0.38919164396003636</v>
      </c>
      <c r="U1317" s="21">
        <v>2.5499999999999998E-2</v>
      </c>
      <c r="V1317" s="37">
        <v>8.3705964384786284</v>
      </c>
      <c r="W1317" s="37">
        <v>75.335367946307628</v>
      </c>
      <c r="X1317" s="35" t="s">
        <v>6</v>
      </c>
      <c r="Y1317" s="23" t="s">
        <v>6</v>
      </c>
      <c r="Z1317" s="21" t="s">
        <v>6</v>
      </c>
      <c r="AA1317" s="35" t="s">
        <v>6</v>
      </c>
      <c r="AB1317" s="35" t="s">
        <v>6</v>
      </c>
      <c r="AC1317" s="1" t="s">
        <v>209</v>
      </c>
    </row>
    <row r="1318" spans="1:29">
      <c r="A1318" s="35" t="s">
        <v>238</v>
      </c>
      <c r="B1318" s="35" t="s">
        <v>180</v>
      </c>
      <c r="C1318" s="35" t="s">
        <v>60</v>
      </c>
      <c r="D1318" s="35">
        <v>305</v>
      </c>
      <c r="E1318" s="12">
        <v>40.799999999999997</v>
      </c>
      <c r="F1318" s="12">
        <f t="shared" si="70"/>
        <v>9.8455081967213118</v>
      </c>
      <c r="G1318" s="35">
        <v>0</v>
      </c>
      <c r="H1318" s="35">
        <v>0</v>
      </c>
      <c r="I1318" s="35">
        <v>0</v>
      </c>
      <c r="J1318" s="35">
        <v>0</v>
      </c>
      <c r="K1318" s="35">
        <v>0</v>
      </c>
      <c r="L1318" s="36">
        <v>1525</v>
      </c>
      <c r="M1318" s="35">
        <v>1.92</v>
      </c>
      <c r="N1318" s="21">
        <v>5.3</v>
      </c>
      <c r="O1318" s="12">
        <v>0</v>
      </c>
      <c r="P1318" s="35">
        <v>15</v>
      </c>
      <c r="Q1318" s="35">
        <v>50</v>
      </c>
      <c r="R1318" s="35">
        <v>60</v>
      </c>
      <c r="S1318" s="35">
        <v>50</v>
      </c>
      <c r="T1318" s="21">
        <v>0.5072661217075386</v>
      </c>
      <c r="U1318" s="21">
        <v>4.9700000000000001E-2</v>
      </c>
      <c r="V1318" s="37">
        <v>7.8119995437792271</v>
      </c>
      <c r="W1318" s="37">
        <v>70.307995894013118</v>
      </c>
      <c r="X1318" s="35" t="s">
        <v>6</v>
      </c>
      <c r="Y1318" s="23" t="s">
        <v>6</v>
      </c>
      <c r="Z1318" s="21" t="s">
        <v>6</v>
      </c>
      <c r="AA1318" s="35" t="s">
        <v>6</v>
      </c>
      <c r="AB1318" s="35" t="s">
        <v>6</v>
      </c>
      <c r="AC1318" s="1" t="s">
        <v>209</v>
      </c>
    </row>
    <row r="1319" spans="1:29">
      <c r="A1319" s="35" t="s">
        <v>238</v>
      </c>
      <c r="B1319" s="35" t="s">
        <v>180</v>
      </c>
      <c r="C1319" s="35" t="s">
        <v>60</v>
      </c>
      <c r="D1319" s="35">
        <v>305</v>
      </c>
      <c r="E1319" s="12">
        <v>40.799999999999997</v>
      </c>
      <c r="F1319" s="12">
        <f t="shared" si="70"/>
        <v>9.8455081967213118</v>
      </c>
      <c r="G1319" s="35">
        <v>0</v>
      </c>
      <c r="H1319" s="35">
        <v>0</v>
      </c>
      <c r="I1319" s="35">
        <v>0</v>
      </c>
      <c r="J1319" s="35">
        <v>0</v>
      </c>
      <c r="K1319" s="35">
        <v>0</v>
      </c>
      <c r="L1319" s="36">
        <v>1525</v>
      </c>
      <c r="M1319" s="35">
        <v>1.92</v>
      </c>
      <c r="N1319" s="21">
        <v>5.3</v>
      </c>
      <c r="O1319" s="12">
        <v>0</v>
      </c>
      <c r="P1319" s="35">
        <v>15</v>
      </c>
      <c r="Q1319" s="35">
        <v>50</v>
      </c>
      <c r="R1319" s="35">
        <v>60</v>
      </c>
      <c r="S1319" s="35">
        <v>70</v>
      </c>
      <c r="T1319" s="21">
        <v>0.73199364214350593</v>
      </c>
      <c r="U1319" s="21">
        <v>7.0599999999999996E-2</v>
      </c>
      <c r="V1319" s="37">
        <v>7.6404571988464109</v>
      </c>
      <c r="W1319" s="37">
        <v>68.764114789617693</v>
      </c>
      <c r="X1319" s="35" t="s">
        <v>6</v>
      </c>
      <c r="Y1319" s="23" t="s">
        <v>6</v>
      </c>
      <c r="Z1319" s="21" t="s">
        <v>6</v>
      </c>
      <c r="AA1319" s="35" t="s">
        <v>6</v>
      </c>
      <c r="AB1319" s="35" t="s">
        <v>6</v>
      </c>
      <c r="AC1319" s="2" t="s">
        <v>209</v>
      </c>
    </row>
    <row r="1320" spans="1:29">
      <c r="A1320" s="35" t="s">
        <v>238</v>
      </c>
      <c r="B1320" s="35" t="s">
        <v>180</v>
      </c>
      <c r="C1320" s="35" t="s">
        <v>60</v>
      </c>
      <c r="D1320" s="35">
        <v>305</v>
      </c>
      <c r="E1320" s="12">
        <v>21.9</v>
      </c>
      <c r="F1320" s="12">
        <f t="shared" si="70"/>
        <v>5.2847213114754092</v>
      </c>
      <c r="G1320" s="35">
        <v>0</v>
      </c>
      <c r="H1320" s="35">
        <v>0</v>
      </c>
      <c r="I1320" s="35">
        <v>0</v>
      </c>
      <c r="J1320" s="35">
        <v>0</v>
      </c>
      <c r="K1320" s="35">
        <v>0</v>
      </c>
      <c r="L1320" s="36">
        <v>1527</v>
      </c>
      <c r="M1320" s="35">
        <v>2.77</v>
      </c>
      <c r="N1320" s="21">
        <v>10.5</v>
      </c>
      <c r="O1320" s="12">
        <v>0</v>
      </c>
      <c r="P1320" s="35">
        <v>15</v>
      </c>
      <c r="Q1320" s="35">
        <v>50</v>
      </c>
      <c r="R1320" s="35">
        <v>60</v>
      </c>
      <c r="S1320" s="35">
        <v>30</v>
      </c>
      <c r="T1320" s="21">
        <v>0.49564032697547683</v>
      </c>
      <c r="U1320" s="21">
        <v>6.3200000000000006E-2</v>
      </c>
      <c r="V1320" s="37">
        <v>11.146646620537384</v>
      </c>
      <c r="W1320" s="37">
        <v>100.31981958483644</v>
      </c>
      <c r="X1320" s="35" t="s">
        <v>6</v>
      </c>
      <c r="Y1320" s="23" t="s">
        <v>6</v>
      </c>
      <c r="Z1320" s="21" t="s">
        <v>6</v>
      </c>
      <c r="AA1320" s="35" t="s">
        <v>6</v>
      </c>
      <c r="AB1320" s="35" t="s">
        <v>6</v>
      </c>
      <c r="AC1320" s="1" t="s">
        <v>209</v>
      </c>
    </row>
    <row r="1321" spans="1:29">
      <c r="A1321" s="35" t="s">
        <v>238</v>
      </c>
      <c r="B1321" s="35" t="s">
        <v>180</v>
      </c>
      <c r="C1321" s="35" t="s">
        <v>60</v>
      </c>
      <c r="D1321" s="35">
        <v>305</v>
      </c>
      <c r="E1321" s="12">
        <v>21.9</v>
      </c>
      <c r="F1321" s="12">
        <f t="shared" si="70"/>
        <v>5.2847213114754092</v>
      </c>
      <c r="G1321" s="35">
        <v>0</v>
      </c>
      <c r="H1321" s="35">
        <v>0</v>
      </c>
      <c r="I1321" s="35">
        <v>0</v>
      </c>
      <c r="J1321" s="35">
        <v>0</v>
      </c>
      <c r="K1321" s="35">
        <v>0</v>
      </c>
      <c r="L1321" s="36">
        <v>1527</v>
      </c>
      <c r="M1321" s="35">
        <v>2.77</v>
      </c>
      <c r="N1321" s="21">
        <v>10.5</v>
      </c>
      <c r="O1321" s="12">
        <v>0</v>
      </c>
      <c r="P1321" s="35">
        <v>15</v>
      </c>
      <c r="Q1321" s="35">
        <v>50</v>
      </c>
      <c r="R1321" s="35">
        <v>60</v>
      </c>
      <c r="S1321" s="35">
        <v>50</v>
      </c>
      <c r="T1321" s="21">
        <v>0.33946412352406902</v>
      </c>
      <c r="U1321" s="21">
        <v>4.4900000000000002E-2</v>
      </c>
      <c r="V1321" s="37">
        <v>8.1473364320369566</v>
      </c>
      <c r="W1321" s="37">
        <v>73.326027888332646</v>
      </c>
      <c r="X1321" s="35" t="s">
        <v>6</v>
      </c>
      <c r="Y1321" s="23" t="s">
        <v>6</v>
      </c>
      <c r="Z1321" s="21" t="s">
        <v>6</v>
      </c>
      <c r="AA1321" s="35" t="s">
        <v>6</v>
      </c>
      <c r="AB1321" s="35" t="s">
        <v>6</v>
      </c>
      <c r="AC1321" s="1" t="s">
        <v>209</v>
      </c>
    </row>
    <row r="1322" spans="1:29">
      <c r="A1322" s="35" t="s">
        <v>238</v>
      </c>
      <c r="B1322" s="35" t="s">
        <v>180</v>
      </c>
      <c r="C1322" s="35" t="s">
        <v>60</v>
      </c>
      <c r="D1322" s="35">
        <v>305</v>
      </c>
      <c r="E1322" s="12">
        <v>21.9</v>
      </c>
      <c r="F1322" s="12">
        <f t="shared" si="70"/>
        <v>5.2847213114754092</v>
      </c>
      <c r="G1322" s="35">
        <v>0</v>
      </c>
      <c r="H1322" s="35">
        <v>0</v>
      </c>
      <c r="I1322" s="35">
        <v>0</v>
      </c>
      <c r="J1322" s="35">
        <v>0</v>
      </c>
      <c r="K1322" s="35">
        <v>0</v>
      </c>
      <c r="L1322" s="36">
        <v>1527</v>
      </c>
      <c r="M1322" s="35">
        <v>2.77</v>
      </c>
      <c r="N1322" s="21">
        <v>10.5</v>
      </c>
      <c r="O1322" s="12">
        <v>0</v>
      </c>
      <c r="P1322" s="35">
        <v>15</v>
      </c>
      <c r="Q1322" s="35">
        <v>50</v>
      </c>
      <c r="R1322" s="35">
        <v>60</v>
      </c>
      <c r="S1322" s="35">
        <v>70</v>
      </c>
      <c r="T1322" s="21">
        <v>0.19527702089009991</v>
      </c>
      <c r="U1322" s="21">
        <v>2.47E-2</v>
      </c>
      <c r="V1322" s="37">
        <v>11.674605398337537</v>
      </c>
      <c r="W1322" s="37">
        <v>105.0714485850379</v>
      </c>
      <c r="X1322" s="35" t="s">
        <v>6</v>
      </c>
      <c r="Y1322" s="23" t="s">
        <v>6</v>
      </c>
      <c r="Z1322" s="21" t="s">
        <v>6</v>
      </c>
      <c r="AA1322" s="35" t="s">
        <v>6</v>
      </c>
      <c r="AB1322" s="35" t="s">
        <v>6</v>
      </c>
      <c r="AC1322" s="1" t="s">
        <v>209</v>
      </c>
    </row>
    <row r="1323" spans="1:29">
      <c r="A1323" s="35" t="s">
        <v>238</v>
      </c>
      <c r="B1323" s="35" t="s">
        <v>180</v>
      </c>
      <c r="C1323" s="35" t="s">
        <v>60</v>
      </c>
      <c r="D1323" s="35">
        <v>305</v>
      </c>
      <c r="E1323" s="12">
        <v>32.5</v>
      </c>
      <c r="F1323" s="12">
        <f t="shared" si="70"/>
        <v>7.8426229508196723</v>
      </c>
      <c r="G1323" s="35">
        <v>0</v>
      </c>
      <c r="H1323" s="35">
        <v>0</v>
      </c>
      <c r="I1323" s="35">
        <v>0</v>
      </c>
      <c r="J1323" s="35">
        <v>0</v>
      </c>
      <c r="K1323" s="35">
        <v>0</v>
      </c>
      <c r="L1323" s="36">
        <v>1527</v>
      </c>
      <c r="M1323" s="35">
        <v>2.77</v>
      </c>
      <c r="N1323" s="21">
        <v>10.5</v>
      </c>
      <c r="O1323" s="12">
        <v>0</v>
      </c>
      <c r="P1323" s="35">
        <v>15</v>
      </c>
      <c r="Q1323" s="35">
        <v>50</v>
      </c>
      <c r="R1323" s="35">
        <v>60</v>
      </c>
      <c r="S1323" s="35">
        <v>30</v>
      </c>
      <c r="T1323" s="21">
        <v>0.55653950953678477</v>
      </c>
      <c r="U1323" s="21">
        <v>6.2600000000000003E-2</v>
      </c>
      <c r="V1323" s="37">
        <v>10.765085383274718</v>
      </c>
      <c r="W1323" s="37">
        <v>96.885768449472437</v>
      </c>
      <c r="X1323" s="35" t="s">
        <v>6</v>
      </c>
      <c r="Y1323" s="23" t="s">
        <v>6</v>
      </c>
      <c r="Z1323" s="21" t="s">
        <v>6</v>
      </c>
      <c r="AA1323" s="35" t="s">
        <v>6</v>
      </c>
      <c r="AB1323" s="35" t="s">
        <v>6</v>
      </c>
      <c r="AC1323" s="1" t="s">
        <v>209</v>
      </c>
    </row>
    <row r="1324" spans="1:29">
      <c r="A1324" s="35" t="s">
        <v>238</v>
      </c>
      <c r="B1324" s="35" t="s">
        <v>180</v>
      </c>
      <c r="C1324" s="35" t="s">
        <v>60</v>
      </c>
      <c r="D1324" s="35">
        <v>305</v>
      </c>
      <c r="E1324" s="12">
        <v>32.5</v>
      </c>
      <c r="F1324" s="12">
        <f t="shared" si="70"/>
        <v>7.8426229508196723</v>
      </c>
      <c r="G1324" s="35">
        <v>0</v>
      </c>
      <c r="H1324" s="35">
        <v>0</v>
      </c>
      <c r="I1324" s="35">
        <v>0</v>
      </c>
      <c r="J1324" s="35">
        <v>0</v>
      </c>
      <c r="K1324" s="35">
        <v>0</v>
      </c>
      <c r="L1324" s="36">
        <v>1527</v>
      </c>
      <c r="M1324" s="35">
        <v>2.77</v>
      </c>
      <c r="N1324" s="21">
        <v>10.5</v>
      </c>
      <c r="O1324" s="12">
        <v>0</v>
      </c>
      <c r="P1324" s="35">
        <v>15</v>
      </c>
      <c r="Q1324" s="35">
        <v>50</v>
      </c>
      <c r="R1324" s="35">
        <v>60</v>
      </c>
      <c r="S1324" s="35">
        <v>50</v>
      </c>
      <c r="T1324" s="21">
        <v>0.41462306993642145</v>
      </c>
      <c r="U1324" s="21">
        <v>4.8399999999999999E-2</v>
      </c>
      <c r="V1324" s="37">
        <v>8.0417786484343452</v>
      </c>
      <c r="W1324" s="37">
        <v>72.376007835909093</v>
      </c>
      <c r="X1324" s="35" t="s">
        <v>6</v>
      </c>
      <c r="Y1324" s="23" t="s">
        <v>6</v>
      </c>
      <c r="Z1324" s="21" t="s">
        <v>6</v>
      </c>
      <c r="AA1324" s="35" t="s">
        <v>6</v>
      </c>
      <c r="AB1324" s="35" t="s">
        <v>6</v>
      </c>
      <c r="AC1324" s="1" t="s">
        <v>209</v>
      </c>
    </row>
    <row r="1325" spans="1:29">
      <c r="A1325" s="35" t="s">
        <v>238</v>
      </c>
      <c r="B1325" s="35" t="s">
        <v>180</v>
      </c>
      <c r="C1325" s="35" t="s">
        <v>60</v>
      </c>
      <c r="D1325" s="35">
        <v>305</v>
      </c>
      <c r="E1325" s="12">
        <v>32.5</v>
      </c>
      <c r="F1325" s="12">
        <f t="shared" si="70"/>
        <v>7.8426229508196723</v>
      </c>
      <c r="G1325" s="35">
        <v>0</v>
      </c>
      <c r="H1325" s="35">
        <v>0</v>
      </c>
      <c r="I1325" s="35">
        <v>0</v>
      </c>
      <c r="J1325" s="35">
        <v>0</v>
      </c>
      <c r="K1325" s="35">
        <v>0</v>
      </c>
      <c r="L1325" s="36">
        <v>1527</v>
      </c>
      <c r="M1325" s="35">
        <v>2.77</v>
      </c>
      <c r="N1325" s="21">
        <v>10.5</v>
      </c>
      <c r="O1325" s="12">
        <v>0</v>
      </c>
      <c r="P1325" s="35">
        <v>15</v>
      </c>
      <c r="Q1325" s="35">
        <v>50</v>
      </c>
      <c r="R1325" s="35">
        <v>60</v>
      </c>
      <c r="S1325" s="35">
        <v>70</v>
      </c>
      <c r="T1325" s="21">
        <v>0.29284741144414173</v>
      </c>
      <c r="U1325" s="21">
        <v>3.5000000000000003E-2</v>
      </c>
      <c r="V1325" s="37">
        <v>5.7012802794995636</v>
      </c>
      <c r="W1325" s="37">
        <v>51.311522515496087</v>
      </c>
      <c r="X1325" s="35" t="s">
        <v>6</v>
      </c>
      <c r="Y1325" s="23" t="s">
        <v>6</v>
      </c>
      <c r="Z1325" s="21" t="s">
        <v>6</v>
      </c>
      <c r="AA1325" s="35" t="s">
        <v>6</v>
      </c>
      <c r="AB1325" s="35" t="s">
        <v>6</v>
      </c>
      <c r="AC1325" s="1" t="s">
        <v>209</v>
      </c>
    </row>
    <row r="1326" spans="1:29">
      <c r="A1326" s="35" t="s">
        <v>238</v>
      </c>
      <c r="B1326" s="35" t="s">
        <v>180</v>
      </c>
      <c r="C1326" s="35" t="s">
        <v>60</v>
      </c>
      <c r="D1326" s="35">
        <v>305</v>
      </c>
      <c r="E1326" s="12">
        <v>40.799999999999997</v>
      </c>
      <c r="F1326" s="12">
        <f t="shared" si="70"/>
        <v>9.8455081967213118</v>
      </c>
      <c r="G1326" s="35">
        <v>0</v>
      </c>
      <c r="H1326" s="35">
        <v>0</v>
      </c>
      <c r="I1326" s="35">
        <v>0</v>
      </c>
      <c r="J1326" s="35">
        <v>0</v>
      </c>
      <c r="K1326" s="35">
        <v>0</v>
      </c>
      <c r="L1326" s="36">
        <v>1527</v>
      </c>
      <c r="M1326" s="35">
        <v>2.77</v>
      </c>
      <c r="N1326" s="21">
        <v>10.5</v>
      </c>
      <c r="O1326" s="12">
        <v>0</v>
      </c>
      <c r="P1326" s="35">
        <v>15</v>
      </c>
      <c r="Q1326" s="35">
        <v>50</v>
      </c>
      <c r="R1326" s="35">
        <v>60</v>
      </c>
      <c r="S1326" s="35">
        <v>30</v>
      </c>
      <c r="T1326" s="21">
        <v>0.77967756584922809</v>
      </c>
      <c r="U1326" s="21">
        <v>7.1300000000000002E-2</v>
      </c>
      <c r="V1326" s="37">
        <v>9.1582086031112624</v>
      </c>
      <c r="W1326" s="37">
        <v>82.423877428001418</v>
      </c>
      <c r="X1326" s="35" t="s">
        <v>6</v>
      </c>
      <c r="Y1326" s="23" t="s">
        <v>6</v>
      </c>
      <c r="Z1326" s="21" t="s">
        <v>6</v>
      </c>
      <c r="AA1326" s="35" t="s">
        <v>6</v>
      </c>
      <c r="AB1326" s="35" t="s">
        <v>6</v>
      </c>
      <c r="AC1326" s="1" t="s">
        <v>209</v>
      </c>
    </row>
    <row r="1327" spans="1:29">
      <c r="A1327" s="35" t="s">
        <v>238</v>
      </c>
      <c r="B1327" s="35" t="s">
        <v>180</v>
      </c>
      <c r="C1327" s="35" t="s">
        <v>60</v>
      </c>
      <c r="D1327" s="35">
        <v>305</v>
      </c>
      <c r="E1327" s="12">
        <v>40.799999999999997</v>
      </c>
      <c r="F1327" s="12">
        <f t="shared" si="70"/>
        <v>9.8455081967213118</v>
      </c>
      <c r="G1327" s="35">
        <v>0</v>
      </c>
      <c r="H1327" s="35">
        <v>0</v>
      </c>
      <c r="I1327" s="35">
        <v>0</v>
      </c>
      <c r="J1327" s="35">
        <v>0</v>
      </c>
      <c r="K1327" s="35">
        <v>0</v>
      </c>
      <c r="L1327" s="36">
        <v>1527</v>
      </c>
      <c r="M1327" s="35">
        <v>2.77</v>
      </c>
      <c r="N1327" s="21">
        <v>10.5</v>
      </c>
      <c r="O1327" s="12">
        <v>0</v>
      </c>
      <c r="P1327" s="35">
        <v>15</v>
      </c>
      <c r="Q1327" s="35">
        <v>50</v>
      </c>
      <c r="R1327" s="35">
        <v>60</v>
      </c>
      <c r="S1327" s="35">
        <v>50</v>
      </c>
      <c r="T1327" s="21">
        <v>0.5463215258855586</v>
      </c>
      <c r="U1327" s="21">
        <v>5.0900000000000001E-2</v>
      </c>
      <c r="V1327" s="37">
        <v>7.9928384167785662</v>
      </c>
      <c r="W1327" s="37">
        <v>71.93554575100714</v>
      </c>
      <c r="X1327" s="35" t="s">
        <v>6</v>
      </c>
      <c r="Y1327" s="23" t="s">
        <v>6</v>
      </c>
      <c r="Z1327" s="21" t="s">
        <v>6</v>
      </c>
      <c r="AA1327" s="35" t="s">
        <v>6</v>
      </c>
      <c r="AB1327" s="35" t="s">
        <v>6</v>
      </c>
      <c r="AC1327" s="1" t="s">
        <v>209</v>
      </c>
    </row>
    <row r="1328" spans="1:29" ht="14.55" customHeight="1">
      <c r="A1328" s="35" t="s">
        <v>238</v>
      </c>
      <c r="B1328" s="35" t="s">
        <v>180</v>
      </c>
      <c r="C1328" s="35" t="s">
        <v>60</v>
      </c>
      <c r="D1328" s="35">
        <v>305</v>
      </c>
      <c r="E1328" s="12">
        <v>40.799999999999997</v>
      </c>
      <c r="F1328" s="12">
        <f t="shared" si="70"/>
        <v>9.8455081967213118</v>
      </c>
      <c r="G1328" s="35">
        <v>0</v>
      </c>
      <c r="H1328" s="35">
        <v>0</v>
      </c>
      <c r="I1328" s="35">
        <v>0</v>
      </c>
      <c r="J1328" s="35">
        <v>0</v>
      </c>
      <c r="K1328" s="35">
        <v>0</v>
      </c>
      <c r="L1328" s="36">
        <v>1527</v>
      </c>
      <c r="M1328" s="35">
        <v>2.77</v>
      </c>
      <c r="N1328" s="21">
        <v>10.5</v>
      </c>
      <c r="O1328" s="12">
        <v>0</v>
      </c>
      <c r="P1328" s="35">
        <v>15</v>
      </c>
      <c r="Q1328" s="35">
        <v>50</v>
      </c>
      <c r="R1328" s="35">
        <v>60</v>
      </c>
      <c r="S1328" s="35">
        <v>70</v>
      </c>
      <c r="T1328" s="21">
        <v>0.29223433242506813</v>
      </c>
      <c r="U1328" s="21">
        <v>2.8000000000000001E-2</v>
      </c>
      <c r="V1328" s="37">
        <v>4.6526992634777073</v>
      </c>
      <c r="W1328" s="37">
        <v>41.874293371299395</v>
      </c>
      <c r="X1328" s="35" t="s">
        <v>6</v>
      </c>
      <c r="Y1328" s="23" t="s">
        <v>6</v>
      </c>
      <c r="Z1328" s="21" t="s">
        <v>6</v>
      </c>
      <c r="AA1328" s="35" t="s">
        <v>6</v>
      </c>
      <c r="AB1328" s="35" t="s">
        <v>6</v>
      </c>
      <c r="AC1328" s="7" t="s">
        <v>209</v>
      </c>
    </row>
    <row r="1329" spans="1:29">
      <c r="A1329" s="35" t="s">
        <v>238</v>
      </c>
      <c r="B1329" s="35" t="s">
        <v>180</v>
      </c>
      <c r="C1329" s="35" t="s">
        <v>60</v>
      </c>
      <c r="D1329" s="35">
        <v>305</v>
      </c>
      <c r="E1329" s="12">
        <v>21.9</v>
      </c>
      <c r="F1329" s="12">
        <f t="shared" si="70"/>
        <v>5.2847213114754092</v>
      </c>
      <c r="G1329" s="35">
        <v>0</v>
      </c>
      <c r="H1329" s="35">
        <v>0</v>
      </c>
      <c r="I1329" s="35">
        <v>0</v>
      </c>
      <c r="J1329" s="35">
        <v>0</v>
      </c>
      <c r="K1329" s="35">
        <v>0</v>
      </c>
      <c r="L1329" s="36">
        <v>1952</v>
      </c>
      <c r="M1329" s="35">
        <v>1.8</v>
      </c>
      <c r="N1329" s="21">
        <v>3.79</v>
      </c>
      <c r="O1329" s="12">
        <v>0</v>
      </c>
      <c r="P1329" s="35">
        <v>15</v>
      </c>
      <c r="Q1329" s="35">
        <v>50</v>
      </c>
      <c r="R1329" s="35">
        <v>60</v>
      </c>
      <c r="S1329" s="35">
        <v>30</v>
      </c>
      <c r="T1329" s="21">
        <v>0.65326975476839233</v>
      </c>
      <c r="U1329" s="21">
        <v>8.8599999999999998E-2</v>
      </c>
      <c r="V1329" s="37">
        <v>6.828767960513332</v>
      </c>
      <c r="W1329" s="37">
        <v>61.458911644620017</v>
      </c>
      <c r="X1329" s="35" t="s">
        <v>6</v>
      </c>
      <c r="Y1329" s="23" t="s">
        <v>6</v>
      </c>
      <c r="Z1329" s="21" t="s">
        <v>6</v>
      </c>
      <c r="AA1329" s="35" t="s">
        <v>6</v>
      </c>
      <c r="AB1329" s="35" t="s">
        <v>6</v>
      </c>
      <c r="AC1329" s="1" t="s">
        <v>209</v>
      </c>
    </row>
    <row r="1330" spans="1:29">
      <c r="A1330" s="35" t="s">
        <v>238</v>
      </c>
      <c r="B1330" s="35" t="s">
        <v>180</v>
      </c>
      <c r="C1330" s="35" t="s">
        <v>60</v>
      </c>
      <c r="D1330" s="35">
        <v>305</v>
      </c>
      <c r="E1330" s="12">
        <v>21.9</v>
      </c>
      <c r="F1330" s="12">
        <f t="shared" si="70"/>
        <v>5.2847213114754092</v>
      </c>
      <c r="G1330" s="35">
        <v>0</v>
      </c>
      <c r="H1330" s="35">
        <v>0</v>
      </c>
      <c r="I1330" s="35">
        <v>0</v>
      </c>
      <c r="J1330" s="35">
        <v>0</v>
      </c>
      <c r="K1330" s="35">
        <v>0</v>
      </c>
      <c r="L1330" s="36">
        <v>1952</v>
      </c>
      <c r="M1330" s="35">
        <v>1.8</v>
      </c>
      <c r="N1330" s="21">
        <v>3.79</v>
      </c>
      <c r="O1330" s="12">
        <v>0</v>
      </c>
      <c r="P1330" s="35">
        <v>15</v>
      </c>
      <c r="Q1330" s="35">
        <v>50</v>
      </c>
      <c r="R1330" s="35">
        <v>60</v>
      </c>
      <c r="S1330" s="35">
        <v>50</v>
      </c>
      <c r="T1330" s="21">
        <v>0.8158038147138964</v>
      </c>
      <c r="U1330" s="21">
        <v>0.1129</v>
      </c>
      <c r="V1330" s="37">
        <v>5.5115732014083179</v>
      </c>
      <c r="W1330" s="37">
        <v>49.604158812674903</v>
      </c>
      <c r="X1330" s="35" t="s">
        <v>6</v>
      </c>
      <c r="Y1330" s="23" t="s">
        <v>6</v>
      </c>
      <c r="Z1330" s="21" t="s">
        <v>6</v>
      </c>
      <c r="AA1330" s="35" t="s">
        <v>6</v>
      </c>
      <c r="AB1330" s="35" t="s">
        <v>6</v>
      </c>
      <c r="AC1330" s="1" t="s">
        <v>209</v>
      </c>
    </row>
    <row r="1331" spans="1:29">
      <c r="A1331" s="35" t="s">
        <v>238</v>
      </c>
      <c r="B1331" s="35" t="s">
        <v>180</v>
      </c>
      <c r="C1331" s="35" t="s">
        <v>60</v>
      </c>
      <c r="D1331" s="35">
        <v>305</v>
      </c>
      <c r="E1331" s="12">
        <v>21.9</v>
      </c>
      <c r="F1331" s="12">
        <f t="shared" si="70"/>
        <v>5.2847213114754092</v>
      </c>
      <c r="G1331" s="35">
        <v>0</v>
      </c>
      <c r="H1331" s="35">
        <v>0</v>
      </c>
      <c r="I1331" s="35">
        <v>0</v>
      </c>
      <c r="J1331" s="35">
        <v>0</v>
      </c>
      <c r="K1331" s="35">
        <v>0</v>
      </c>
      <c r="L1331" s="36">
        <v>1952</v>
      </c>
      <c r="M1331" s="35">
        <v>1.8</v>
      </c>
      <c r="N1331" s="21">
        <v>3.79</v>
      </c>
      <c r="O1331" s="12">
        <v>0</v>
      </c>
      <c r="P1331" s="35">
        <v>15</v>
      </c>
      <c r="Q1331" s="35">
        <v>50</v>
      </c>
      <c r="R1331" s="35">
        <v>60</v>
      </c>
      <c r="S1331" s="35">
        <v>70</v>
      </c>
      <c r="T1331" s="21">
        <v>0.52622615803814721</v>
      </c>
      <c r="U1331" s="21">
        <v>6.93E-2</v>
      </c>
      <c r="V1331" s="37">
        <v>8.1261668667735272</v>
      </c>
      <c r="W1331" s="37">
        <v>73.135501800961777</v>
      </c>
      <c r="X1331" s="35" t="s">
        <v>6</v>
      </c>
      <c r="Y1331" s="23" t="s">
        <v>6</v>
      </c>
      <c r="Z1331" s="21" t="s">
        <v>6</v>
      </c>
      <c r="AA1331" s="35" t="s">
        <v>6</v>
      </c>
      <c r="AB1331" s="35" t="s">
        <v>6</v>
      </c>
      <c r="AC1331" s="1" t="s">
        <v>209</v>
      </c>
    </row>
    <row r="1332" spans="1:29">
      <c r="A1332" s="35" t="s">
        <v>238</v>
      </c>
      <c r="B1332" s="35" t="s">
        <v>180</v>
      </c>
      <c r="C1332" s="35" t="s">
        <v>60</v>
      </c>
      <c r="D1332" s="35">
        <v>305</v>
      </c>
      <c r="E1332" s="12">
        <v>32.5</v>
      </c>
      <c r="F1332" s="12">
        <f t="shared" si="70"/>
        <v>7.8426229508196723</v>
      </c>
      <c r="G1332" s="35">
        <v>0</v>
      </c>
      <c r="H1332" s="35">
        <v>0</v>
      </c>
      <c r="I1332" s="35">
        <v>0</v>
      </c>
      <c r="J1332" s="35">
        <v>0</v>
      </c>
      <c r="K1332" s="35">
        <v>0</v>
      </c>
      <c r="L1332" s="36">
        <v>1952</v>
      </c>
      <c r="M1332" s="35">
        <v>1.8</v>
      </c>
      <c r="N1332" s="21">
        <v>3.79</v>
      </c>
      <c r="O1332" s="12">
        <v>0</v>
      </c>
      <c r="P1332" s="35">
        <v>15</v>
      </c>
      <c r="Q1332" s="35">
        <v>50</v>
      </c>
      <c r="R1332" s="35">
        <v>60</v>
      </c>
      <c r="S1332" s="35">
        <v>30</v>
      </c>
      <c r="T1332" s="21">
        <v>0.78315168029064497</v>
      </c>
      <c r="U1332" s="21">
        <v>9.2799999999999994E-2</v>
      </c>
      <c r="V1332" s="37">
        <v>6.8220967714427019</v>
      </c>
      <c r="W1332" s="37">
        <v>61.398870942984352</v>
      </c>
      <c r="X1332" s="35" t="s">
        <v>6</v>
      </c>
      <c r="Y1332" s="23" t="s">
        <v>6</v>
      </c>
      <c r="Z1332" s="21" t="s">
        <v>6</v>
      </c>
      <c r="AA1332" s="35" t="s">
        <v>6</v>
      </c>
      <c r="AB1332" s="35" t="s">
        <v>6</v>
      </c>
      <c r="AC1332" s="1" t="s">
        <v>209</v>
      </c>
    </row>
    <row r="1333" spans="1:29">
      <c r="A1333" s="35" t="s">
        <v>238</v>
      </c>
      <c r="B1333" s="35" t="s">
        <v>180</v>
      </c>
      <c r="C1333" s="35" t="s">
        <v>60</v>
      </c>
      <c r="D1333" s="35">
        <v>305</v>
      </c>
      <c r="E1333" s="12">
        <v>32.5</v>
      </c>
      <c r="F1333" s="12">
        <f t="shared" si="70"/>
        <v>7.8426229508196723</v>
      </c>
      <c r="G1333" s="35">
        <v>0</v>
      </c>
      <c r="H1333" s="35">
        <v>0</v>
      </c>
      <c r="I1333" s="35">
        <v>0</v>
      </c>
      <c r="J1333" s="35">
        <v>0</v>
      </c>
      <c r="K1333" s="35">
        <v>0</v>
      </c>
      <c r="L1333" s="36">
        <v>1952</v>
      </c>
      <c r="M1333" s="35">
        <v>1.8</v>
      </c>
      <c r="N1333" s="21">
        <v>3.79</v>
      </c>
      <c r="O1333" s="12">
        <v>0</v>
      </c>
      <c r="P1333" s="35">
        <v>15</v>
      </c>
      <c r="Q1333" s="35">
        <v>50</v>
      </c>
      <c r="R1333" s="35">
        <v>60</v>
      </c>
      <c r="S1333" s="35">
        <v>50</v>
      </c>
      <c r="T1333" s="21">
        <v>0.99613987284287009</v>
      </c>
      <c r="U1333" s="21">
        <v>0.1208</v>
      </c>
      <c r="V1333" s="37">
        <v>5.5192785640603352</v>
      </c>
      <c r="W1333" s="37">
        <v>49.673507076543004</v>
      </c>
      <c r="X1333" s="35" t="s">
        <v>6</v>
      </c>
      <c r="Y1333" s="23" t="s">
        <v>6</v>
      </c>
      <c r="Z1333" s="21" t="s">
        <v>6</v>
      </c>
      <c r="AA1333" s="35" t="s">
        <v>6</v>
      </c>
      <c r="AB1333" s="35" t="s">
        <v>6</v>
      </c>
      <c r="AC1333" s="1" t="s">
        <v>209</v>
      </c>
    </row>
    <row r="1334" spans="1:29">
      <c r="A1334" s="35" t="s">
        <v>238</v>
      </c>
      <c r="B1334" s="35" t="s">
        <v>180</v>
      </c>
      <c r="C1334" s="35" t="s">
        <v>60</v>
      </c>
      <c r="D1334" s="35">
        <v>305</v>
      </c>
      <c r="E1334" s="12">
        <v>32.5</v>
      </c>
      <c r="F1334" s="12">
        <f t="shared" si="70"/>
        <v>7.8426229508196723</v>
      </c>
      <c r="G1334" s="35">
        <v>0</v>
      </c>
      <c r="H1334" s="35">
        <v>0</v>
      </c>
      <c r="I1334" s="35">
        <v>0</v>
      </c>
      <c r="J1334" s="35">
        <v>0</v>
      </c>
      <c r="K1334" s="35">
        <v>0</v>
      </c>
      <c r="L1334" s="36">
        <v>1952</v>
      </c>
      <c r="M1334" s="35">
        <v>1.8</v>
      </c>
      <c r="N1334" s="21">
        <v>3.79</v>
      </c>
      <c r="O1334" s="12">
        <v>0</v>
      </c>
      <c r="P1334" s="35">
        <v>15</v>
      </c>
      <c r="Q1334" s="35">
        <v>50</v>
      </c>
      <c r="R1334" s="35">
        <v>60</v>
      </c>
      <c r="S1334" s="35">
        <v>70</v>
      </c>
      <c r="T1334" s="21">
        <v>0.61557674841053589</v>
      </c>
      <c r="U1334" s="21">
        <v>7.0900000000000005E-2</v>
      </c>
      <c r="V1334" s="37">
        <v>8.1248364876656858</v>
      </c>
      <c r="W1334" s="37">
        <v>73.123528388991218</v>
      </c>
      <c r="X1334" s="35" t="s">
        <v>6</v>
      </c>
      <c r="Y1334" s="23" t="s">
        <v>6</v>
      </c>
      <c r="Z1334" s="21" t="s">
        <v>6</v>
      </c>
      <c r="AA1334" s="35" t="s">
        <v>6</v>
      </c>
      <c r="AB1334" s="35" t="s">
        <v>6</v>
      </c>
      <c r="AC1334" s="7" t="s">
        <v>209</v>
      </c>
    </row>
    <row r="1335" spans="1:29">
      <c r="A1335" s="35" t="s">
        <v>238</v>
      </c>
      <c r="B1335" s="35" t="s">
        <v>180</v>
      </c>
      <c r="C1335" s="35" t="s">
        <v>60</v>
      </c>
      <c r="D1335" s="35">
        <v>305</v>
      </c>
      <c r="E1335" s="12">
        <v>40.799999999999997</v>
      </c>
      <c r="F1335" s="12">
        <f t="shared" si="70"/>
        <v>9.8455081967213118</v>
      </c>
      <c r="G1335" s="35">
        <v>0</v>
      </c>
      <c r="H1335" s="35">
        <v>0</v>
      </c>
      <c r="I1335" s="35">
        <v>0</v>
      </c>
      <c r="J1335" s="35">
        <v>0</v>
      </c>
      <c r="K1335" s="35">
        <v>0</v>
      </c>
      <c r="L1335" s="36">
        <v>1952</v>
      </c>
      <c r="M1335" s="35">
        <v>1.8</v>
      </c>
      <c r="N1335" s="21">
        <v>3.79</v>
      </c>
      <c r="O1335" s="12">
        <v>0</v>
      </c>
      <c r="P1335" s="35">
        <v>15</v>
      </c>
      <c r="Q1335" s="35">
        <v>50</v>
      </c>
      <c r="R1335" s="35">
        <v>60</v>
      </c>
      <c r="S1335" s="35">
        <v>30</v>
      </c>
      <c r="T1335" s="21">
        <v>1.4125794732061763</v>
      </c>
      <c r="U1335" s="21">
        <v>0.13669999999999999</v>
      </c>
      <c r="V1335" s="37">
        <v>5.5429607170373991</v>
      </c>
      <c r="W1335" s="37">
        <v>49.886646453336624</v>
      </c>
      <c r="X1335" s="35" t="s">
        <v>6</v>
      </c>
      <c r="Y1335" s="23" t="s">
        <v>6</v>
      </c>
      <c r="Z1335" s="21" t="s">
        <v>6</v>
      </c>
      <c r="AA1335" s="35" t="s">
        <v>6</v>
      </c>
      <c r="AB1335" s="35" t="s">
        <v>6</v>
      </c>
      <c r="AC1335" s="1" t="s">
        <v>209</v>
      </c>
    </row>
    <row r="1336" spans="1:29">
      <c r="A1336" s="35" t="s">
        <v>238</v>
      </c>
      <c r="B1336" s="35" t="s">
        <v>180</v>
      </c>
      <c r="C1336" s="35" t="s">
        <v>60</v>
      </c>
      <c r="D1336" s="35">
        <v>305</v>
      </c>
      <c r="E1336" s="12">
        <v>40.799999999999997</v>
      </c>
      <c r="F1336" s="12">
        <f t="shared" si="70"/>
        <v>9.8455081967213118</v>
      </c>
      <c r="G1336" s="35">
        <v>0</v>
      </c>
      <c r="H1336" s="35">
        <v>0</v>
      </c>
      <c r="I1336" s="35">
        <v>0</v>
      </c>
      <c r="J1336" s="35">
        <v>0</v>
      </c>
      <c r="K1336" s="35">
        <v>0</v>
      </c>
      <c r="L1336" s="36">
        <v>1952</v>
      </c>
      <c r="M1336" s="35">
        <v>1.8</v>
      </c>
      <c r="N1336" s="21">
        <v>3.79</v>
      </c>
      <c r="O1336" s="12">
        <v>0</v>
      </c>
      <c r="P1336" s="35">
        <v>15</v>
      </c>
      <c r="Q1336" s="35">
        <v>50</v>
      </c>
      <c r="R1336" s="35">
        <v>60</v>
      </c>
      <c r="S1336" s="35">
        <v>50</v>
      </c>
      <c r="T1336" s="21">
        <v>1.5769754768392372</v>
      </c>
      <c r="U1336" s="21">
        <v>0.15479999999999999</v>
      </c>
      <c r="V1336" s="37">
        <v>4.7364631882081012</v>
      </c>
      <c r="W1336" s="37">
        <v>42.628168693872908</v>
      </c>
      <c r="X1336" s="35" t="s">
        <v>6</v>
      </c>
      <c r="Y1336" s="23" t="s">
        <v>6</v>
      </c>
      <c r="Z1336" s="21" t="s">
        <v>6</v>
      </c>
      <c r="AA1336" s="35" t="s">
        <v>6</v>
      </c>
      <c r="AB1336" s="35" t="s">
        <v>6</v>
      </c>
      <c r="AC1336" s="1" t="s">
        <v>209</v>
      </c>
    </row>
    <row r="1337" spans="1:29" ht="13.8" customHeight="1">
      <c r="A1337" s="35" t="s">
        <v>238</v>
      </c>
      <c r="B1337" s="35" t="s">
        <v>180</v>
      </c>
      <c r="C1337" s="35" t="s">
        <v>60</v>
      </c>
      <c r="D1337" s="35">
        <v>305</v>
      </c>
      <c r="E1337" s="12">
        <v>40.799999999999997</v>
      </c>
      <c r="F1337" s="12">
        <f t="shared" si="70"/>
        <v>9.8455081967213118</v>
      </c>
      <c r="G1337" s="35">
        <v>0</v>
      </c>
      <c r="H1337" s="35">
        <v>0</v>
      </c>
      <c r="I1337" s="35">
        <v>0</v>
      </c>
      <c r="J1337" s="35">
        <v>0</v>
      </c>
      <c r="K1337" s="35">
        <v>0</v>
      </c>
      <c r="L1337" s="36">
        <v>1952</v>
      </c>
      <c r="M1337" s="35">
        <v>1.8</v>
      </c>
      <c r="N1337" s="21">
        <v>3.79</v>
      </c>
      <c r="O1337" s="12">
        <v>0</v>
      </c>
      <c r="P1337" s="35">
        <v>15</v>
      </c>
      <c r="Q1337" s="35">
        <v>50</v>
      </c>
      <c r="R1337" s="35">
        <v>60</v>
      </c>
      <c r="S1337" s="35">
        <v>70</v>
      </c>
      <c r="T1337" s="21">
        <v>1.104677565849228</v>
      </c>
      <c r="U1337" s="21">
        <v>0.1065</v>
      </c>
      <c r="V1337" s="37">
        <v>5.1775779807963644</v>
      </c>
      <c r="W1337" s="37">
        <v>46.598201827167252</v>
      </c>
      <c r="X1337" s="35" t="s">
        <v>6</v>
      </c>
      <c r="Y1337" s="23" t="s">
        <v>6</v>
      </c>
      <c r="Z1337" s="21" t="s">
        <v>6</v>
      </c>
      <c r="AA1337" s="35" t="s">
        <v>6</v>
      </c>
      <c r="AB1337" s="35" t="s">
        <v>6</v>
      </c>
      <c r="AC1337" s="2" t="s">
        <v>209</v>
      </c>
    </row>
  </sheetData>
  <phoneticPr fontId="5" type="noConversion"/>
  <hyperlinks>
    <hyperlink ref="AC147" r:id="rId1" tooltip="Persistent link using digital object identifier" xr:uid="{392E12D2-EEFE-4D59-BFE5-6C3FBE50AFD3}"/>
    <hyperlink ref="AC146" r:id="rId2" tooltip="Persistent link using digital object identifier" xr:uid="{02A3483A-F107-4A8D-B8B0-A5097C6AF5D0}"/>
    <hyperlink ref="AC144" r:id="rId3" tooltip="Persistent link using digital object identifier" xr:uid="{84A991E9-1694-4854-A45B-BBE25B7ED11B}"/>
    <hyperlink ref="AC143" r:id="rId4" tooltip="Persistent link using digital object identifier" xr:uid="{0007F872-624A-477B-A1B9-AC924BB0EC79}"/>
    <hyperlink ref="AC145" r:id="rId5" tooltip="Persistent link using digital object identifier" xr:uid="{41D69722-6AAA-4CBB-8EE2-E38149C1786C}"/>
    <hyperlink ref="AC82" r:id="rId6" xr:uid="{D55ADC86-13EC-4CB8-86DC-DBA49C84B82F}"/>
    <hyperlink ref="AC83" r:id="rId7" tooltip="Persistent link using digital object identifier" xr:uid="{648D27B0-9B29-413C-9BEE-5E253D1D7E04}"/>
    <hyperlink ref="AC84" r:id="rId8" tooltip="Persistent link using digital object identifier" xr:uid="{0102EF46-66B8-4F1E-92DC-B5FCA05DF85B}"/>
    <hyperlink ref="AC85" r:id="rId9" tooltip="Persistent link using digital object identifier" xr:uid="{8FACEB1F-43B8-4879-8549-4FEBE72D1F62}"/>
    <hyperlink ref="AC86" r:id="rId10" tooltip="Persistent link using digital object identifier" xr:uid="{9AB258D9-C8C4-4828-B5B5-FC6444073320}"/>
    <hyperlink ref="AC87" r:id="rId11" tooltip="Persistent link using digital object identifier" xr:uid="{6CE27A7F-DB78-47EE-AE17-1B2A3BD577BC}"/>
    <hyperlink ref="AC94" r:id="rId12" tooltip="Persistent link using digital object identifier" xr:uid="{F20F4A7A-085D-449B-A0F7-436BEEF0868F}"/>
    <hyperlink ref="AC142" r:id="rId13" tooltip="Persistent link using digital object identifier" xr:uid="{1C877A9D-6F1C-4F5C-BB3A-769884C1FCF9}"/>
    <hyperlink ref="AC141" r:id="rId14" tooltip="Persistent link using digital object identifier" xr:uid="{3326D9F0-D6D4-4EC6-87A0-81DA1416A4AD}"/>
    <hyperlink ref="AC140" r:id="rId15" tooltip="Persistent link using digital object identifier" xr:uid="{8D6C099F-8D78-4F82-ABDD-4ED2935DA7A5}"/>
    <hyperlink ref="AC139" r:id="rId16" tooltip="Persistent link using digital object identifier" xr:uid="{E4C00C5A-6BF5-452A-AED1-6E8959880F1E}"/>
    <hyperlink ref="AC137" r:id="rId17" tooltip="Persistent link using digital object identifier" xr:uid="{67E88400-15D0-4C44-A96F-2588235230D0}"/>
    <hyperlink ref="AC138" r:id="rId18" tooltip="Persistent link using digital object identifier" xr:uid="{2969BB24-8068-41FD-A950-3C4FEA08D7BF}"/>
    <hyperlink ref="AC136" r:id="rId19" tooltip="Persistent link using digital object identifier" xr:uid="{EF53552B-8EEA-4A58-BD0E-9E7DC458EDB8}"/>
    <hyperlink ref="AC135" r:id="rId20" tooltip="Persistent link using digital object identifier" xr:uid="{3F034051-249B-42C3-9411-FB4B25AF7619}"/>
    <hyperlink ref="AC134" r:id="rId21" tooltip="Persistent link using digital object identifier" xr:uid="{DCCB7931-80C5-45D4-AC1C-B788FABF78D8}"/>
    <hyperlink ref="AC133" r:id="rId22" tooltip="Persistent link using digital object identifier" xr:uid="{AC1EA0C8-191A-4A26-8894-643C52209E51}"/>
    <hyperlink ref="AC132" r:id="rId23" tooltip="Persistent link using digital object identifier" xr:uid="{BA2B63EC-D8B8-4FD9-B302-CD56757AE081}"/>
    <hyperlink ref="AC131" r:id="rId24" tooltip="Persistent link using digital object identifier" xr:uid="{191C7BDE-C623-4DD7-8DE3-68F33BE0CB8F}"/>
    <hyperlink ref="AC130" r:id="rId25" tooltip="Persistent link using digital object identifier" xr:uid="{DCB53329-04D6-447B-A28B-8F6B4F2BFCCA}"/>
    <hyperlink ref="AC153" r:id="rId26" tooltip="Persistent link using digital object identifier" xr:uid="{938CFF73-018B-4390-976D-4D34C5AD8B55}"/>
    <hyperlink ref="AC151" r:id="rId27" tooltip="Persistent link using digital object identifier" xr:uid="{BEBF643D-1BDB-4BC9-A79A-3A4445F83B45}"/>
    <hyperlink ref="AC152" r:id="rId28" tooltip="Persistent link using digital object identifier" xr:uid="{EAED7270-9CD0-450E-BBD3-C35E8012BCE1}"/>
    <hyperlink ref="AC150" r:id="rId29" tooltip="Persistent link using digital object identifier" xr:uid="{80F4F34C-3616-457A-934C-F6C4F42B58A1}"/>
    <hyperlink ref="AC149" r:id="rId30" tooltip="Persistent link using digital object identifier" xr:uid="{06A4AAC0-7FD6-403A-BA35-68385F6F804E}"/>
    <hyperlink ref="AC148" r:id="rId31" tooltip="Persistent link using digital object identifier" xr:uid="{36FBB7F2-3471-49E6-820D-073C15A59F08}"/>
    <hyperlink ref="AC93" r:id="rId32" tooltip="Persistent link using digital object identifier" xr:uid="{C5F246D6-BFBF-4180-A2F3-3DDC6381686B}"/>
    <hyperlink ref="AC92" r:id="rId33" xr:uid="{5C63B1F8-3879-4884-AE65-4E58BCCF1A34}"/>
    <hyperlink ref="AC91" r:id="rId34" tooltip="Persistent link using digital object identifier" xr:uid="{001563C7-635B-4D34-A92C-89A58C331298}"/>
    <hyperlink ref="AC90" r:id="rId35" tooltip="Persistent link using digital object identifier" xr:uid="{8799148C-53A4-424C-A58E-3D616378BBDD}"/>
    <hyperlink ref="AC89" r:id="rId36" tooltip="Persistent link using digital object identifier" xr:uid="{131BB815-B5E4-4203-AFB4-B7B8B1B21646}"/>
    <hyperlink ref="AC88" r:id="rId37" tooltip="Persistent link using digital object identifier" xr:uid="{938F04B8-367E-4C6E-95D8-4E8DB3D09792}"/>
    <hyperlink ref="AC178" r:id="rId38" xr:uid="{09434150-1949-4B9C-8B27-0A486E133F49}"/>
    <hyperlink ref="AC154" r:id="rId39" xr:uid="{C088227A-7379-4A51-98A1-17F807AD98C6}"/>
    <hyperlink ref="AC156" r:id="rId40" tooltip="Persistent link using digital object identifier" xr:uid="{D5C357CC-5298-400C-96C0-04FB4CD9B66A}"/>
    <hyperlink ref="AC155" r:id="rId41" tooltip="Persistent link using digital object identifier" xr:uid="{F0A3E2F2-6D2C-48A6-9979-A4B8E1749BD8}"/>
    <hyperlink ref="AC157" r:id="rId42" tooltip="Persistent link using digital object identifier" xr:uid="{EC53C81A-26EB-479E-9E8F-A1F6B4243449}"/>
    <hyperlink ref="AC158" r:id="rId43" tooltip="Persistent link using digital object identifier" xr:uid="{AC8067F0-EBB0-40DA-8CCA-949DAD62B405}"/>
    <hyperlink ref="AC159" r:id="rId44" tooltip="Persistent link using digital object identifier" xr:uid="{C08E00D4-FBA2-45FD-8A72-A8EC732AD393}"/>
    <hyperlink ref="AC161" r:id="rId45" tooltip="Persistent link using digital object identifier" xr:uid="{3AE0D0F6-AC17-447F-8D25-BA4B3F1FFF71}"/>
    <hyperlink ref="AC160" r:id="rId46" tooltip="Persistent link using digital object identifier" xr:uid="{C36866DF-E084-43D8-9554-4C9E439864F5}"/>
    <hyperlink ref="AC162" r:id="rId47" tooltip="Persistent link using digital object identifier" xr:uid="{94CF1478-9041-44D7-A1FA-8275E84FF86D}"/>
    <hyperlink ref="AC163" r:id="rId48" tooltip="Persistent link using digital object identifier" xr:uid="{A02BD1FE-94B8-4193-A9B5-71CFFD3E1545}"/>
    <hyperlink ref="AC164" r:id="rId49" tooltip="Persistent link using digital object identifier" xr:uid="{AFC38845-B82C-4D78-BFE7-0F93D9B0B9C2}"/>
    <hyperlink ref="AC166" r:id="rId50" tooltip="Persistent link using digital object identifier" xr:uid="{C959C984-CA8F-42A6-A2E3-14E6E706E41F}"/>
    <hyperlink ref="AC165" r:id="rId51" tooltip="Persistent link using digital object identifier" xr:uid="{23AFE1A6-C294-4AF3-A04A-1D0FE162D591}"/>
    <hyperlink ref="AC167" r:id="rId52" tooltip="Persistent link using digital object identifier" xr:uid="{12C31951-6D6E-4791-BDCE-60BADFC42993}"/>
    <hyperlink ref="AC168" r:id="rId53" tooltip="Persistent link using digital object identifier" xr:uid="{09157C69-1424-42D6-8D9A-0E4D1B9E6E36}"/>
    <hyperlink ref="AC169" r:id="rId54" tooltip="Persistent link using digital object identifier" xr:uid="{8FC21977-9405-4E56-885F-11C8BA6B1622}"/>
    <hyperlink ref="AC170" r:id="rId55" tooltip="Persistent link using digital object identifier" xr:uid="{ED71D94E-CA85-495E-A886-B47B229774D6}"/>
    <hyperlink ref="AC171" r:id="rId56" tooltip="Persistent link using digital object identifier" xr:uid="{241C8E0E-7B0E-412A-B256-0458441472BF}"/>
    <hyperlink ref="AC172" r:id="rId57" tooltip="Persistent link using digital object identifier" xr:uid="{ED908679-A72B-4B59-943F-F450CD80F2C0}"/>
    <hyperlink ref="AC173" r:id="rId58" tooltip="Persistent link using digital object identifier" xr:uid="{E687BBF1-8ECC-4719-8472-D09F8CDBE0D8}"/>
    <hyperlink ref="AC174" r:id="rId59" tooltip="Persistent link using digital object identifier" xr:uid="{A349DCFA-0C44-406B-B20C-289D890E1428}"/>
    <hyperlink ref="AC175" r:id="rId60" tooltip="Persistent link using digital object identifier" xr:uid="{EEE85C71-D8B6-49F7-95AA-DF5B3935BAAB}"/>
    <hyperlink ref="AC176" r:id="rId61" tooltip="Persistent link using digital object identifier" xr:uid="{64656960-07CE-4B4E-9035-013EB58F47A8}"/>
    <hyperlink ref="AC177" r:id="rId62" tooltip="Persistent link using digital object identifier" xr:uid="{68C3FCB0-10AD-4B6D-BF6D-043F82A2A828}"/>
    <hyperlink ref="AC179" r:id="rId63" xr:uid="{CDB68953-AF5A-4D65-A5AA-270FD89882C1}"/>
    <hyperlink ref="AC180" r:id="rId64" xr:uid="{4CB5994D-DC64-4FBF-AFB5-2E1F62D39821}"/>
    <hyperlink ref="AC183" r:id="rId65" xr:uid="{7753EB70-76D8-46D3-B241-DB78023D6911}"/>
    <hyperlink ref="AC184" r:id="rId66" xr:uid="{1430F775-1C79-4C1A-A0B2-E1CE82A2B600}"/>
    <hyperlink ref="AC185" r:id="rId67" xr:uid="{73B6B63D-A3F0-469B-A948-F9D0D35ABCD9}"/>
    <hyperlink ref="AC241" r:id="rId68" xr:uid="{1A4D21A3-E205-4C1D-A7EA-D338CFAD657A}"/>
    <hyperlink ref="AC246" r:id="rId69" xr:uid="{9702C989-C17D-452E-A8E9-6A8060B8815C}"/>
    <hyperlink ref="AC251" r:id="rId70" xr:uid="{8C31370C-049C-456B-9D95-E869CA8A1BDE}"/>
    <hyperlink ref="AC257" r:id="rId71" xr:uid="{A45DF740-4AB5-4020-AFC9-7B1132911245}"/>
    <hyperlink ref="AC262" r:id="rId72" xr:uid="{3B9D6562-3545-44D7-BCFB-EA55DFA4197D}"/>
    <hyperlink ref="AC267" r:id="rId73" xr:uid="{2E1B6AAF-3F9F-4EB0-85F5-D4911CC0C7D6}"/>
    <hyperlink ref="AC242" r:id="rId74" xr:uid="{7C13CC1F-83DE-4954-86E8-B6024B8D9E34}"/>
    <hyperlink ref="AC243" r:id="rId75" xr:uid="{577F7EE6-49CE-4810-BD14-796060474DF7}"/>
    <hyperlink ref="AC244" r:id="rId76" xr:uid="{EBF21CCD-0799-4804-9952-CBC299FA9052}"/>
    <hyperlink ref="AC245" r:id="rId77" xr:uid="{1BEA28E2-8A89-47EE-B9F5-43A0A59043F2}"/>
    <hyperlink ref="AC247" r:id="rId78" xr:uid="{A08AAEC3-55AA-4B7F-B22B-6C8D004147A1}"/>
    <hyperlink ref="AC248" r:id="rId79" xr:uid="{C90D1BFB-1FA9-4CCA-A7F5-60C671F27F59}"/>
    <hyperlink ref="AC249" r:id="rId80" xr:uid="{A3C303F5-8614-4A32-84FA-284F78B8DAE0}"/>
    <hyperlink ref="AC250" r:id="rId81" xr:uid="{099F38FA-BC29-4AE8-8CEF-4D0C90039402}"/>
    <hyperlink ref="AC252" r:id="rId82" xr:uid="{20664F40-6FEB-416E-A7A1-0AB540FAEE6F}"/>
    <hyperlink ref="AC253" r:id="rId83" xr:uid="{46A08AB6-11CB-417B-80E5-F6A715FC1ADC}"/>
    <hyperlink ref="AC255" r:id="rId84" xr:uid="{D65BBFCB-FEBF-4B88-B00A-F9AEEC027938}"/>
    <hyperlink ref="AC256" r:id="rId85" xr:uid="{B9679CE5-7A0E-46FA-88C8-696DF220B3B9}"/>
    <hyperlink ref="AC258" r:id="rId86" xr:uid="{E45CDC73-5810-4746-BD0F-FBB9A18181EB}"/>
    <hyperlink ref="AC259" r:id="rId87" xr:uid="{AC00C7FF-B49C-483E-AF4D-94CD753D05A1}"/>
    <hyperlink ref="AC260" r:id="rId88" xr:uid="{B56A02B5-83B1-4F79-B940-A17D536ACB0D}"/>
    <hyperlink ref="AC261" r:id="rId89" xr:uid="{59EC5296-8387-4298-B584-B9D29EECB37E}"/>
    <hyperlink ref="AC263" r:id="rId90" xr:uid="{59CE1EF5-F89A-4397-8CAD-824207C14171}"/>
    <hyperlink ref="AC264" r:id="rId91" xr:uid="{C2349A2A-E0C7-41EF-B440-C3CEE35715E7}"/>
    <hyperlink ref="AC265" r:id="rId92" xr:uid="{6DCE71F0-DA80-47E1-AED1-8149E5F48AC6}"/>
    <hyperlink ref="AC266" r:id="rId93" xr:uid="{08A4F28D-C8B2-4846-8CC0-0037149229C7}"/>
    <hyperlink ref="AC268" r:id="rId94" xr:uid="{1D8A9FC5-8860-42ED-8F50-EA14672A16E4}"/>
    <hyperlink ref="AC269" r:id="rId95" xr:uid="{4B525E9A-DD4F-43F7-A77A-D2A32F7F30FE}"/>
    <hyperlink ref="AC271" r:id="rId96" xr:uid="{9A8E3BF8-FD91-4BFA-9956-1FFFA82D7908}"/>
    <hyperlink ref="AC186" r:id="rId97" xr:uid="{F33B7EC0-D4F5-4065-9441-36838BE3BB73}"/>
    <hyperlink ref="AC187" r:id="rId98" xr:uid="{2BB09210-54F2-4D71-952F-2CB38A7CA4FD}"/>
    <hyperlink ref="AC188" r:id="rId99" xr:uid="{59812955-0CCB-4614-A602-1C24EE35FAB3}"/>
    <hyperlink ref="AC189" r:id="rId100" xr:uid="{13D2F051-14AC-438F-A094-6BE0C2FAC1EC}"/>
    <hyperlink ref="AC190" r:id="rId101" xr:uid="{0968FBA4-62CF-4F62-BB84-1495D0037F62}"/>
    <hyperlink ref="AC191" r:id="rId102" xr:uid="{BAEC8E51-53F1-4332-9A6E-826383168F6B}"/>
    <hyperlink ref="AC193" r:id="rId103" xr:uid="{C954060B-F1B5-4BD4-99A8-719873D5E58A}"/>
    <hyperlink ref="AC194" r:id="rId104" xr:uid="{A2964C26-BAC1-4697-A6AB-A540E0FCC080}"/>
    <hyperlink ref="AC195" r:id="rId105" xr:uid="{3FB6AB33-DB8B-4974-92CE-14FC1492867B}"/>
    <hyperlink ref="AC196" r:id="rId106" xr:uid="{2FB910CC-53F4-4862-8D02-A2F41623C0B9}"/>
    <hyperlink ref="AC197" r:id="rId107" xr:uid="{12DA63C3-AFE6-4D3A-B6D2-A1D5B0CD5F7B}"/>
    <hyperlink ref="AC198" r:id="rId108" xr:uid="{FFE64671-B9A0-42C8-B6FB-BB9F2433DEC5}"/>
    <hyperlink ref="AC199" r:id="rId109" xr:uid="{B5E2E2BD-DB9E-4BC5-8773-FB2A15819F78}"/>
    <hyperlink ref="AC200" r:id="rId110" xr:uid="{4BCF8C0B-7FE5-4154-B5FA-782D3128172F}"/>
    <hyperlink ref="AC201" r:id="rId111" xr:uid="{1C07CC81-9D01-46D2-A879-8B6906D9BE78}"/>
    <hyperlink ref="AC202" r:id="rId112" xr:uid="{185A8AF3-50A2-4BCB-A111-C24C652494A1}"/>
    <hyperlink ref="AC203" r:id="rId113" xr:uid="{7363B0FD-A769-427B-B620-610BABE4CCB7}"/>
    <hyperlink ref="AC204" r:id="rId114" xr:uid="{B46DA189-6634-416D-8250-E6968BCDD411}"/>
    <hyperlink ref="AC205" r:id="rId115" xr:uid="{EBA52688-A321-4263-953A-0291CD21A2CF}"/>
    <hyperlink ref="AC206" r:id="rId116" xr:uid="{920DFD99-7723-469B-BA51-723D417204BF}"/>
    <hyperlink ref="AC208" r:id="rId117" xr:uid="{03A4DBA7-B246-4A66-9F84-636B0B1C9D20}"/>
    <hyperlink ref="AC181" r:id="rId118" xr:uid="{F880259A-C824-4C47-B3F0-674E212D5839}"/>
    <hyperlink ref="AC182" r:id="rId119" xr:uid="{C2CB0154-C093-4C47-B345-54815FE44C66}"/>
    <hyperlink ref="AC192" r:id="rId120" xr:uid="{08033583-E107-45B9-9B4A-5465213F7F6E}"/>
    <hyperlink ref="AC207" r:id="rId121" xr:uid="{9B9931C2-3164-402F-B064-E22D7E0566BE}"/>
    <hyperlink ref="AC254" r:id="rId122" xr:uid="{CC79A170-64F6-4247-8D8D-B099A7F010B5}"/>
    <hyperlink ref="AC270" r:id="rId123" xr:uid="{C594D340-965F-4E7A-907A-6FC3F994E68C}"/>
    <hyperlink ref="AC289" r:id="rId124" xr:uid="{AFA4E27E-45E2-4C18-826C-536B820DB9AB}"/>
    <hyperlink ref="AC290" r:id="rId125" xr:uid="{897265DF-630E-49CA-802B-7F11894D9F70}"/>
    <hyperlink ref="AC291" r:id="rId126" tooltip="DOI URL" xr:uid="{415B940A-6008-4ECC-AB86-298B4B6C4680}"/>
    <hyperlink ref="AC292" r:id="rId127" xr:uid="{10D8A448-EFBB-424F-AABC-CCD1E2E1807B}"/>
    <hyperlink ref="AC293" r:id="rId128" tooltip="DOI URL" xr:uid="{F0E29947-AD40-44DA-8885-2E45C6141689}"/>
    <hyperlink ref="AC294" r:id="rId129" tooltip="DOI URL" xr:uid="{B3D61FFA-799F-44E4-97A7-1A2E9EB7C1B4}"/>
    <hyperlink ref="AC295" r:id="rId130" tooltip="DOI URL" xr:uid="{BF9D3EA4-8C99-4AAB-AAE7-BA5F82E8A73F}"/>
    <hyperlink ref="AC286" r:id="rId131" xr:uid="{B976893F-A06B-49DC-9BC9-2C54D64474AC}"/>
    <hyperlink ref="AC322" r:id="rId132" xr:uid="{7E328FF0-A384-49ED-B707-9834873876F6}"/>
    <hyperlink ref="AC328" r:id="rId133" xr:uid="{27CE0E12-46EC-434B-B931-8BECEAF58FAF}"/>
    <hyperlink ref="AC333" r:id="rId134" xr:uid="{8651DFF6-312F-4282-B141-6AF9AA02CC8F}"/>
    <hyperlink ref="AC339" r:id="rId135" xr:uid="{E9AB8435-8E3D-4DB9-BBD4-2C1C97D4296D}"/>
    <hyperlink ref="AC31" r:id="rId136" xr:uid="{4246A35C-9B91-4ED6-9821-98091AD2F667}"/>
    <hyperlink ref="AC74" r:id="rId137" xr:uid="{CCC63D6A-FDA1-4C45-9EA6-BE20246963B2}"/>
    <hyperlink ref="AC342" r:id="rId138" xr:uid="{439D6124-FAF1-4702-820A-D7A801F13A50}"/>
    <hyperlink ref="AC348" r:id="rId139" tooltip="Persistent link using digital object identifier" xr:uid="{5EF34DF5-0C98-404D-BE66-71D4226ED74C}"/>
    <hyperlink ref="AC351" r:id="rId140" tooltip="Persistent link using digital object identifier" xr:uid="{B71BB838-9A28-46C0-AACC-06E9AA4F00A5}"/>
    <hyperlink ref="AC360" r:id="rId141" tooltip="Persistent link using digital object identifier" xr:uid="{78DEB7B9-C89D-40CD-AAA8-4265D2EEAC4F}"/>
    <hyperlink ref="AC365" r:id="rId142" tooltip="Persistent link using digital object identifier" xr:uid="{A808D75B-25C4-4026-BEF6-D60671BFEBBE}"/>
    <hyperlink ref="AC373" r:id="rId143" tooltip="Persistent link using digital object identifier" xr:uid="{E37FB7ED-4B8C-41A2-83E7-548BEAF8A944}"/>
    <hyperlink ref="AC343" r:id="rId144" xr:uid="{AA7CB8FE-78F1-4A3D-A15F-73CB00DA4989}"/>
    <hyperlink ref="AC344" r:id="rId145" tooltip="Persistent link using digital object identifier" xr:uid="{E72C3580-10BC-48A2-B151-F8BBEDC9F8AF}"/>
    <hyperlink ref="AC345" r:id="rId146" tooltip="Persistent link using digital object identifier" xr:uid="{7609EDDB-408F-47BD-A7D5-7B867D2C1B6A}"/>
    <hyperlink ref="AC346" r:id="rId147" tooltip="Persistent link using digital object identifier" xr:uid="{95AA7DE8-1837-4B9F-BEFA-2C8F0248917F}"/>
    <hyperlink ref="AC347" r:id="rId148" tooltip="Persistent link using digital object identifier" xr:uid="{C1B40EBB-3F36-45C6-A1D8-3915B6E7455A}"/>
    <hyperlink ref="AC349" r:id="rId149" tooltip="Persistent link using digital object identifier" xr:uid="{5D9124B7-B8B1-4BA7-8029-292A89211F3C}"/>
    <hyperlink ref="AC350" r:id="rId150" tooltip="Persistent link using digital object identifier" xr:uid="{1FA03ABD-A408-45B7-B2C0-03667700CC18}"/>
    <hyperlink ref="AC352" r:id="rId151" tooltip="Persistent link using digital object identifier" xr:uid="{6C5E3863-8C6E-4E5D-9E16-A705D4C1A5AF}"/>
    <hyperlink ref="AC354" r:id="rId152" tooltip="Persistent link using digital object identifier" xr:uid="{1644A3C3-825A-4139-8330-4F6077ED5547}"/>
    <hyperlink ref="AC353" r:id="rId153" tooltip="Persistent link using digital object identifier" xr:uid="{5E00E145-C018-4C4B-8C36-C5999559F4FC}"/>
    <hyperlink ref="AC355" r:id="rId154" tooltip="Persistent link using digital object identifier" xr:uid="{DF1DE5AA-CCEB-4C5F-A53D-4A59A001088F}"/>
    <hyperlink ref="AC356" r:id="rId155" tooltip="Persistent link using digital object identifier" xr:uid="{D6B97D94-08D0-4406-A398-ACE0940992DA}"/>
    <hyperlink ref="AC361" r:id="rId156" tooltip="Persistent link using digital object identifier" xr:uid="{26A3FE79-380A-4806-B31A-35F51F3FD6A3}"/>
    <hyperlink ref="AC362" r:id="rId157" xr:uid="{AD2C4CB8-C336-45D7-BE67-F7CC844BAB7A}"/>
    <hyperlink ref="AC366" r:id="rId158" tooltip="Persistent link using digital object identifier" xr:uid="{D251C44A-434D-4DDA-9739-ACAAFFCAFB1B}"/>
    <hyperlink ref="AC367" r:id="rId159" tooltip="Persistent link using digital object identifier" xr:uid="{3F46020F-0C18-4216-810C-D85402549F44}"/>
    <hyperlink ref="AC368" r:id="rId160" tooltip="Persistent link using digital object identifier" xr:uid="{70627D2F-A36B-4AEB-99BF-2E3E645F1E92}"/>
    <hyperlink ref="AC369" r:id="rId161" tooltip="Persistent link using digital object identifier" xr:uid="{54186FC5-9F41-40A9-B966-AD718FD888E9}"/>
    <hyperlink ref="AC370" r:id="rId162" tooltip="Persistent link using digital object identifier" xr:uid="{968EDF2C-14B8-41C0-9CC4-C399D9EC5082}"/>
    <hyperlink ref="AC371" r:id="rId163" tooltip="Persistent link using digital object identifier" xr:uid="{F456C753-4B48-4815-8EA7-B4B7148DB8B0}"/>
    <hyperlink ref="AC372" r:id="rId164" tooltip="Persistent link using digital object identifier" xr:uid="{D3952E6E-5144-432F-B3BB-4A1291C38E64}"/>
    <hyperlink ref="AC358" r:id="rId165" tooltip="Persistent link using digital object identifier" xr:uid="{3A5AE4ED-AA96-4978-BEBB-798E33D2E5BB}"/>
    <hyperlink ref="AC359" r:id="rId166" tooltip="Persistent link using digital object identifier" xr:uid="{A6BDC403-D0AA-4DBC-8404-184DA517CB2E}"/>
    <hyperlink ref="AC357" r:id="rId167" tooltip="Persistent link using digital object identifier" xr:uid="{524C5FDF-B430-4584-AE9C-6436391307EC}"/>
    <hyperlink ref="AC363" r:id="rId168" tooltip="Persistent link using digital object identifier" xr:uid="{6BD388B4-B7B7-4F3A-A6DB-5CDA6B7E7C25}"/>
    <hyperlink ref="AC364" r:id="rId169" tooltip="Persistent link using digital object identifier" xr:uid="{1AB016D3-EF3E-4382-AA31-833E37A8AE6A}"/>
    <hyperlink ref="AC374" r:id="rId170" xr:uid="{D5462A14-25C8-4B2F-95D4-246DEE8E757F}"/>
    <hyperlink ref="AC375" r:id="rId171" tooltip="DOI URL" xr:uid="{66A59147-9E45-4F83-B40B-58C7015720AA}"/>
    <hyperlink ref="AC376" r:id="rId172" tooltip="DOI URL" xr:uid="{3DCB1CF4-E368-4C28-8682-EAD94E99680E}"/>
    <hyperlink ref="AC377" r:id="rId173" tooltip="DOI URL" xr:uid="{8498A614-5A79-4462-86F8-6457DE44E80F}"/>
    <hyperlink ref="AC378" r:id="rId174" tooltip="DOI URL" xr:uid="{16EF6BB2-2101-4F8A-9AEB-18502383F16F}"/>
    <hyperlink ref="AC379" r:id="rId175" tooltip="DOI URL" xr:uid="{5872A7E5-2D74-4CA1-A594-AAC7B9FACB79}"/>
    <hyperlink ref="AC380" r:id="rId176" tooltip="DOI URL" xr:uid="{4B7CA758-A8FF-4105-A5F0-0E308AD9DFA2}"/>
    <hyperlink ref="AC381" r:id="rId177" tooltip="DOI URL" xr:uid="{2F5C1D69-32F0-4021-BFD2-04730C74B0BA}"/>
    <hyperlink ref="AC382" r:id="rId178" tooltip="DOI URL" xr:uid="{B5F5651C-4FF1-49B3-A366-7EF93FA1868D}"/>
    <hyperlink ref="AC408" r:id="rId179" xr:uid="{FBC665B5-9E8F-43EF-8C69-BDBACD12F180}"/>
    <hyperlink ref="AC409" r:id="rId180" xr:uid="{18D763FB-87C5-4CD2-80EF-A25E35C17855}"/>
    <hyperlink ref="AC410" r:id="rId181" xr:uid="{7EDD8EF3-D095-42F6-820B-38890F01431E}"/>
    <hyperlink ref="AC432" r:id="rId182" xr:uid="{CC0B79D9-AB79-423D-BE78-19C653D60720}"/>
    <hyperlink ref="AC209" r:id="rId183" xr:uid="{3CD2C55C-A794-478E-A0E5-2192851F639C}"/>
    <hyperlink ref="AC210" r:id="rId184" xr:uid="{95D00BB5-541F-418B-B04F-B690BAF90554}"/>
    <hyperlink ref="AC211" r:id="rId185" xr:uid="{80723315-2289-4D6A-8FE6-349A37D83C5F}"/>
    <hyperlink ref="AC213" r:id="rId186" xr:uid="{98337531-D341-429A-97F9-7D700FB9BDC4}"/>
    <hyperlink ref="AC215" r:id="rId187" xr:uid="{5F075E73-82AB-4248-A362-7E7187A9EEE1}"/>
    <hyperlink ref="AC217" r:id="rId188" xr:uid="{DC8D09C5-6543-4230-9B4B-C4634F36E422}"/>
    <hyperlink ref="AC219" r:id="rId189" xr:uid="{DC601253-BC6E-449E-A680-61B7A48C6B60}"/>
    <hyperlink ref="AC221" r:id="rId190" xr:uid="{0F5CA5B8-DD7A-46C8-B14C-2074D7E59354}"/>
    <hyperlink ref="AC223" r:id="rId191" xr:uid="{1FE01F98-756F-4779-8360-6896E6E027BC}"/>
    <hyperlink ref="AC225" r:id="rId192" xr:uid="{4D6FD379-6517-4F73-A141-89459C713431}"/>
    <hyperlink ref="AC227" r:id="rId193" xr:uid="{9F30469D-2FB7-4EFB-BA02-9FE8BE7F1819}"/>
    <hyperlink ref="AC229" r:id="rId194" xr:uid="{E75C6366-C15F-4693-AF36-07764A93DBD3}"/>
    <hyperlink ref="AC231" r:id="rId195" xr:uid="{5E0DCDFC-11D2-4D37-AF7C-D836900D5565}"/>
    <hyperlink ref="AC233" r:id="rId196" xr:uid="{3AF3E233-1748-4A28-AD14-5B4BE8AE4528}"/>
    <hyperlink ref="AC235" r:id="rId197" xr:uid="{63742D24-6083-4706-A91A-ABF88D72EFD8}"/>
    <hyperlink ref="AC237" r:id="rId198" xr:uid="{6374B0E5-8D8B-47B7-AD28-8A1AC7C3DEA3}"/>
    <hyperlink ref="AC239" r:id="rId199" xr:uid="{A2F9C69D-0B3C-4D0E-95F3-59E20E285D90}"/>
    <hyperlink ref="AC212" r:id="rId200" xr:uid="{EE3593CF-8BAC-433A-A0F3-C341EAC4DA24}"/>
    <hyperlink ref="AC214" r:id="rId201" xr:uid="{6C344EBF-55F6-4BA7-995A-B121A9EB85B6}"/>
    <hyperlink ref="AC216" r:id="rId202" xr:uid="{62F37C8E-2ECF-410C-9F9A-D4AB20371FCC}"/>
    <hyperlink ref="AC218" r:id="rId203" xr:uid="{C9EB8AB1-C89E-4F41-91CC-35535D372F7D}"/>
    <hyperlink ref="AC220" r:id="rId204" xr:uid="{E10399E6-5C8B-4820-BD55-199682415698}"/>
    <hyperlink ref="AC222" r:id="rId205" xr:uid="{967AC1BA-896D-4821-9753-CD1ACC31DC10}"/>
    <hyperlink ref="AC224" r:id="rId206" xr:uid="{34091347-FB87-44F1-8270-522B4BCFCC2C}"/>
    <hyperlink ref="AC226" r:id="rId207" xr:uid="{F32FFCBD-6D5D-407D-AAD0-289AF79B6A02}"/>
    <hyperlink ref="AC228" r:id="rId208" xr:uid="{51331BF0-AA00-4C62-9DD6-8C9C3395C821}"/>
    <hyperlink ref="AC230" r:id="rId209" xr:uid="{CD05CC55-07E4-48E4-8D28-FDD743FE3BE0}"/>
    <hyperlink ref="AC232" r:id="rId210" xr:uid="{823E4112-4DB9-41BC-9CE0-94AF48FC2F3D}"/>
    <hyperlink ref="AC234" r:id="rId211" xr:uid="{3811E55D-1688-4904-914E-ECE959BA5066}"/>
    <hyperlink ref="AC236" r:id="rId212" xr:uid="{19F1A5AE-CA89-4CD6-9C68-3F71B0DD0563}"/>
    <hyperlink ref="AC238" r:id="rId213" xr:uid="{54474295-2620-402C-83C7-6B0816DD247A}"/>
    <hyperlink ref="AC240" r:id="rId214" xr:uid="{DBAF608B-197D-406F-AC67-488187E5D4E5}"/>
    <hyperlink ref="AC495" r:id="rId215" xr:uid="{1154CA27-2937-430F-8AEA-64B8C218C0A1}"/>
    <hyperlink ref="AC499" r:id="rId216" xr:uid="{36EFA9C6-A014-46E5-98FD-974806104097}"/>
    <hyperlink ref="AC567" r:id="rId217" xr:uid="{6FDE9E5B-DE8D-4B3C-9FB3-52693E953039}"/>
    <hyperlink ref="AC568" r:id="rId218" xr:uid="{5A124041-A1DA-4EE3-8625-96C3470A26A7}"/>
    <hyperlink ref="AC569" r:id="rId219" xr:uid="{1684B879-6ACC-4AC0-9475-A338AA0EFD2A}"/>
    <hyperlink ref="AC570" r:id="rId220" xr:uid="{E29C1C90-5259-4F4F-8E46-183A39CD39BF}"/>
    <hyperlink ref="AC571" r:id="rId221" xr:uid="{CAD764AF-BD2C-4C12-985C-B157C0489450}"/>
    <hyperlink ref="AC577" r:id="rId222" xr:uid="{3DA968C8-6A94-45F5-8434-90A4954330C4}"/>
    <hyperlink ref="AC584" r:id="rId223" xr:uid="{01711AB7-5F23-43C1-99EC-221AA346A98B}"/>
    <hyperlink ref="AC591" r:id="rId224" xr:uid="{535BECB4-E78E-4F80-9887-BE4FF3111802}"/>
    <hyperlink ref="AC598" r:id="rId225" xr:uid="{D93C04AF-BDBA-4B0E-97A5-94941C1B53D0}"/>
    <hyperlink ref="AC605" r:id="rId226" xr:uid="{559DB9C4-EB6C-4CAF-BD3A-A42FA9CFB2AA}"/>
    <hyperlink ref="AC612" r:id="rId227" xr:uid="{B3EEA2D9-9599-4359-912A-F652A9755FED}"/>
    <hyperlink ref="AC578" r:id="rId228" xr:uid="{F5FB65A9-C666-4EA7-8013-4DDDB2157028}"/>
    <hyperlink ref="AC585" r:id="rId229" xr:uid="{0C65FF18-9AAC-470A-9293-6070ECD2AE6E}"/>
    <hyperlink ref="AC592" r:id="rId230" xr:uid="{DF8A9369-271B-41F9-8A47-F72F2BFBF90B}"/>
    <hyperlink ref="AC599" r:id="rId231" xr:uid="{90CC5AB7-C1F6-4621-8E57-DA81AAFC938E}"/>
    <hyperlink ref="AC606" r:id="rId232" xr:uid="{793E07FB-BEA8-469F-8833-FA958B9C6747}"/>
    <hyperlink ref="AC613" r:id="rId233" xr:uid="{05C86A21-0684-4A36-8FE9-E3E045D77AC4}"/>
    <hyperlink ref="AC572" r:id="rId234" xr:uid="{8241F234-D781-4FF1-85C8-4FDECCF00FBD}"/>
    <hyperlink ref="AC579" r:id="rId235" xr:uid="{D96A6E82-C2C1-4526-AF45-0466FFDD9459}"/>
    <hyperlink ref="AC586" r:id="rId236" xr:uid="{7A589562-2131-42CC-B266-08F2D088ED12}"/>
    <hyperlink ref="AC593" r:id="rId237" xr:uid="{4B67936E-5D48-4898-9537-7F3B34089C72}"/>
    <hyperlink ref="AC600" r:id="rId238" xr:uid="{28EFE36E-D0E8-49D8-BCAE-39DC85CA4AC6}"/>
    <hyperlink ref="AC607" r:id="rId239" xr:uid="{A6D0F5E7-F849-4ECC-B38E-14DF38FBD76E}"/>
    <hyperlink ref="AC614" r:id="rId240" xr:uid="{4D2FD684-7B99-4230-A8E0-7CAECF8B864E}"/>
    <hyperlink ref="AC573" r:id="rId241" xr:uid="{09F09D10-BB7E-4F16-854C-D7E09F47B32E}"/>
    <hyperlink ref="AC580" r:id="rId242" xr:uid="{BE0F82D5-16FC-4854-BE0F-F6A060C8B237}"/>
    <hyperlink ref="AC587" r:id="rId243" xr:uid="{59A0ED8C-A262-429F-8381-4ADB7759BCE5}"/>
    <hyperlink ref="AC594" r:id="rId244" xr:uid="{2A53B834-E941-4647-8B4A-D902A19BF241}"/>
    <hyperlink ref="AC601" r:id="rId245" xr:uid="{F87BFFB1-45E6-4228-A1FB-4BA266C8DA02}"/>
    <hyperlink ref="AC608" r:id="rId246" xr:uid="{4CF7C66B-7F71-413B-863D-22AE347C3532}"/>
    <hyperlink ref="AC615" r:id="rId247" xr:uid="{9452EBB8-DB32-46E8-B517-DACAB86E5F27}"/>
    <hyperlink ref="AC576" r:id="rId248" xr:uid="{B11B67C5-31C5-4C3D-B463-1845AF289D86}"/>
    <hyperlink ref="AC583" r:id="rId249" xr:uid="{DCA6EDA5-6783-4C7C-BB95-BE4E411C4BB2}"/>
    <hyperlink ref="AC590" r:id="rId250" xr:uid="{6F5C922A-5F54-408E-81F8-AAEAD417B2AC}"/>
    <hyperlink ref="AC597" r:id="rId251" xr:uid="{C667A045-A950-4E72-9FEA-A6CA119D9B21}"/>
    <hyperlink ref="AC604" r:id="rId252" xr:uid="{98EE276F-5438-4A9F-91F3-3634E1FF3C31}"/>
    <hyperlink ref="AC611" r:id="rId253" xr:uid="{0B959BFC-5E9B-4890-A316-038F8126786D}"/>
    <hyperlink ref="AC618" r:id="rId254" xr:uid="{E0B4D73E-65C6-4CF8-8D75-0746869E2A58}"/>
    <hyperlink ref="AC574" r:id="rId255" xr:uid="{71D2C2A3-9077-44A1-8444-817D7751AEDF}"/>
    <hyperlink ref="AC581" r:id="rId256" xr:uid="{0FD5C0CB-2C8E-4A74-B627-AEFEB3E0EC1A}"/>
    <hyperlink ref="AC588" r:id="rId257" xr:uid="{F9F177DB-DF21-4F6F-A084-C85C766FB535}"/>
    <hyperlink ref="AC595" r:id="rId258" xr:uid="{2F9B1177-66C9-46AE-A6DD-EFC370D4BDCF}"/>
    <hyperlink ref="AC602" r:id="rId259" xr:uid="{143F304E-890C-4339-B49E-270BB762DB0C}"/>
    <hyperlink ref="AC609" r:id="rId260" xr:uid="{5C3439A4-1FBE-4DB0-8D08-E0C4EC587A5D}"/>
    <hyperlink ref="AC616" r:id="rId261" xr:uid="{463FBDE0-2750-4A8B-A34B-EA0130EFE4E8}"/>
    <hyperlink ref="AC575" r:id="rId262" xr:uid="{6F860CD1-6E4C-4E06-8987-F562DAD630E6}"/>
    <hyperlink ref="AC582" r:id="rId263" xr:uid="{87902A08-2B76-4D42-8889-10165FFDC304}"/>
    <hyperlink ref="AC589" r:id="rId264" xr:uid="{FC194741-7B4D-404E-A65A-D40850A93DBF}"/>
    <hyperlink ref="AC596" r:id="rId265" xr:uid="{2D354CCA-7603-4AC7-BAE0-FABCCBEF5723}"/>
    <hyperlink ref="AC603" r:id="rId266" xr:uid="{123C1490-7B62-48F5-BAA5-F8DE5EEC5A04}"/>
    <hyperlink ref="AC610" r:id="rId267" xr:uid="{35FE60F5-2342-4797-8E2E-83485805BC25}"/>
    <hyperlink ref="AC617" r:id="rId268" xr:uid="{4CA80225-28B0-48A3-9390-9CD2A918949D}"/>
    <hyperlink ref="AC619" r:id="rId269" xr:uid="{2B1A0FFD-C8D6-4ABD-B307-D94B552E00AC}"/>
    <hyperlink ref="AC620" r:id="rId270" xr:uid="{C190FBD7-B010-40FE-BAE6-3F4B807B21B3}"/>
    <hyperlink ref="AC2" r:id="rId271" xr:uid="{413822D6-A63A-4118-ABFD-7F1DB9E25C64}"/>
    <hyperlink ref="AC383" r:id="rId272" xr:uid="{1B11D62D-9B41-42F5-9F76-43D4442F47BE}"/>
    <hyperlink ref="AC384" r:id="rId273" xr:uid="{53FCFFCB-32EF-4EAE-A63B-60F551AE54CA}"/>
    <hyperlink ref="AC385" r:id="rId274" xr:uid="{D13FCA40-2465-46C8-BA31-0EB4BC647B63}"/>
    <hyperlink ref="AC386" r:id="rId275" xr:uid="{159C873D-6EE6-4ABE-8790-71945BD745D5}"/>
    <hyperlink ref="AC389" r:id="rId276" xr:uid="{A5E87DCC-0AF9-4122-8E09-AA549BEB927A}"/>
    <hyperlink ref="AC397" r:id="rId277" xr:uid="{D50AA0B2-7916-4517-9AC7-400D9E1F484E}"/>
    <hyperlink ref="AC400" r:id="rId278" xr:uid="{1D789579-421B-4BB5-B39E-B5F22DEED990}"/>
    <hyperlink ref="AC403" r:id="rId279" xr:uid="{53B514F6-318C-4784-BF03-BA3B8F21BFD1}"/>
    <hyperlink ref="AC406" r:id="rId280" xr:uid="{D196663A-EFF3-4F21-9025-21DE59C1F5A3}"/>
    <hyperlink ref="AC387" r:id="rId281" xr:uid="{E94D7A01-C892-4898-9A5F-C71E30D707C5}"/>
    <hyperlink ref="AC390" r:id="rId282" xr:uid="{3D4D42B4-9255-45F4-9BD9-3507AECF6224}"/>
    <hyperlink ref="AC398" r:id="rId283" xr:uid="{09B1FE4D-06E2-4BA0-87F7-81E6C1B03B44}"/>
    <hyperlink ref="AC401" r:id="rId284" xr:uid="{3C51756A-52DB-4D5B-A7B2-E894A1A7ADA2}"/>
    <hyperlink ref="AC404" r:id="rId285" xr:uid="{F13AC780-4B7B-454F-AFB6-E184A6F2F68D}"/>
    <hyperlink ref="AC407" r:id="rId286" xr:uid="{F5150CA9-456A-4596-A90F-927DF0FFDE39}"/>
    <hyperlink ref="AC388" r:id="rId287" xr:uid="{F1C91086-1D47-44AF-81F0-6CBAED72FE43}"/>
    <hyperlink ref="AC391" r:id="rId288" xr:uid="{22664B22-A062-4CA3-BDAC-9AC7D2D2EA1D}"/>
    <hyperlink ref="AC399" r:id="rId289" xr:uid="{BC2438B7-8DA1-4E14-93EF-FEFD7A1AB9AE}"/>
    <hyperlink ref="AC402" r:id="rId290" xr:uid="{F8634744-4048-4D54-8712-33E5D73F783F}"/>
    <hyperlink ref="AC405" r:id="rId291" xr:uid="{83157B20-41F5-49F0-8F89-2D28BD2E2F88}"/>
    <hyperlink ref="AC310" r:id="rId292" xr:uid="{03878584-091E-4983-A550-79428A1E56A0}"/>
    <hyperlink ref="AC312" r:id="rId293" xr:uid="{8350FEBB-9BE0-4DE6-99AB-0A36EDE18131}"/>
    <hyperlink ref="AC313" r:id="rId294" tooltip="DOI URL" xr:uid="{394E9F99-FFDE-4D57-88BB-1A3F574A1853}"/>
    <hyperlink ref="AC314" r:id="rId295" tooltip="DOI URL" xr:uid="{2C04E8DD-0CD3-4665-88B6-16AE2C022906}"/>
    <hyperlink ref="AC315" r:id="rId296" tooltip="DOI URL" xr:uid="{8FCDE15C-14A7-4623-B731-04EB371D4094}"/>
    <hyperlink ref="AC316" r:id="rId297" xr:uid="{7C5F18FA-0BA0-466E-A68F-3D755C535BFB}"/>
    <hyperlink ref="AC318" r:id="rId298" xr:uid="{3392B852-2006-488D-BCAE-0E4F65F9F44A}"/>
    <hyperlink ref="AC319" r:id="rId299" tooltip="DOI URL" xr:uid="{C291E93C-9F7D-42A7-A700-4A7D91885EDB}"/>
    <hyperlink ref="AC320" r:id="rId300" tooltip="DOI URL" xr:uid="{851281BE-C50C-45ED-A800-37BE5CF54679}"/>
    <hyperlink ref="AC321" r:id="rId301" tooltip="DOI URL" xr:uid="{986EFA53-4046-4E73-9004-6BAFAA0CC76A}"/>
    <hyperlink ref="AC309" r:id="rId302" tooltip="DOI URL" xr:uid="{6BD531D3-DAC0-4AE1-92F1-5C8FB40FAD9B}"/>
    <hyperlink ref="AC296" r:id="rId303" xr:uid="{ADB2F893-E3CF-42C9-9954-6FDF433A22D0}"/>
    <hyperlink ref="AC303" r:id="rId304" xr:uid="{8397B306-CF41-4795-8E98-98132B46E0D0}"/>
    <hyperlink ref="AC297" r:id="rId305" xr:uid="{10ED010A-992D-456E-9643-BAA08AE85289}"/>
    <hyperlink ref="AC304" r:id="rId306" xr:uid="{6D48C862-E52E-4356-B22F-FA141F408E57}"/>
    <hyperlink ref="AC298" r:id="rId307" tooltip="DOI URL" xr:uid="{E6F461D4-CFAC-40B9-B682-214C84A848AA}"/>
    <hyperlink ref="AC305" r:id="rId308" tooltip="DOI URL" xr:uid="{EFF937F9-11F7-4BD4-9032-DAC309900985}"/>
    <hyperlink ref="AC299" r:id="rId309" tooltip="DOI URL" xr:uid="{EDE8D613-74B6-4128-AEFB-2B64C4236045}"/>
    <hyperlink ref="AC306" r:id="rId310" tooltip="DOI URL" xr:uid="{990CC392-22F7-46EE-B3C9-143C40CEECC0}"/>
    <hyperlink ref="AC300" r:id="rId311" tooltip="DOI URL" xr:uid="{4B253DDD-8503-4120-A4A4-BF3FFF0B34C0}"/>
    <hyperlink ref="AC307" r:id="rId312" tooltip="DOI URL" xr:uid="{FFC71B13-F18E-4D7A-8C24-F0F6772B7492}"/>
    <hyperlink ref="AC301" r:id="rId313" tooltip="DOI URL" xr:uid="{32CB491C-5AF9-4191-A669-FE085801A875}"/>
    <hyperlink ref="AC308" r:id="rId314" tooltip="DOI URL" xr:uid="{9EF2C307-9F7C-4518-AFA1-9769257A3E79}"/>
    <hyperlink ref="AC302" r:id="rId315" tooltip="DOI URL" xr:uid="{02D971B3-334A-4C30-849B-05F79D178D58}"/>
    <hyperlink ref="AC503" r:id="rId316" xr:uid="{798A0403-2A8B-4B20-ABE8-E7266B63EB78}"/>
    <hyperlink ref="AC653" r:id="rId317" xr:uid="{1D477A65-6333-4254-8DAC-A6CEBE85C3CD}"/>
    <hyperlink ref="AC735" r:id="rId318" display="https://doi.org/10.1021/acsenvironau.3c00010" xr:uid="{56F77F4D-ED8B-4ECA-B75E-90B4A92E19EF}"/>
    <hyperlink ref="AC737" r:id="rId319" display="https://doi.org/10.1021/acsenvironau.3c00010" xr:uid="{415CA778-357D-4950-996E-B0ADF04630F5}"/>
    <hyperlink ref="AC738" r:id="rId320" display="https://doi.org/10.1021/acsenvironau.3c00010" xr:uid="{B0735DA7-CE78-4B43-9CE5-B81044512D66}"/>
    <hyperlink ref="AC741" r:id="rId321" display="https://doi.org/10.1021/acsenvironau.3c00010" xr:uid="{5B0E75A9-04B0-413E-8D51-29646C37ABF1}"/>
    <hyperlink ref="AC744" r:id="rId322" display="https://doi.org/10.1021/acsenvironau.3c00010" xr:uid="{D2D71E81-5FEE-4CB6-B6AF-836F004FD24D}"/>
    <hyperlink ref="AC747" r:id="rId323" display="https://doi.org/10.1021/acsenvironau.3c00010" xr:uid="{D5E4A1E0-6ED0-4152-A936-47BDE0BF63CB}"/>
    <hyperlink ref="AC750" r:id="rId324" display="https://doi.org/10.1021/acsenvironau.3c00010" xr:uid="{FA2CADA2-FB97-4837-B0E2-93DB6FD2AFB7}"/>
    <hyperlink ref="AC753" r:id="rId325" display="https://doi.org/10.1021/acsenvironau.3c00010" xr:uid="{6803495A-64BF-4ABD-B7D1-2DEDE3E6B0A8}"/>
    <hyperlink ref="AC756" r:id="rId326" display="https://doi.org/10.1021/acsenvironau.3c00010" xr:uid="{805188F5-F6A0-4DDB-9FCA-1844457A3AC7}"/>
    <hyperlink ref="AC740" r:id="rId327" display="https://doi.org/10.1021/acsenvironau.3c00010" xr:uid="{0E69200C-36FC-4BE3-9E68-AC2A78D60714}"/>
    <hyperlink ref="AC743" r:id="rId328" display="https://doi.org/10.1021/acsenvironau.3c00010" xr:uid="{C13F3358-BFC7-42E6-B5FA-8CF95191A142}"/>
    <hyperlink ref="AC746" r:id="rId329" display="https://doi.org/10.1021/acsenvironau.3c00010" xr:uid="{1B949611-2FFC-4E5B-BB25-0DCA13BBA3A4}"/>
    <hyperlink ref="AC749" r:id="rId330" display="https://doi.org/10.1021/acsenvironau.3c00010" xr:uid="{D3806DF6-1858-4F10-A3A4-CB54FFF40B95}"/>
    <hyperlink ref="AC752" r:id="rId331" display="https://doi.org/10.1021/acsenvironau.3c00010" xr:uid="{70513827-C81E-401A-9994-7062266929D7}"/>
    <hyperlink ref="AC755" r:id="rId332" display="https://doi.org/10.1021/acsenvironau.3c00010" xr:uid="{FEE83098-B179-42E0-AF48-0FEF41457A4B}"/>
    <hyperlink ref="AC758" r:id="rId333" display="https://doi.org/10.1021/acsenvironau.3c00010" xr:uid="{F83FC841-B9CA-4E7C-B53D-A2653EC851D4}"/>
    <hyperlink ref="AC773" r:id="rId334" xr:uid="{84038EC2-762F-40A5-A6D4-84EB3669F0C3}"/>
    <hyperlink ref="AC786" r:id="rId335" tooltip="DOI URL" xr:uid="{F9859630-2777-432E-89BC-79E33002985C}"/>
    <hyperlink ref="AC787" r:id="rId336" xr:uid="{B99136B1-1FEB-4D42-9164-E806A0829C32}"/>
    <hyperlink ref="AC788" r:id="rId337" xr:uid="{B1B390CD-2312-4E03-87A8-B8A80BF44C4B}"/>
    <hyperlink ref="AC789" r:id="rId338" tooltip="DOI URL" xr:uid="{6C949096-7690-4A3B-B44B-F17E08251EFC}"/>
    <hyperlink ref="AC790" r:id="rId339" tooltip="DOI URL" xr:uid="{080A4839-6F25-4C11-9EC9-C9CCAD370651}"/>
    <hyperlink ref="AC791" r:id="rId340" tooltip="DOI URL" xr:uid="{4D86BA5F-569A-4DAC-AB73-A977D1DA799C}"/>
    <hyperlink ref="AC828" r:id="rId341" xr:uid="{154E295E-5AD2-476E-89E7-BA19500BF7E9}"/>
    <hyperlink ref="AC830" r:id="rId342" xr:uid="{301D047F-A32B-413A-BFB7-24BE654424B2}"/>
    <hyperlink ref="AC832" r:id="rId343" xr:uid="{7113855D-7F8E-4241-90E5-48640661BE15}"/>
    <hyperlink ref="AC834" r:id="rId344" xr:uid="{5C59CF42-84D7-4069-9328-5E5235F487CA}"/>
    <hyperlink ref="AC829" r:id="rId345" xr:uid="{44D2116E-94F7-40A4-ABEF-5F9E887E7A65}"/>
    <hyperlink ref="AC792" r:id="rId346" xr:uid="{915256A5-2B06-44DE-B854-DCD1AAAAE3F9}"/>
    <hyperlink ref="AC960" r:id="rId347" xr:uid="{D6FB13A9-9510-4014-AEDC-D986982FD094}"/>
    <hyperlink ref="AC546" r:id="rId348" xr:uid="{5C8DCB83-1A25-4D48-A1F1-686590808F1C}"/>
    <hyperlink ref="AC311" r:id="rId349" xr:uid="{B921D477-361D-4A66-9788-192F33D98DE7}"/>
    <hyperlink ref="AC412" r:id="rId350" xr:uid="{7675591C-DB3A-4614-9160-C77884015EBF}"/>
    <hyperlink ref="AC686" r:id="rId351" xr:uid="{5B294248-2955-4627-97A2-3127ED434235}"/>
    <hyperlink ref="AC736" r:id="rId352" xr:uid="{94A73F36-C569-4FF5-ACAD-73E8379F6913}"/>
    <hyperlink ref="AC482" r:id="rId353" xr:uid="{5F2DD8AD-FB1D-417C-B559-962D1007B8E2}"/>
    <hyperlink ref="AC1034" r:id="rId354" xr:uid="{5F277503-CD6B-4C79-A26E-FDFCE5F52359}"/>
    <hyperlink ref="AC1036" r:id="rId355" xr:uid="{27E70B71-A493-4AFF-8823-FB3864CB9158}"/>
    <hyperlink ref="AC1271" r:id="rId356" xr:uid="{88A79F5B-3187-4D98-A593-427C60621F42}"/>
    <hyperlink ref="AC1298" r:id="rId357" tooltip="Persistent link using digital object identifier" xr:uid="{1D02B2A2-B6FE-4DF5-BB50-3CA21F436337}"/>
    <hyperlink ref="AC1299" r:id="rId358" tooltip="Persistent link using digital object identifier" xr:uid="{BDC2D1B2-DA94-44FD-80B8-634EE21022F3}"/>
    <hyperlink ref="AC1300" r:id="rId359" tooltip="Persistent link using digital object identifier" xr:uid="{292FA1F6-007C-4F6B-A7DF-3B2E661FBF0A}"/>
    <hyperlink ref="AC1301" r:id="rId360" tooltip="Persistent link using digital object identifier" xr:uid="{5CD4F3CA-4532-4537-9E47-44B5E1A264AC}"/>
    <hyperlink ref="AC1302" r:id="rId361" tooltip="Persistent link using digital object identifier" xr:uid="{EDB18A1D-BD89-4D45-A2F1-0A5A3660A8B1}"/>
    <hyperlink ref="AC1303" r:id="rId362" tooltip="Persistent link using digital object identifier" xr:uid="{887BD724-5EC5-406E-BE69-E1182327BCEF}"/>
    <hyperlink ref="AC1304" r:id="rId363" tooltip="Persistent link using digital object identifier" xr:uid="{82824517-5AA3-4E17-B8C8-048F9481095E}"/>
    <hyperlink ref="AC1305" r:id="rId364" tooltip="Persistent link using digital object identifier" xr:uid="{09C865F7-9BF3-4D39-B0F2-EBDFB43D81A2}"/>
    <hyperlink ref="AC1306" r:id="rId365" tooltip="Persistent link using digital object identifier" xr:uid="{C41BE9DC-63B9-450C-A990-E9CC49D391C6}"/>
    <hyperlink ref="AC1311" r:id="rId366" tooltip="Persistent link using digital object identifier" xr:uid="{4F40E5FA-F349-4ACD-AEEB-7D25A26980F2}"/>
    <hyperlink ref="AC1312" r:id="rId367" tooltip="Persistent link using digital object identifier" xr:uid="{1BE1FE92-85D3-4B46-9E2B-FBD1F1181736}"/>
    <hyperlink ref="AC1313" r:id="rId368" tooltip="Persistent link using digital object identifier" xr:uid="{948023D6-D97C-4AC9-AFAF-4D3233A64AD8}"/>
    <hyperlink ref="AC1314" r:id="rId369" tooltip="Persistent link using digital object identifier" xr:uid="{26F959E8-6A28-497F-B905-4E6958801332}"/>
    <hyperlink ref="AC1315" r:id="rId370" tooltip="Persistent link using digital object identifier" xr:uid="{F88CFE64-E27D-49DA-BAB0-2398638DBC4D}"/>
    <hyperlink ref="AC1316" r:id="rId371" tooltip="Persistent link using digital object identifier" xr:uid="{47F63963-E315-4B16-AB54-0E1BBF989620}"/>
    <hyperlink ref="AC1320" r:id="rId372" tooltip="Persistent link using digital object identifier" xr:uid="{5A95A8F4-32D5-40E4-8828-2D1F434272E9}"/>
    <hyperlink ref="AC1321" r:id="rId373" tooltip="Persistent link using digital object identifier" xr:uid="{C31FE45C-9376-4E91-86F8-B20A604742F3}"/>
    <hyperlink ref="AC1322" r:id="rId374" tooltip="Persistent link using digital object identifier" xr:uid="{5E17F5E8-F334-4220-AF45-C53BF41025A8}"/>
    <hyperlink ref="AC1323" r:id="rId375" tooltip="Persistent link using digital object identifier" xr:uid="{E21D0CDC-81D7-4234-AFF8-457193BA055F}"/>
    <hyperlink ref="AC1324" r:id="rId376" tooltip="Persistent link using digital object identifier" xr:uid="{6E16921F-3FF6-4776-9BCA-EC269B2040BA}"/>
    <hyperlink ref="AC1328" r:id="rId377" tooltip="Persistent link using digital object identifier" xr:uid="{21C0E543-0393-4BA4-AF01-5AFE182489B9}"/>
    <hyperlink ref="AC1329" r:id="rId378" tooltip="Persistent link using digital object identifier" xr:uid="{DB3717A6-53CA-4C7A-91C8-EE80256F2406}"/>
    <hyperlink ref="AC1330" r:id="rId379" tooltip="Persistent link using digital object identifier" xr:uid="{8DAD9986-2474-4015-BAA6-0019090AA92A}"/>
    <hyperlink ref="AC1331" r:id="rId380" tooltip="Persistent link using digital object identifier" xr:uid="{8250513A-7677-4D06-BDDB-4ED535596933}"/>
    <hyperlink ref="AC1332" r:id="rId381" tooltip="Persistent link using digital object identifier" xr:uid="{BE81763B-CC96-43FA-8B5D-72265A55C702}"/>
    <hyperlink ref="AC1333" r:id="rId382" tooltip="Persistent link using digital object identifier" xr:uid="{B0C284E5-DAE4-4FE9-BF30-42F290D26090}"/>
    <hyperlink ref="AC1334" r:id="rId383" tooltip="Persistent link using digital object identifier" xr:uid="{AC416663-558D-4288-99DE-29C1718B402A}"/>
    <hyperlink ref="AC1336" r:id="rId384" tooltip="Persistent link using digital object identifier" xr:uid="{BDBBEF61-A10B-490F-A430-6C804B5D77CD}"/>
    <hyperlink ref="AC1337" r:id="rId385" tooltip="Persistent link using digital object identifier" xr:uid="{0581BFE4-4F5A-453F-98D4-BEE00F7D8EAA}"/>
    <hyperlink ref="AC1335" r:id="rId386" tooltip="Persistent link using digital object identifier" xr:uid="{39254BC9-B155-4E51-90FE-C1633D68751C}"/>
    <hyperlink ref="AC1307" r:id="rId387" tooltip="Persistent link using digital object identifier" xr:uid="{59AA327C-C414-4159-A2B4-BCA117201305}"/>
    <hyperlink ref="AC1308" r:id="rId388" tooltip="Persistent link using digital object identifier" xr:uid="{E0AD82BF-9DDC-4733-A16E-699CF6B1F68E}"/>
    <hyperlink ref="AC1309" r:id="rId389" tooltip="Persistent link using digital object identifier" xr:uid="{35789507-BD2B-49D7-88A0-472C1638B73D}"/>
    <hyperlink ref="AC1310" r:id="rId390" tooltip="Persistent link using digital object identifier" xr:uid="{20ABC48B-2DE6-46C7-8A2A-28D6BD4F62D8}"/>
    <hyperlink ref="AC1317" r:id="rId391" tooltip="Persistent link using digital object identifier" xr:uid="{B2B42084-AD1C-4F91-986F-A8BCB89D9546}"/>
    <hyperlink ref="AC1318" r:id="rId392" tooltip="Persistent link using digital object identifier" xr:uid="{6868D1C1-F4A9-4401-B101-4701ABB6A68E}"/>
    <hyperlink ref="AC1326" r:id="rId393" tooltip="Persistent link using digital object identifier" xr:uid="{B2AE85D0-8F69-48C1-BA43-AF6A29186A3A}"/>
    <hyperlink ref="AC1327" r:id="rId394" tooltip="Persistent link using digital object identifier" xr:uid="{AF43CC25-5551-4DD1-9D98-61195FC68F79}"/>
    <hyperlink ref="AC1319" r:id="rId395" tooltip="Persistent link using digital object identifier" xr:uid="{3A4D72B4-AFE4-413B-8209-DC58ABDE792A}"/>
    <hyperlink ref="AC683" r:id="rId396" xr:uid="{D86C6EF7-263B-4D82-A9CA-E468DEF94F23}"/>
    <hyperlink ref="AC449" r:id="rId397" xr:uid="{406EE69D-9B44-41AE-9B65-3BDFCD3D2EE8}"/>
    <hyperlink ref="AC392" r:id="rId398" xr:uid="{97920AAC-4BC3-468A-8F93-35A18D8179D2}"/>
    <hyperlink ref="AC393" r:id="rId399" xr:uid="{9568D685-655C-4E1A-8014-0B88BF59C900}"/>
    <hyperlink ref="AC394" r:id="rId400" xr:uid="{E00B0604-A87E-4CB0-B3A2-0AE66665E354}"/>
    <hyperlink ref="AC395" r:id="rId401" xr:uid="{C364434D-5201-464C-9282-729A00FF5461}"/>
    <hyperlink ref="AC836" r:id="rId402" xr:uid="{D65C38B2-6B1C-4C4D-B008-39EC9943A172}"/>
    <hyperlink ref="AC450" r:id="rId403" xr:uid="{B9EDAB8B-74B3-467D-ACE0-07D3B864823E}"/>
    <hyperlink ref="AC452" r:id="rId404" xr:uid="{E9F611DD-5FF7-4B72-9E92-D052157A9D1F}"/>
    <hyperlink ref="AC3" r:id="rId405" xr:uid="{61EE34C3-A9BF-433A-8431-8D03319E2242}"/>
    <hyperlink ref="AC273" r:id="rId406" xr:uid="{A37A1EC5-CC19-4632-93BE-891759955A87}"/>
    <hyperlink ref="AC428" r:id="rId407" xr:uid="{6A5FD3DC-9D8D-4F95-9672-AFC9C80E6708}"/>
    <hyperlink ref="AC662" r:id="rId408" xr:uid="{EBCD5544-3C96-472D-B955-7059FF4D8BD4}"/>
    <hyperlink ref="AC682" r:id="rId409" xr:uid="{4A79489B-8CA6-4EE0-AB49-D4C83A05C3F2}"/>
    <hyperlink ref="AC777" r:id="rId410" xr:uid="{33E61518-1680-4386-86A3-0974814D1337}"/>
    <hyperlink ref="AC964" r:id="rId411" xr:uid="{E5366683-FCEA-48D7-8C7A-1800435571BB}"/>
    <hyperlink ref="AC980" r:id="rId412" xr:uid="{8A43AA3A-61AA-47C5-B340-BC437DAC232C}"/>
    <hyperlink ref="AC1006" r:id="rId413" xr:uid="{D02E0967-A6AC-4F48-81C5-81C58248D01F}"/>
    <hyperlink ref="AC865" r:id="rId414" xr:uid="{5B0081B2-0CBF-4D4D-9B2D-E38ED425D090}"/>
    <hyperlink ref="AC113" r:id="rId415" xr:uid="{5F78813A-FB5B-41D8-B644-7537F7E3A710}"/>
    <hyperlink ref="AC281" r:id="rId416" xr:uid="{564D7FDB-4B81-44EC-B322-C6BCAC0A6EFE}"/>
    <hyperlink ref="AC1001" r:id="rId417" xr:uid="{E4322320-1A4E-4953-82EF-067BAD752EC0}"/>
    <hyperlink ref="AC1031" r:id="rId418" xr:uid="{965680C4-E237-4206-8DAC-B28A9171F7AF}"/>
    <hyperlink ref="AC1032" r:id="rId419" xr:uid="{D399623C-0941-4EF6-A005-56F4D28FFAF7}"/>
    <hyperlink ref="AC1033" r:id="rId420" xr:uid="{425AEDE6-5914-4478-8EBD-83108AADA78F}"/>
    <hyperlink ref="AC1028" r:id="rId421" xr:uid="{1242D3B4-CC09-4C49-A039-EA466D831B51}"/>
    <hyperlink ref="AC1027" r:id="rId422" xr:uid="{DBEE79D7-7663-4278-B366-2294C8169BBB}"/>
    <hyperlink ref="AC1025" r:id="rId423" xr:uid="{A1E64EB7-6B35-455A-B56C-806C4B1E3CEA}"/>
    <hyperlink ref="AC1024" r:id="rId424" xr:uid="{E64686F9-1739-464B-AE5B-2A5A701BDC97}"/>
    <hyperlink ref="AC1022" r:id="rId425" xr:uid="{2A991C6D-EADC-4D10-9EB4-01BD5D6FB7D1}"/>
    <hyperlink ref="AC1026" r:id="rId426" xr:uid="{124E67DC-3FC8-46B0-84E1-28DCFDBE97FE}"/>
    <hyperlink ref="AC1252" r:id="rId427" xr:uid="{C76AF606-5BA0-47F2-B517-6569C9278B38}"/>
    <hyperlink ref="AC1253" r:id="rId428" xr:uid="{7D0A6852-5421-4AE6-81A2-8992B6C44411}"/>
    <hyperlink ref="AC1035" r:id="rId429" xr:uid="{FEEE2445-62D3-449C-91AA-2D28DB60B194}"/>
    <hyperlink ref="AC1037" r:id="rId430" xr:uid="{D595EB7D-3D46-4F44-AB67-2F1E213FB32A}"/>
    <hyperlink ref="AC1038" r:id="rId431" xr:uid="{AECBA6E8-73EA-443B-BE80-8DAE76ED3ADA}"/>
    <hyperlink ref="AC1039" r:id="rId432" xr:uid="{9C2B07BB-B7A4-4FE6-BE75-B2BE2CB1A4F6}"/>
    <hyperlink ref="AC1040" r:id="rId433" xr:uid="{446CFEAC-A45F-45B8-B2B2-66FBC962FB69}"/>
    <hyperlink ref="AC1041" r:id="rId434" xr:uid="{E3D92AB7-DCBD-446D-BCA2-F9D70515A705}"/>
    <hyperlink ref="AC1042" r:id="rId435" xr:uid="{E7DA0194-AD60-4190-8B6F-4373548807B2}"/>
    <hyperlink ref="AC1043" r:id="rId436" xr:uid="{21BCF13E-FA8E-4330-8408-F8E55DDE5723}"/>
    <hyperlink ref="AC1044" r:id="rId437" xr:uid="{8730D0BC-422B-4CAF-8D06-6A7AA8E6243A}"/>
    <hyperlink ref="AC1045" r:id="rId438" xr:uid="{3812F5D8-6468-44D8-8E3A-AB9AA0978311}"/>
    <hyperlink ref="AC1046" r:id="rId439" xr:uid="{8ADCDEFB-18EF-49E0-962E-80258E0CB463}"/>
    <hyperlink ref="AC1047" r:id="rId440" xr:uid="{8E4FB6D1-43E1-48F0-A3AF-3EDEFBEB14AA}"/>
    <hyperlink ref="AC1048" r:id="rId441" xr:uid="{BDE44A9A-10B1-4726-8F6A-6ABD027EC94C}"/>
  </hyperlinks>
  <pageMargins left="0.7" right="0.7" top="0.75" bottom="0.75" header="0.3" footer="0.3"/>
  <pageSetup paperSize="9" orientation="portrait" horizontalDpi="300" verticalDpi="300" r:id="rId442"/>
  <ignoredErrors>
    <ignoredError sqref="K300 U37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2860DD7651E4D8B9B5EF13EDC51F4" ma:contentTypeVersion="9" ma:contentTypeDescription="Create a new document." ma:contentTypeScope="" ma:versionID="c5f105b22c0f5ba99751a4adc074be44">
  <xsd:schema xmlns:xsd="http://www.w3.org/2001/XMLSchema" xmlns:xs="http://www.w3.org/2001/XMLSchema" xmlns:p="http://schemas.microsoft.com/office/2006/metadata/properties" xmlns:ns3="bf16fe3e-7563-400b-8aed-5ba34f0ebee8" xmlns:ns4="a29ffac6-5798-483b-9dd7-90584b85eda9" targetNamespace="http://schemas.microsoft.com/office/2006/metadata/properties" ma:root="true" ma:fieldsID="320a371b31bb8f5b89e054ed899e3546" ns3:_="" ns4:_="">
    <xsd:import namespace="bf16fe3e-7563-400b-8aed-5ba34f0ebee8"/>
    <xsd:import namespace="a29ffac6-5798-483b-9dd7-90584b85ed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6fe3e-7563-400b-8aed-5ba34f0eb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ffac6-5798-483b-9dd7-90584b85eda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16fe3e-7563-400b-8aed-5ba34f0ebee8" xsi:nil="true"/>
  </documentManagement>
</p:properties>
</file>

<file path=customXml/itemProps1.xml><?xml version="1.0" encoding="utf-8"?>
<ds:datastoreItem xmlns:ds="http://schemas.openxmlformats.org/officeDocument/2006/customXml" ds:itemID="{5BEFE220-97E8-4A51-B495-003F07D7F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16fe3e-7563-400b-8aed-5ba34f0ebee8"/>
    <ds:schemaRef ds:uri="a29ffac6-5798-483b-9dd7-90584b85ed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2360F3-D961-4FA1-B265-ABFA62413A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956A2-FE62-43D4-95AC-4918A6E89725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bf16fe3e-7563-400b-8aed-5ba34f0ebee8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29ffac6-5798-483b-9dd7-90584b85ed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Eryu Wang</dc:creator>
  <cp:lastModifiedBy>Arpit Sonar</cp:lastModifiedBy>
  <cp:lastPrinted>2024-05-14T06:33:55Z</cp:lastPrinted>
  <dcterms:created xsi:type="dcterms:W3CDTF">2024-01-25T17:26:38Z</dcterms:created>
  <dcterms:modified xsi:type="dcterms:W3CDTF">2026-10-23T12:10:25Z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0x01010061A2860DD7651E4D8B9B5EF13EDC51F4</vt:lpwstr>
  </property>
</Properties>
</file>